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Configuración" sheetId="1" state="visible" r:id="rId1"/>
    <sheet name="Registro" sheetId="2" state="visible" r:id="rId2"/>
    <sheet name="Dashboard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3">
    <font>
      <name val="Calibri"/>
      <family val="2"/>
      <color theme="1"/>
      <sz val="11"/>
      <scheme val="minor"/>
    </font>
    <font>
      <b val="1"/>
      <color rgb="00FFFFFF"/>
    </font>
    <font>
      <b val="1"/>
    </font>
  </fonts>
  <fills count="3">
    <fill>
      <patternFill/>
    </fill>
    <fill>
      <patternFill patternType="gray125"/>
    </fill>
    <fill>
      <patternFill patternType="solid">
        <fgColor rgb="00000080"/>
        <bgColor rgb="0000008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164" fontId="0" fillId="0" borderId="0" pivotButton="0" quotePrefix="0" xfId="0"/>
    <xf numFmtId="0" fontId="2" fillId="0" borderId="0" pivotButton="0" quotePrefix="0" xfId="0"/>
    <xf numFmtId="0" fontId="1" fillId="2" borderId="0" pivotButton="0" quotePrefix="0" xfId="0"/>
  </cellXfs>
  <cellStyles count="1">
    <cellStyle name="Normal" xfId="0" builtinId="0" hidden="0"/>
  </cellStyles>
  <dxfs count="3">
    <dxf>
      <font>
        <color rgb="009C0006"/>
      </font>
      <fill>
        <patternFill patternType="solid">
          <fgColor rgb="00FFC7CE"/>
          <bgColor rgb="00FFC7CE"/>
        </patternFill>
      </fill>
    </dxf>
    <dxf>
      <font>
        <color rgb="00006100"/>
      </font>
      <fill>
        <patternFill patternType="solid">
          <fgColor rgb="00C6EFCE"/>
          <bgColor rgb="00C6EFCE"/>
        </patternFill>
      </fill>
    </dxf>
    <dxf>
      <font>
        <color rgb="009C5700"/>
      </font>
      <fill>
        <patternFill patternType="solid">
          <fgColor rgb="00FFEB9C"/>
          <bgColor rgb="00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ables/table1.xml><?xml version="1.0" encoding="utf-8"?>
<table xmlns="http://schemas.openxmlformats.org/spreadsheetml/2006/main" id="1" name="TablaGastos" displayName="TablaGastos" ref="A1:G100" headerRowCount="1">
  <autoFilter ref="A1:G100"/>
  <tableColumns count="7">
    <tableColumn id="1" name="Fecha"/>
    <tableColumn id="2" name="Mes"/>
    <tableColumn id="3" name="Descripción"/>
    <tableColumn id="4" name="Categoría"/>
    <tableColumn id="5" name="Monto"/>
    <tableColumn id="6" name="Estado"/>
    <tableColumn id="7" name="Alerta Vencimiento"/>
  </tableColumns>
  <tableStyleInfo name="TableStyleMedium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1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Categoría de Gasto</t>
        </is>
      </c>
      <c r="B1" t="inlineStr">
        <is>
          <t>Mes</t>
        </is>
      </c>
      <c r="C1" t="inlineStr">
        <is>
          <t>Estado</t>
        </is>
      </c>
    </row>
    <row r="2">
      <c r="A2" t="inlineStr">
        <is>
          <t>Alimentación</t>
        </is>
      </c>
      <c r="B2" t="inlineStr">
        <is>
          <t>Enero</t>
        </is>
      </c>
      <c r="C2" t="inlineStr">
        <is>
          <t>Pagado</t>
        </is>
      </c>
    </row>
    <row r="3">
      <c r="A3" t="inlineStr">
        <is>
          <t>Transporte</t>
        </is>
      </c>
      <c r="B3" t="inlineStr">
        <is>
          <t>Febrero</t>
        </is>
      </c>
      <c r="C3" t="inlineStr">
        <is>
          <t>Pendiente</t>
        </is>
      </c>
    </row>
    <row r="4">
      <c r="A4" t="inlineStr">
        <is>
          <t>Servicios</t>
        </is>
      </c>
      <c r="B4" t="inlineStr">
        <is>
          <t>Marzo</t>
        </is>
      </c>
    </row>
    <row r="5">
      <c r="A5" t="inlineStr">
        <is>
          <t>Entretenimiento</t>
        </is>
      </c>
      <c r="B5" t="inlineStr">
        <is>
          <t>Abril</t>
        </is>
      </c>
    </row>
    <row r="6">
      <c r="A6" t="inlineStr">
        <is>
          <t>Educación</t>
        </is>
      </c>
      <c r="B6" t="inlineStr">
        <is>
          <t>Mayo</t>
        </is>
      </c>
    </row>
    <row r="7">
      <c r="B7" t="inlineStr">
        <is>
          <t>Junio</t>
        </is>
      </c>
    </row>
    <row r="8">
      <c r="B8" t="inlineStr">
        <is>
          <t>Julio</t>
        </is>
      </c>
    </row>
    <row r="9">
      <c r="B9" t="inlineStr">
        <is>
          <t>Agosto</t>
        </is>
      </c>
    </row>
    <row r="10">
      <c r="B10" t="inlineStr">
        <is>
          <t>Septiembre</t>
        </is>
      </c>
    </row>
    <row r="11">
      <c r="B11" t="inlineStr">
        <is>
          <t>Octubre</t>
        </is>
      </c>
    </row>
    <row r="12">
      <c r="B12" t="inlineStr">
        <is>
          <t>Noviembre</t>
        </is>
      </c>
    </row>
    <row r="13">
      <c r="B13" t="inlineStr">
        <is>
          <t>Diciembre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2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Fecha</t>
        </is>
      </c>
      <c r="B1" s="1" t="inlineStr">
        <is>
          <t>Mes</t>
        </is>
      </c>
      <c r="C1" s="1" t="inlineStr">
        <is>
          <t>Descripción</t>
        </is>
      </c>
      <c r="D1" s="1" t="inlineStr">
        <is>
          <t>Categoría</t>
        </is>
      </c>
      <c r="E1" s="1" t="inlineStr">
        <is>
          <t>Monto</t>
        </is>
      </c>
      <c r="F1" s="1" t="inlineStr">
        <is>
          <t>Estado</t>
        </is>
      </c>
      <c r="G1" s="1" t="inlineStr">
        <is>
          <t>Alerta Vencimiento</t>
        </is>
      </c>
    </row>
    <row r="2">
      <c r="A2" s="2" t="n">
        <v>45672</v>
      </c>
      <c r="B2">
        <f>IF(A2="", "", PROPER(TEXT(A2, "mmmm")))</f>
        <v/>
      </c>
      <c r="C2" t="inlineStr">
        <is>
          <t>Ejemplo Gasto</t>
        </is>
      </c>
      <c r="D2" t="inlineStr">
        <is>
          <t>Alimentación</t>
        </is>
      </c>
      <c r="E2" t="n">
        <v>150</v>
      </c>
      <c r="F2" t="inlineStr">
        <is>
          <t>Pendiente</t>
        </is>
      </c>
      <c r="G2">
        <f>IFS(F2="Pagado", "Al Día", AND(F2="Pendiente", A2&lt;TODAY()), "¡VENCIDO!", AND(F2="Pendiente", A2&gt;=TODAY()), "A tiempo")</f>
        <v/>
      </c>
    </row>
  </sheetData>
  <conditionalFormatting sqref="G2:G100">
    <cfRule type="cellIs" priority="1" operator="equal" dxfId="0">
      <formula>"¡VENCIDO!"</formula>
    </cfRule>
    <cfRule type="cellIs" priority="2" operator="equal" dxfId="1">
      <formula>"Al Día"</formula>
    </cfRule>
    <cfRule type="cellIs" priority="3" operator="equal" dxfId="2">
      <formula>"A tiempo"</formula>
    </cfRule>
  </conditionalFormatting>
  <dataValidations count="2">
    <dataValidation sqref="D2:D100" showDropDown="0" showInputMessage="0" showErrorMessage="0" allowBlank="1" type="list">
      <formula1>"Alimentación,Transporte,Servicios,Entretenimiento,Educación"</formula1>
    </dataValidation>
    <dataValidation sqref="F2:F100" showDropDown="0" showInputMessage="0" showErrorMessage="0" allowBlank="1" type="list">
      <formula1>"Pagado,Pendiente"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B7"/>
  <sheetViews>
    <sheetView workbookViewId="0">
      <selection activeCell="A1" sqref="A1"/>
    </sheetView>
  </sheetViews>
  <sheetFormatPr baseColWidth="8" defaultRowHeight="15"/>
  <sheetData>
    <row r="2">
      <c r="A2" s="3" t="inlineStr">
        <is>
          <t>Gasto del Mes Actual:</t>
        </is>
      </c>
      <c r="B2">
        <f>SUMIF(TablaGastos[Mes], PROPER(TEXT(TODAY(), "mmmm")), TablaGastos[Monto])</f>
        <v/>
      </c>
    </row>
    <row r="3">
      <c r="A3" s="3" t="inlineStr">
        <is>
          <t>Deuda Vencida Total:</t>
        </is>
      </c>
      <c r="B3">
        <f>SUMIFS(TablaGastos[Monto], TablaGastos[Estado], "Pendiente", TablaGastos[Alerta Vencimiento], "¡VENCIDO!")</f>
        <v/>
      </c>
    </row>
    <row r="6">
      <c r="A6" s="4" t="inlineStr">
        <is>
          <t>Categoría</t>
        </is>
      </c>
      <c r="B6" s="4" t="inlineStr">
        <is>
          <t>Total Gastado</t>
        </is>
      </c>
    </row>
    <row r="7">
      <c r="A7">
        <f>SORT(UNIQUE(TablaGastos[Categoría]))</f>
        <v/>
      </c>
      <c r="B7">
        <f>SUMIF(TablaGastos[Categoría], A7#, TablaGastos[Monto])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2026-09-02T15:21:53Z</dcterms:created>
  <dcterms:modified xsi:type="dcterms:W3CDTF">2026-09-02T15:26:23Z</dcterms:modified>
</cp:coreProperties>
</file>