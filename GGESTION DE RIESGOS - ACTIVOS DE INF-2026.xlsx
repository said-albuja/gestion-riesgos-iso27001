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835" yWindow="0" windowWidth="11655" windowHeight="10920" tabRatio="741" firstSheet="0" activeTab="1" autoFilterDateGrouping="1"/>
  </bookViews>
  <sheets>
    <sheet name="INVENTARIO" sheetId="1" state="visible" r:id="rId1"/>
    <sheet name="Metricas" sheetId="2" state="visible" r:id="rId2"/>
    <sheet name="INTERVALOS" sheetId="3" state="visible" r:id="rId3"/>
    <sheet name="EVALUACION DE RIESGO" sheetId="4" state="visible" r:id="rId4"/>
    <sheet name="PLANES DE ACCION" sheetId="5" state="visible" r:id="rId5"/>
    <sheet name="INDICADORES" sheetId="6" state="visible" r:id="rId6"/>
    <sheet name="CATALOGO VULNERABILIDADES" sheetId="7" state="visible" r:id="rId7"/>
    <sheet name="CATALOGO AMENAZA" sheetId="8" state="visible" r:id="rId8"/>
    <sheet name="TIPOS DE ACTIVOS" sheetId="9" state="visible" r:id="rId9"/>
    <sheet name="CATALOGO CONTROLES" sheetId="10" state="visible" r:id="rId10"/>
    <sheet name="ANEXO A" sheetId="11" state="visible" r:id="rId11"/>
    <sheet name="Declaración Aplicabilidad (SoA)" sheetId="12" state="visible" r:id="rId12"/>
    <sheet name="Documentación Aplicabilidad" sheetId="13" state="visible" r:id="rId13"/>
    <sheet name="Resumen Criticidad" sheetId="14" state="visible" r:id="rId14"/>
    <sheet name="ANÁLISIS_CRITICIDAD_RIESGO" sheetId="15" state="visible" r:id="rId15"/>
  </sheets>
  <definedNames>
    <definedName name="_xlnm._FilterDatabase" localSheetId="0" hidden="1">'INVENTARIO'!$Y$2:$AC$1406</definedName>
    <definedName name="_xlnm._FilterDatabase" localSheetId="7" hidden="1">'CATALOGO AMENAZA'!$A$2:$N$46</definedName>
    <definedName name="_xlnm._FilterDatabase" localSheetId="10" hidden="1">'ANEXO A'!$A$1:$L$94</definedName>
    <definedName name="_xlnm._FilterDatabase" localSheetId="11" hidden="1">'Declaración Aplicabilidad (SoA)'!$A$1:$N$94</definedName>
    <definedName name="_xlnm._FilterDatabase" localSheetId="12" hidden="1">'Documentación Aplicabilidad'!$A$1:$L$94</definedName>
  </definedNames>
  <calcPr calcId="191029" fullCalcOnLoad="1"/>
  <pivotCaches>
    <pivotCache cacheId="8" r:id="rId16"/>
    <pivotCache cacheId="9" r:id="rId17"/>
  </pivotCaches>
</workbook>
</file>

<file path=xl/styles.xml><?xml version="1.0" encoding="utf-8"?>
<styleSheet xmlns="http://schemas.openxmlformats.org/spreadsheetml/2006/main">
  <numFmts count="0"/>
  <fonts count="13">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name val="Arial"/>
      <b val="1"/>
      <color rgb="FFFFFFFF"/>
      <sz val="8"/>
    </font>
    <font>
      <name val="Arial"/>
      <b val="1"/>
      <color rgb="FFFFFFFF"/>
      <sz val="8"/>
    </font>
    <font>
      <name val="Arial"/>
      <b val="1"/>
      <color rgb="FF000080"/>
      <sz val="14"/>
    </font>
    <font>
      <b val="1"/>
    </font>
  </fonts>
  <fills count="19">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16">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7" fillId="16" borderId="0" applyAlignment="1" pivotButton="0" quotePrefix="0" xfId="0">
      <alignment horizontal="center" vertical="center" wrapText="1"/>
    </xf>
    <xf numFmtId="0" fontId="9" fillId="17" borderId="0" applyAlignment="1" pivotButton="0" quotePrefix="0" xfId="0">
      <alignment horizontal="center" vertical="center" wrapText="1"/>
    </xf>
    <xf numFmtId="0" fontId="9" fillId="17" borderId="0" applyAlignment="1" pivotButton="0" quotePrefix="0" xfId="0">
      <alignment horizontal="left" vertical="center" wrapText="1"/>
    </xf>
    <xf numFmtId="0" fontId="10" fillId="18" borderId="0" applyAlignment="1" pivotButton="0" quotePrefix="0" xfId="0">
      <alignment horizontal="center" vertical="center" wrapText="1"/>
    </xf>
    <xf numFmtId="0" fontId="11" fillId="0" borderId="0" pivotButton="0" quotePrefix="0" xfId="0"/>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0" fillId="0" borderId="0" applyAlignment="1" pivotButton="0" quotePrefix="0" xfId="0">
      <alignment vertical="center"/>
    </xf>
    <xf numFmtId="0" fontId="10" fillId="18" borderId="0" applyAlignment="1" pivotButton="0" quotePrefix="0" xfId="0">
      <alignment horizontal="left" vertical="center"/>
    </xf>
    <xf numFmtId="0" fontId="0" fillId="0" borderId="0" applyAlignment="1" pivotButton="0" quotePrefix="0" xfId="0">
      <alignment horizontal="left" vertical="center"/>
    </xf>
    <xf numFmtId="0" fontId="1"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1" fillId="0" borderId="0" applyAlignment="1" pivotButton="0" quotePrefix="0" xfId="0">
      <alignment horizontal="center" vertical="center"/>
    </xf>
    <xf numFmtId="0" fontId="0" fillId="0" borderId="0" applyAlignment="1" pivotButton="0" quotePrefix="0" xfId="0">
      <alignment horizontal="left" vertical="center"/>
    </xf>
    <xf numFmtId="0" fontId="12" fillId="0" borderId="0" pivotButton="0" quotePrefix="0" xfId="0"/>
  </cellXfs>
  <cellStyles count="3">
    <cellStyle name="Normal" xfId="0" builtinId="0"/>
    <cellStyle name="Normal 2" xfId="1"/>
    <cellStyle name="Porcentaje" xfId="2" builtinId="5"/>
  </cellStyles>
  <dxfs count="83">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fill>
        <patternFill patternType="solid">
          <fgColor rgb="00FFC7CE"/>
          <bgColor rgb="00FFC7CE"/>
        </patternFill>
      </fill>
    </dxf>
    <dxf>
      <fill>
        <patternFill patternType="solid">
          <fgColor rgb="00C6EFCE"/>
          <bgColor rgb="00C6EFCE"/>
        </patternFill>
      </fill>
    </dxf>
    <dxf>
      <fill>
        <patternFill patternType="solid">
          <fgColor rgb="00FFEB9C"/>
          <bgColor rgb="00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pivotCacheDefinition" Target="/xl/pivotCache/pivotCacheDefinition1.xml" Id="rId16" /><Relationship Type="http://schemas.openxmlformats.org/officeDocument/2006/relationships/pivotCacheDefinition" Target="/xl/pivotCache/pivotCacheDefinition2.xml" Id="rId17" /><Relationship Type="http://schemas.openxmlformats.org/officeDocument/2006/relationships/styles" Target="styles.xml" Id="rId18" /><Relationship Type="http://schemas.openxmlformats.org/officeDocument/2006/relationships/theme" Target="theme/theme1.xml" Id="rId19" /></Relationships>
</file>

<file path=xl/charts/chart1.xml><?xml version="1.0" encoding="utf-8"?>
<chartSpace xmlns:a="http://schemas.openxmlformats.org/drawingml/2006/main" xmlns="http://schemas.openxmlformats.org/drawingml/2006/chart">
  <pivotSource>
    <name>[GGESTION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[GGESTION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[GGESTION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[GGESTION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1"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10"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5" cacheId="9"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7"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6"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8"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C1407"/>
  <sheetViews>
    <sheetView topLeftCell="Z1" zoomScale="80" zoomScaleNormal="80" workbookViewId="0">
      <selection activeCell="AA3" sqref="AA3"/>
    </sheetView>
  </sheetViews>
  <sheetFormatPr baseColWidth="10" defaultRowHeight="11.25"/>
  <cols>
    <col width="14" customWidth="1" style="106" min="1" max="1"/>
    <col width="19.1640625" customWidth="1" style="106" min="2" max="2"/>
    <col width="26" customWidth="1" style="106" min="3" max="3"/>
    <col hidden="1" width="26.1640625" customWidth="1" style="106" min="4" max="4"/>
    <col width="41.6640625" customWidth="1" style="106" min="5" max="5"/>
    <col width="15.1640625" customWidth="1" style="106" min="6" max="6"/>
    <col width="31" customWidth="1" style="106" min="7" max="7"/>
    <col width="40.1640625" customWidth="1" style="106" min="8" max="8"/>
    <col width="44.6640625" customWidth="1" style="106" min="9" max="9"/>
    <col hidden="1" width="16.1640625" customWidth="1" style="106" min="10" max="10"/>
    <col hidden="1" width="19.1640625" customWidth="1" style="106" min="11" max="11"/>
    <col width="18.5" customWidth="1" style="106" min="12" max="12"/>
    <col width="26.1640625" customWidth="1" style="106" min="13" max="13"/>
    <col width="17.6640625" customWidth="1" style="106" min="14" max="14"/>
    <col width="33.1640625" bestFit="1" customWidth="1" style="106" min="15" max="15"/>
    <col width="20.5" customWidth="1" style="106" min="16" max="16"/>
    <col width="13.6640625" customWidth="1" style="106" min="17" max="17"/>
    <col width="17.1640625" customWidth="1" style="106" min="18" max="18"/>
    <col width="15.1640625" customWidth="1" style="106" min="19" max="19"/>
    <col width="13.5" customWidth="1" style="106" min="20" max="20"/>
    <col width="19.1640625" customWidth="1" style="106" min="21" max="21"/>
    <col width="21.1640625" customWidth="1" style="106" min="22" max="22"/>
    <col width="19" customWidth="1" style="106" min="23" max="23"/>
    <col width="27.6640625" customWidth="1" style="106" min="24" max="24"/>
    <col width="22.5" customWidth="1" style="38" min="25" max="25"/>
    <col width="20" customWidth="1" style="38" min="26" max="26"/>
    <col width="24" customWidth="1" style="38" min="27" max="27"/>
    <col width="29.5" customWidth="1" style="38" min="28" max="28"/>
    <col width="29.33203125" customWidth="1" style="38" min="29" max="29"/>
  </cols>
  <sheetData>
    <row r="1">
      <c r="A1" s="97" t="n"/>
      <c r="B1" s="97" t="inlineStr">
        <is>
          <t>PROCESO/PROCEDIMIENTO</t>
        </is>
      </c>
      <c r="C1" s="98" t="n"/>
      <c r="D1" s="98" t="n"/>
      <c r="E1" s="98" t="n"/>
      <c r="F1" s="98" t="n"/>
      <c r="G1" s="99" t="n"/>
      <c r="H1" s="97" t="n"/>
      <c r="I1" s="97" t="n"/>
      <c r="J1" s="97" t="n"/>
      <c r="K1" s="97" t="n"/>
      <c r="L1" s="97" t="n"/>
      <c r="M1" s="97" t="n"/>
      <c r="N1" s="27" t="n"/>
      <c r="O1" s="97" t="n"/>
      <c r="P1" s="97" t="inlineStr">
        <is>
          <t>CLASIFICACIÓN</t>
        </is>
      </c>
      <c r="Q1" s="98" t="n"/>
      <c r="R1" s="99" t="n"/>
      <c r="S1" s="97" t="inlineStr">
        <is>
          <t>CRITICIDAD</t>
        </is>
      </c>
      <c r="T1" s="99" t="n"/>
      <c r="U1" s="97" t="n"/>
      <c r="V1" s="97" t="n"/>
      <c r="W1" s="97" t="n"/>
    </row>
    <row r="2" ht="24" customHeight="1" s="106">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c r="Y2" s="97" t="inlineStr">
        <is>
          <t>Estado de Implementación</t>
        </is>
      </c>
      <c r="Z2" s="97" t="inlineStr">
        <is>
          <t>Tipo de Protección</t>
        </is>
      </c>
      <c r="AA2" s="97" t="inlineStr">
        <is>
          <t>Nivel de Madurez / Efectividad</t>
        </is>
      </c>
      <c r="AB2" s="97" t="inlineStr">
        <is>
          <t>Riesgos / Amenazas que Mitiga</t>
        </is>
      </c>
      <c r="AC2" s="97" t="inlineStr">
        <is>
          <t>Evidencia / Documentación Asociada</t>
        </is>
      </c>
    </row>
    <row r="3">
      <c r="A3" s="99"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104">
        <f>+IFERROR(IF(VLOOKUP(Tabla2[[#This Row],[ID]],'EVALUACION DE RIESGO'!A:A,1,FALSE)=Tabla2[[#This Row],[ID]],"SI","NO"),"NO")</f>
        <v/>
      </c>
    </row>
    <row r="4">
      <c r="A4" s="99"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row>
    <row r="5">
      <c r="A5" s="99"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row>
    <row r="6">
      <c r="A6" s="99"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row>
    <row r="7">
      <c r="A7" s="99"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row>
    <row r="8">
      <c r="A8" s="99"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row>
    <row r="9">
      <c r="A9" s="99"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row>
    <row r="10">
      <c r="A10" s="99"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row>
    <row r="11">
      <c r="A11" s="99"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row>
    <row r="12">
      <c r="A12" s="99"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row>
    <row r="13">
      <c r="A13" s="99"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row>
    <row r="14">
      <c r="A14" s="99"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row>
    <row r="15">
      <c r="A15" s="99"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row>
    <row r="16">
      <c r="A16" s="99"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row>
    <row r="17">
      <c r="A17" s="99"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row>
    <row r="18">
      <c r="A18" s="99"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row>
    <row r="19">
      <c r="A19" s="99"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row>
    <row r="20">
      <c r="A20" s="99"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row>
    <row r="21">
      <c r="A21" s="99"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row>
    <row r="22">
      <c r="A22" s="99"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row>
    <row r="23">
      <c r="A23" s="99"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row>
    <row r="24">
      <c r="A24" s="99"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row>
    <row r="25">
      <c r="A25" s="99"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row>
    <row r="26">
      <c r="A26" s="99"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row>
    <row r="27">
      <c r="A27" s="99"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row>
    <row r="28">
      <c r="A28" s="99"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row>
    <row r="29">
      <c r="A29" s="99"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row>
    <row r="30">
      <c r="A30" s="99"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row>
    <row r="31">
      <c r="A31" s="99"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row>
    <row r="32">
      <c r="A32" s="99"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row>
    <row r="33">
      <c r="A33" s="99"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row>
    <row r="34">
      <c r="A34" s="99"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row>
    <row r="35">
      <c r="A35" s="99"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row>
    <row r="36">
      <c r="A36" s="99"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row>
    <row r="37">
      <c r="A37" s="99"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row>
    <row r="38">
      <c r="A38" s="99"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row>
    <row r="39">
      <c r="A39" s="99"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row>
    <row r="40">
      <c r="A40" s="99"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row>
    <row r="41">
      <c r="A41" s="99"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row>
    <row r="42">
      <c r="A42" s="99"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row>
    <row r="43">
      <c r="A43" s="99"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row>
    <row r="44">
      <c r="A44" s="99"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row>
    <row r="45">
      <c r="A45" s="99"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row>
    <row r="46">
      <c r="A46" s="99"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row>
    <row r="47">
      <c r="A47" s="99"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row>
    <row r="48">
      <c r="A48" s="99"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row>
    <row r="49">
      <c r="A49" s="99"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row>
    <row r="50">
      <c r="A50" s="99"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row>
    <row r="51">
      <c r="A51" s="99"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row>
    <row r="52">
      <c r="A52" s="99"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row>
    <row r="53">
      <c r="A53" s="99"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row>
    <row r="54">
      <c r="A54" s="99"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row>
    <row r="55">
      <c r="A55" s="99"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row>
    <row r="56">
      <c r="A56" s="99"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row>
    <row r="57">
      <c r="A57" s="99"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row>
    <row r="58">
      <c r="A58" s="99"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row>
    <row r="59">
      <c r="A59" s="99"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row>
    <row r="60">
      <c r="A60" s="99"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row>
    <row r="61">
      <c r="A61" s="99"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row>
    <row r="62">
      <c r="A62" s="99"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row>
    <row r="63">
      <c r="A63" s="99"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row>
    <row r="64">
      <c r="A64" s="99"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row>
    <row r="65">
      <c r="A65" s="99"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row>
    <row r="66">
      <c r="A66" s="99"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row>
    <row r="67">
      <c r="A67" s="99"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row>
    <row r="68">
      <c r="A68" s="99"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row>
    <row r="69">
      <c r="A69" s="99"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row>
    <row r="70">
      <c r="A70" s="99"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row>
    <row r="71">
      <c r="A71" s="99"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row>
    <row r="72">
      <c r="A72" s="99"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row>
    <row r="73" ht="41.1" customHeight="1" s="106">
      <c r="A73" s="99"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row>
    <row r="74">
      <c r="A74" s="99"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row>
    <row r="75">
      <c r="A75" s="99"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row>
    <row r="76">
      <c r="A76" s="99"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row>
    <row r="77">
      <c r="A77" s="99"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row>
    <row r="78">
      <c r="A78" s="99"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row>
    <row r="79">
      <c r="A79" s="99"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row>
    <row r="80">
      <c r="A80" s="99"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row>
    <row r="81">
      <c r="A81" s="99"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row>
    <row r="82">
      <c r="A82" s="99"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row>
    <row r="83">
      <c r="A83" s="99"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row>
    <row r="84">
      <c r="A84" s="99"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row>
    <row r="85">
      <c r="A85" s="99"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row>
    <row r="86">
      <c r="A86" s="99"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row>
    <row r="87">
      <c r="A87" s="99"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row>
    <row r="88">
      <c r="A88" s="99"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row>
    <row r="89">
      <c r="A89" s="99"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row>
    <row r="90">
      <c r="A90" s="99"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row>
    <row r="91">
      <c r="A91" s="99"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row>
    <row r="92">
      <c r="A92" s="99"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row>
    <row r="93">
      <c r="A93" s="99"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row>
    <row r="94">
      <c r="A94" s="99"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row>
    <row r="95">
      <c r="A95" s="99"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row>
    <row r="96">
      <c r="A96" s="99"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row>
    <row r="97">
      <c r="A97" s="99"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row>
    <row r="98">
      <c r="A98" s="99"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row>
    <row r="99">
      <c r="A99" s="99"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row>
    <row r="100">
      <c r="A100" s="99"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row>
    <row r="101">
      <c r="A101" s="99"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row>
    <row r="102">
      <c r="A102" s="99"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row>
    <row r="103">
      <c r="A103" s="99"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row>
    <row r="104">
      <c r="A104" s="99"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row>
    <row r="105">
      <c r="A105" s="99"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row>
    <row r="106">
      <c r="A106" s="99"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row>
    <row r="107">
      <c r="A107" s="99"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row>
    <row r="108">
      <c r="A108" s="99"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row>
    <row r="109">
      <c r="A109" s="99"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row>
    <row r="110">
      <c r="A110" s="99"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row>
    <row r="111">
      <c r="A111" s="99"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row>
    <row r="112">
      <c r="A112" s="99"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row>
    <row r="113">
      <c r="A113" s="99"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row>
    <row r="114">
      <c r="A114" s="99"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row>
    <row r="115">
      <c r="A115" s="99"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row>
    <row r="116">
      <c r="A116" s="99"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row>
    <row r="117">
      <c r="A117" s="99"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row>
    <row r="118">
      <c r="A118" s="99"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row>
    <row r="119">
      <c r="A119" s="99"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row>
    <row r="120">
      <c r="A120" s="99"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row>
    <row r="121">
      <c r="A121" s="99"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row>
    <row r="122">
      <c r="A122" s="99"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row>
    <row r="123">
      <c r="A123" s="99"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row>
    <row r="124">
      <c r="A124" s="99"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row>
    <row r="125">
      <c r="A125" s="99"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row>
    <row r="126">
      <c r="A126" s="99"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row>
    <row r="127">
      <c r="A127" s="99"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row>
    <row r="128">
      <c r="A128" s="99"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row>
    <row r="129">
      <c r="A129" s="99"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row>
    <row r="130">
      <c r="A130" s="99"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row>
    <row r="131">
      <c r="A131" s="99"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row>
    <row r="132">
      <c r="A132" s="99"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row>
    <row r="133">
      <c r="A133" s="99"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row>
    <row r="134">
      <c r="A134" s="99"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row>
    <row r="135">
      <c r="A135" s="99"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row>
    <row r="136">
      <c r="A136" s="99"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row>
    <row r="137">
      <c r="A137" s="99"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row>
    <row r="138">
      <c r="A138" s="99"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row>
    <row r="139">
      <c r="A139" s="99"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row>
    <row r="140">
      <c r="A140" s="99"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row>
    <row r="141">
      <c r="A141" s="99"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row>
    <row r="142">
      <c r="A142" s="99"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row>
    <row r="143">
      <c r="A143" s="99"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row>
    <row r="144">
      <c r="A144" s="99"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row>
    <row r="145">
      <c r="A145" s="99"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row>
    <row r="146">
      <c r="A146" s="99"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row>
    <row r="147">
      <c r="A147" s="99"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row>
    <row r="148">
      <c r="A148" s="99"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row>
    <row r="149">
      <c r="A149" s="99"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row>
    <row r="150">
      <c r="A150" s="99"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row>
    <row r="151">
      <c r="A151" s="99"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row>
    <row r="152">
      <c r="A152" s="99"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row>
    <row r="153">
      <c r="A153" s="99"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row>
    <row r="154">
      <c r="A154" s="99"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row>
    <row r="155">
      <c r="A155" s="99"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row>
    <row r="156">
      <c r="A156" s="99"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row>
    <row r="157">
      <c r="A157" s="99"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row>
    <row r="158">
      <c r="A158" s="99"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row>
    <row r="159">
      <c r="A159" s="99"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row>
    <row r="160">
      <c r="A160" s="99"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row>
    <row r="161">
      <c r="A161" s="99"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row>
    <row r="162">
      <c r="A162" s="99"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row>
    <row r="163">
      <c r="A163" s="99"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row>
    <row r="164">
      <c r="A164" s="99"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row>
    <row r="165">
      <c r="A165" s="99"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row>
    <row r="166">
      <c r="A166" s="99"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row>
    <row r="167">
      <c r="A167" s="99"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row>
    <row r="168">
      <c r="A168" s="99"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row>
    <row r="169">
      <c r="A169" s="99"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row>
    <row r="170">
      <c r="A170" s="99"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row>
    <row r="171">
      <c r="A171" s="99"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row>
    <row r="172">
      <c r="A172" s="99"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row>
    <row r="173">
      <c r="A173" s="99"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row>
    <row r="174">
      <c r="A174" s="99"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row>
    <row r="175">
      <c r="A175" s="99"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row>
    <row r="176">
      <c r="A176" s="99"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row>
    <row r="177">
      <c r="A177" s="99"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row>
    <row r="178">
      <c r="A178" s="99"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row>
    <row r="179">
      <c r="A179" s="99"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row>
    <row r="180">
      <c r="A180" s="99"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row>
    <row r="181">
      <c r="A181" s="99"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row>
    <row r="182">
      <c r="A182" s="99"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row>
    <row r="183">
      <c r="A183" s="99"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row>
    <row r="184">
      <c r="A184" s="99"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row>
    <row r="185">
      <c r="A185" s="99"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row>
    <row r="186">
      <c r="A186" s="99"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row>
    <row r="187">
      <c r="A187" s="99"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row>
    <row r="188">
      <c r="A188" s="99"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row>
    <row r="189">
      <c r="A189" s="99"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row>
    <row r="190">
      <c r="A190" s="99"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row>
    <row r="191">
      <c r="A191" s="99"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row>
    <row r="192">
      <c r="A192" s="99"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row>
    <row r="193">
      <c r="A193" s="99"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row>
    <row r="194">
      <c r="A194" s="99"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row>
    <row r="195">
      <c r="A195" s="99"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row>
    <row r="196">
      <c r="A196" s="99"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row>
    <row r="197">
      <c r="A197" s="99"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row>
    <row r="198">
      <c r="A198" s="99"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row>
    <row r="199">
      <c r="A199" s="99"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row>
    <row r="200">
      <c r="A200" s="99"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row>
    <row r="201">
      <c r="A201" s="99"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row>
    <row r="202">
      <c r="A202" s="99"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row>
    <row r="203">
      <c r="A203" s="99"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row>
    <row r="204">
      <c r="A204" s="99"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row>
    <row r="205">
      <c r="A205" s="99"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row>
    <row r="206">
      <c r="A206" s="99"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row>
    <row r="207">
      <c r="A207" s="99"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row>
    <row r="208">
      <c r="A208" s="99"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row>
    <row r="209">
      <c r="A209" s="99"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row>
    <row r="210">
      <c r="A210" s="99"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row>
    <row r="211">
      <c r="A211" s="99"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row>
    <row r="212">
      <c r="A212" s="99"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row>
    <row r="213">
      <c r="A213" s="99"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row>
    <row r="214">
      <c r="A214" s="99"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row>
    <row r="215">
      <c r="A215" s="99"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row>
    <row r="216">
      <c r="A216" s="99"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row>
    <row r="217">
      <c r="A217" s="99"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row>
    <row r="218">
      <c r="A218" s="99"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row>
    <row r="219">
      <c r="A219" s="99"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row>
    <row r="220">
      <c r="A220" s="99"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row>
    <row r="221">
      <c r="A221" s="99"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row>
    <row r="222">
      <c r="A222" s="99"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row>
    <row r="223">
      <c r="A223" s="99"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row>
    <row r="224">
      <c r="A224" s="99"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row>
    <row r="225">
      <c r="A225" s="99"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row>
    <row r="226">
      <c r="A226" s="99"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row>
    <row r="227">
      <c r="A227" s="99"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row>
    <row r="228">
      <c r="A228" s="99"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row>
    <row r="229">
      <c r="A229" s="99"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row>
    <row r="230">
      <c r="A230" s="99"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row>
    <row r="231">
      <c r="A231" s="99"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row>
    <row r="232">
      <c r="A232" s="99"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row>
    <row r="233">
      <c r="A233" s="99"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row>
    <row r="234">
      <c r="A234" s="99"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row>
    <row r="235">
      <c r="A235" s="99"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row>
    <row r="236">
      <c r="A236" s="99"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row>
    <row r="237">
      <c r="A237" s="99"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row>
    <row r="238">
      <c r="A238" s="99"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row>
    <row r="239">
      <c r="A239" s="99"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row>
    <row r="240">
      <c r="A240" s="99"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row>
    <row r="241">
      <c r="A241" s="99"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row>
    <row r="242">
      <c r="A242" s="99"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row>
    <row r="243">
      <c r="A243" s="99"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row>
    <row r="244">
      <c r="A244" s="99"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row>
    <row r="245">
      <c r="A245" s="99"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row>
    <row r="246">
      <c r="A246" s="99"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row>
    <row r="247">
      <c r="A247" s="99"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row>
    <row r="248">
      <c r="A248" s="99"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row>
    <row r="249">
      <c r="A249" s="99"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row>
    <row r="250">
      <c r="A250" s="99"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row>
    <row r="251">
      <c r="A251" s="99"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row>
    <row r="252">
      <c r="A252" s="99"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row>
    <row r="253">
      <c r="A253" s="99"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row>
    <row r="254">
      <c r="A254" s="99"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row>
    <row r="255">
      <c r="A255" s="99"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row>
    <row r="256">
      <c r="A256" s="99"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row>
    <row r="257">
      <c r="A257" s="99"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row>
    <row r="258">
      <c r="A258" s="99"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row>
    <row r="259">
      <c r="A259" s="99"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row>
    <row r="260">
      <c r="A260" s="99"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row>
    <row r="261">
      <c r="A261" s="99"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row>
    <row r="262">
      <c r="A262" s="99"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row>
    <row r="263">
      <c r="A263" s="99"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row>
    <row r="264" ht="20.45" customHeight="1" s="106">
      <c r="A264" s="99"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row>
    <row r="265">
      <c r="A265" s="99"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row>
    <row r="266">
      <c r="A266" s="99"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row>
    <row r="267">
      <c r="A267" s="99"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row>
    <row r="268">
      <c r="A268" s="99"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row>
    <row r="269" ht="20.45" customHeight="1" s="106">
      <c r="A269" s="99"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row>
    <row r="270">
      <c r="A270" s="99"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row>
    <row r="271">
      <c r="A271" s="99"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row>
    <row r="272">
      <c r="A272" s="99"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row>
    <row r="273" ht="20.45" customHeight="1" s="106">
      <c r="A273" s="99"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row>
    <row r="274">
      <c r="A274" s="99"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row>
    <row r="275">
      <c r="A275" s="99"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row>
    <row r="276">
      <c r="A276" s="99"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row>
    <row r="277">
      <c r="A277" s="99"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row>
    <row r="278">
      <c r="A278" s="99"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row>
    <row r="279">
      <c r="A279" s="99"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row>
    <row r="280" ht="20.45" customHeight="1" s="106">
      <c r="A280" s="99"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row>
    <row r="281" ht="20.45" customHeight="1" s="106">
      <c r="A281" s="99"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row>
    <row r="282">
      <c r="A282" s="99"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row>
    <row r="283" ht="12" customHeight="1" s="106">
      <c r="A283" s="99"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row>
    <row r="284">
      <c r="A284" s="99"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row>
    <row r="285" ht="30.6" customHeight="1" s="106">
      <c r="A285" s="99"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row>
    <row r="286" ht="12" customHeight="1" s="106">
      <c r="A286" s="99"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row>
    <row r="287" ht="20.45" customHeight="1" s="106">
      <c r="A287" s="99"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row>
    <row r="288">
      <c r="A288" s="99"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row>
    <row r="289">
      <c r="A289" s="99"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row>
    <row r="290">
      <c r="A290" s="99"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row>
    <row r="291">
      <c r="A291" s="99"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row>
    <row r="292">
      <c r="A292" s="99"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row>
    <row r="293" ht="20.45" customHeight="1" s="106">
      <c r="A293" s="99"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row>
    <row r="294">
      <c r="A294" s="99"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row>
    <row r="295">
      <c r="A295" s="99"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row>
    <row r="296">
      <c r="A296" s="99"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row>
    <row r="297">
      <c r="A297" s="99"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row>
    <row r="298">
      <c r="A298" s="99"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row>
    <row r="299">
      <c r="A299" s="99"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row>
    <row r="300">
      <c r="A300" s="99"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row>
    <row r="301">
      <c r="A301" s="99"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row>
    <row r="302">
      <c r="A302" s="99"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row>
    <row r="303">
      <c r="A303" s="99"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row>
    <row r="304">
      <c r="A304" s="99"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row>
    <row r="305">
      <c r="A305" s="99"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row>
    <row r="306">
      <c r="A306" s="99"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row>
    <row r="307">
      <c r="A307" s="99"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row>
    <row r="308">
      <c r="A308" s="99"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row>
    <row r="309">
      <c r="A309" s="99"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row>
    <row r="310">
      <c r="A310" s="99"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row>
    <row r="311">
      <c r="A311" s="99"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row>
    <row r="312">
      <c r="A312" s="99"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row>
    <row r="313">
      <c r="A313" s="99"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row>
    <row r="314">
      <c r="A314" s="99"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row>
    <row r="315">
      <c r="A315" s="99"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row>
    <row r="316">
      <c r="A316" s="99"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row>
    <row r="317">
      <c r="A317" s="99"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row>
    <row r="318">
      <c r="A318" s="99"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row>
    <row r="319">
      <c r="A319" s="99"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row>
    <row r="320">
      <c r="A320" s="99"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row>
    <row r="321">
      <c r="A321" s="99"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row>
    <row r="322">
      <c r="A322" s="99"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row>
    <row r="323">
      <c r="A323" s="99"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row>
    <row r="324">
      <c r="A324" s="99"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row>
    <row r="325">
      <c r="A325" s="99"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row>
    <row r="326">
      <c r="A326" s="99"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row>
    <row r="327">
      <c r="A327" s="99"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row>
    <row r="328" ht="20.45" customHeight="1" s="106">
      <c r="A328" s="99"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row>
    <row r="329">
      <c r="A329" s="99"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row>
    <row r="330" ht="20.45" customHeight="1" s="106">
      <c r="A330" s="99"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row>
    <row r="331">
      <c r="A331" s="99"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row>
    <row r="332">
      <c r="A332" s="99"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row>
    <row r="333">
      <c r="A333" s="99"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row>
    <row r="334">
      <c r="A334" s="99"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row>
    <row r="335" ht="20.45" customHeight="1" s="106">
      <c r="A335" s="99"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row>
    <row r="336">
      <c r="A336" s="99"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row>
    <row r="337">
      <c r="A337" s="99"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row>
    <row r="338" ht="20.45" customHeight="1" s="106">
      <c r="A338" s="99"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row>
    <row r="339">
      <c r="A339" s="99"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row>
    <row r="340">
      <c r="A340" s="99"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row>
    <row r="341" ht="20.45" customHeight="1" s="106">
      <c r="A341" s="99"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row>
    <row r="342" ht="20.45" customHeight="1" s="106">
      <c r="A342" s="99"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row>
    <row r="343">
      <c r="A343" s="99"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row>
    <row r="344" ht="20.45" customHeight="1" s="106">
      <c r="A344" s="99"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row>
    <row r="345">
      <c r="A345" s="99"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row>
    <row r="346">
      <c r="A346" s="99"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row>
    <row r="347">
      <c r="A347" s="99"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row>
    <row r="348">
      <c r="A348" s="99"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row>
    <row r="349">
      <c r="A349" s="99"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row>
    <row r="350">
      <c r="A350" s="99"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row>
    <row r="351">
      <c r="A351" s="99"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row>
    <row r="352">
      <c r="A352" s="99"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row>
    <row r="353">
      <c r="A353" s="99"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row>
    <row r="354">
      <c r="A354" s="99"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row>
    <row r="355">
      <c r="A355" s="99"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row>
    <row r="356">
      <c r="A356" s="99"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row>
    <row r="357">
      <c r="A357" s="99"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row>
    <row r="358">
      <c r="A358" s="99"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row>
    <row r="359">
      <c r="A359" s="99"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row>
    <row r="360">
      <c r="A360" s="99"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row>
    <row r="361">
      <c r="A361" s="99"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row>
    <row r="362">
      <c r="A362" s="99"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row>
    <row r="363">
      <c r="A363" s="99"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row>
    <row r="364">
      <c r="A364" s="99"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row>
    <row r="365">
      <c r="A365" s="99"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row>
    <row r="366">
      <c r="A366" s="99"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row>
    <row r="367">
      <c r="A367" s="99"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row>
    <row r="368">
      <c r="A368" s="99"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row>
    <row r="369">
      <c r="A369" s="99"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row>
    <row r="370">
      <c r="A370" s="99"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row>
    <row r="371">
      <c r="A371" s="99"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row>
    <row r="372">
      <c r="A372" s="99"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row>
    <row r="373">
      <c r="A373" s="99"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row>
    <row r="374">
      <c r="A374" s="99"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row>
    <row r="375">
      <c r="A375" s="99"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row>
    <row r="376">
      <c r="A376" s="99"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row>
    <row r="377">
      <c r="A377" s="99"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row>
    <row r="378">
      <c r="A378" s="99"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row>
    <row r="379">
      <c r="A379" s="99"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row>
    <row r="380">
      <c r="A380" s="99"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row>
    <row r="381">
      <c r="A381" s="99"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row>
    <row r="382">
      <c r="A382" s="99"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row>
    <row r="383">
      <c r="A383" s="99"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row>
    <row r="384">
      <c r="A384" s="99"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row>
    <row r="385">
      <c r="A385" s="99"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row>
    <row r="386">
      <c r="A386" s="99"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row>
    <row r="387">
      <c r="A387" s="99"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row>
    <row r="388">
      <c r="A388" s="99"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row>
    <row r="389">
      <c r="A389" s="99"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row>
    <row r="390">
      <c r="A390" s="99"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row>
    <row r="391">
      <c r="A391" s="99"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row>
    <row r="392">
      <c r="A392" s="99"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row>
    <row r="393">
      <c r="A393" s="99"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row>
    <row r="394">
      <c r="A394" s="99"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row>
    <row r="395">
      <c r="A395" s="99"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row>
    <row r="396">
      <c r="A396" s="99"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row>
    <row r="397">
      <c r="A397" s="99"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row>
    <row r="398">
      <c r="A398" s="99"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row>
    <row r="399">
      <c r="A399" s="99"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row>
    <row r="400">
      <c r="A400" s="99"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row>
    <row r="401">
      <c r="A401" s="99"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row>
    <row r="402">
      <c r="A402" s="99"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row>
    <row r="403">
      <c r="A403" s="99"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row>
    <row r="404">
      <c r="A404" s="99"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row>
    <row r="405">
      <c r="A405" s="99"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row>
    <row r="406">
      <c r="A406" s="99"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row>
    <row r="407">
      <c r="A407" s="99"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row>
    <row r="408">
      <c r="A408" s="99"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row>
    <row r="409">
      <c r="A409" s="99"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row>
    <row r="410">
      <c r="A410" s="99"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row>
    <row r="411">
      <c r="A411" s="99"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row>
    <row r="412">
      <c r="A412" s="99"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row>
    <row r="413">
      <c r="A413" s="99"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row>
    <row r="414">
      <c r="A414" s="99"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row>
    <row r="415">
      <c r="A415" s="99"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row>
    <row r="416">
      <c r="A416" s="99"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row>
    <row r="417">
      <c r="A417" s="99"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row>
    <row r="418">
      <c r="A418" s="99"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row>
    <row r="419">
      <c r="A419" s="99"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row>
    <row r="420">
      <c r="A420" s="99"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row>
    <row r="421">
      <c r="A421" s="99"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row>
    <row r="422">
      <c r="A422" s="99"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row>
    <row r="423">
      <c r="A423" s="99"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row>
    <row r="424">
      <c r="A424" s="99"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row>
    <row r="425">
      <c r="A425" s="99"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row>
    <row r="426">
      <c r="A426" s="99"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row>
    <row r="427">
      <c r="A427" s="99"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row>
    <row r="428">
      <c r="A428" s="99"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row>
    <row r="429">
      <c r="A429" s="99"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row>
    <row r="430">
      <c r="A430" s="99"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row>
    <row r="431">
      <c r="A431" s="99"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row>
    <row r="432">
      <c r="A432" s="99"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row>
    <row r="433">
      <c r="A433" s="99"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row>
    <row r="434">
      <c r="A434" s="99"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row>
    <row r="435">
      <c r="A435" s="99"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row>
    <row r="436">
      <c r="A436" s="99"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row>
    <row r="437" ht="30.6" customHeight="1" s="106">
      <c r="A437" s="99"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row>
    <row r="438">
      <c r="A438" s="99"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row>
    <row r="439">
      <c r="A439" s="99"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row>
    <row r="440">
      <c r="A440" s="99"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row>
    <row r="441">
      <c r="A441" s="99"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row>
    <row r="442">
      <c r="A442" s="99"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row>
    <row r="443">
      <c r="A443" s="99"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row>
    <row r="444">
      <c r="A444" s="99"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row>
    <row r="445">
      <c r="A445" s="99"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row>
    <row r="446" ht="30.6" customHeight="1" s="106">
      <c r="A446" s="99"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row>
    <row r="447">
      <c r="A447" s="99"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row>
    <row r="448">
      <c r="A448" s="99"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row>
    <row r="449">
      <c r="A449" s="99"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row>
    <row r="450">
      <c r="A450" s="99"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row>
    <row r="451">
      <c r="A451" s="99"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row>
    <row r="452">
      <c r="A452" s="99"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row>
    <row r="453">
      <c r="A453" s="99"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row>
    <row r="454" ht="12" customHeight="1" s="106">
      <c r="A454" s="99"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row>
    <row r="455">
      <c r="A455" s="99"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row>
    <row r="456">
      <c r="A456" s="99"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row>
    <row r="457">
      <c r="A457" s="99"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row>
    <row r="458">
      <c r="A458" s="99"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row>
    <row r="459">
      <c r="A459" s="99"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row>
    <row r="460">
      <c r="A460" s="99"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row>
    <row r="461">
      <c r="A461" s="99"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row>
    <row r="462">
      <c r="A462" s="99"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row>
    <row r="463">
      <c r="A463" s="99"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row>
    <row r="464">
      <c r="A464" s="99"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row>
    <row r="465" ht="30.6" customHeight="1" s="106">
      <c r="A465" s="99"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row>
    <row r="466">
      <c r="A466" s="99"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row>
    <row r="467">
      <c r="A467" s="99"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row>
    <row r="468">
      <c r="A468" s="99"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row>
    <row r="469">
      <c r="A469" s="99"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row>
    <row r="470">
      <c r="A470" s="99"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row>
    <row r="471">
      <c r="A471" s="99"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row>
    <row r="472">
      <c r="A472" s="99"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row>
    <row r="473">
      <c r="A473" s="99"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row>
    <row r="474">
      <c r="A474" s="99"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row>
    <row r="475">
      <c r="A475" s="99"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row>
    <row r="476">
      <c r="A476" s="99"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row>
    <row r="477">
      <c r="A477" s="99"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row>
    <row r="478">
      <c r="A478" s="99"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row>
    <row r="479">
      <c r="A479" s="99"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row>
    <row r="480">
      <c r="A480" s="99"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row>
    <row r="481">
      <c r="A481" s="99"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row>
    <row r="482">
      <c r="A482" s="99"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row>
    <row r="483">
      <c r="A483" s="99"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row>
    <row r="484">
      <c r="A484" s="99"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row>
    <row r="485">
      <c r="A485" s="99"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row>
    <row r="486">
      <c r="A486" s="99"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row>
    <row r="487">
      <c r="A487" s="99"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row>
    <row r="488">
      <c r="A488" s="99"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row>
    <row r="489">
      <c r="A489" s="99"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row>
    <row r="490">
      <c r="A490" s="99"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row>
    <row r="491">
      <c r="A491" s="99"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row>
    <row r="492">
      <c r="A492" s="99"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row>
    <row r="493">
      <c r="A493" s="99"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row>
    <row r="494">
      <c r="A494" s="99"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row>
    <row r="495">
      <c r="A495" s="99"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row>
    <row r="496">
      <c r="A496" s="99"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row>
    <row r="497">
      <c r="A497" s="99"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row>
    <row r="498">
      <c r="A498" s="99"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row>
    <row r="499">
      <c r="A499" s="99"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row>
    <row r="500">
      <c r="A500" s="99"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row>
    <row r="501">
      <c r="A501" s="99"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row>
    <row r="502">
      <c r="A502" s="99"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row>
    <row r="503">
      <c r="A503" s="99"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row>
    <row r="504">
      <c r="A504" s="99"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row>
    <row r="505">
      <c r="A505" s="99"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row>
    <row r="506">
      <c r="A506" s="99"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row>
    <row r="507">
      <c r="A507" s="99"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row>
    <row r="508">
      <c r="A508" s="99"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row>
    <row r="509">
      <c r="A509" s="99"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row>
    <row r="510">
      <c r="A510" s="99"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row>
    <row r="511">
      <c r="A511" s="99"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row>
    <row r="512">
      <c r="A512" s="99"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row>
    <row r="513">
      <c r="A513" s="99"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row>
    <row r="514">
      <c r="A514" s="99"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row>
    <row r="515">
      <c r="A515" s="99"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row>
    <row r="516">
      <c r="A516" s="99"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row>
    <row r="517">
      <c r="A517" s="99"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row>
    <row r="518">
      <c r="A518" s="99"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row>
    <row r="519">
      <c r="A519" s="99"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row>
    <row r="520">
      <c r="A520" s="99"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row>
    <row r="521">
      <c r="A521" s="99"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row>
    <row r="522">
      <c r="A522" s="99"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row>
    <row r="523">
      <c r="A523" s="99"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row>
    <row r="524">
      <c r="A524" s="99"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row>
    <row r="525">
      <c r="A525" s="99"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row>
    <row r="526">
      <c r="A526" s="99"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row>
    <row r="527">
      <c r="A527" s="99"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row>
    <row r="528">
      <c r="A528" s="99"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row>
    <row r="529">
      <c r="A529" s="99"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row>
    <row r="530">
      <c r="A530" s="99"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row>
    <row r="531">
      <c r="A531" s="99"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row>
    <row r="532">
      <c r="A532" s="99"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row>
    <row r="533">
      <c r="A533" s="99"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row>
    <row r="534">
      <c r="A534" s="99"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row>
    <row r="535">
      <c r="A535" s="99"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row>
    <row r="536">
      <c r="A536" s="99"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row>
    <row r="537">
      <c r="A537" s="99"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row>
    <row r="538">
      <c r="A538" s="99"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row>
    <row r="539" ht="20.45" customHeight="1" s="106">
      <c r="A539" s="99"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row>
    <row r="540">
      <c r="A540" s="99"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row>
    <row r="541">
      <c r="A541" s="99"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row>
    <row r="542">
      <c r="A542" s="99"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row>
    <row r="543" ht="30.6" customHeight="1" s="106">
      <c r="A543" s="99"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row>
    <row r="544">
      <c r="A544" s="99"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row>
    <row r="545">
      <c r="A545" s="99"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row>
    <row r="546" ht="41.1" customHeight="1" s="106">
      <c r="A546" s="99"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row>
    <row r="547" ht="20.45" customHeight="1" s="106">
      <c r="A547" s="99"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row>
    <row r="548">
      <c r="A548" s="99"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row>
    <row r="549">
      <c r="A549" s="99"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row>
    <row r="550" ht="12" customHeight="1" s="106">
      <c r="A550" s="99"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row>
    <row r="551">
      <c r="A551" s="99"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row>
    <row r="552">
      <c r="A552" s="99"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row>
    <row r="553">
      <c r="A553" s="99"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row>
    <row r="554">
      <c r="A554" s="99"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row>
    <row r="555">
      <c r="A555" s="99"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row>
    <row r="556">
      <c r="A556" s="99"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row>
    <row r="557">
      <c r="A557" s="99"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row>
    <row r="558" ht="20.45" customHeight="1" s="106">
      <c r="A558" s="99"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row>
    <row r="559">
      <c r="A559" s="99"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row>
    <row r="560">
      <c r="A560" s="99"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row>
    <row r="561">
      <c r="A561" s="99"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row>
    <row r="562">
      <c r="A562" s="99"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row>
    <row r="563">
      <c r="A563" s="99"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row>
    <row r="564">
      <c r="A564" s="99"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row>
    <row r="565">
      <c r="A565" s="99"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row>
    <row r="566">
      <c r="A566" s="99"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row>
    <row r="567">
      <c r="A567" s="99"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row>
    <row r="568">
      <c r="A568" s="99"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row>
    <row r="569">
      <c r="A569" s="99"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row>
    <row r="570">
      <c r="A570" s="99"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row>
    <row r="571">
      <c r="A571" s="99"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row>
    <row r="572">
      <c r="A572" s="99"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row>
    <row r="573">
      <c r="A573" s="99"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row>
    <row r="574">
      <c r="A574" s="99"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row>
    <row r="575">
      <c r="A575" s="99"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row>
    <row r="576">
      <c r="A576" s="99"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row>
    <row r="577">
      <c r="A577" s="99"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row>
    <row r="578">
      <c r="A578" s="99"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row>
    <row r="579">
      <c r="A579" s="99"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row>
    <row r="580">
      <c r="A580" s="99"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row>
    <row r="581">
      <c r="A581" s="99"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row>
    <row r="582">
      <c r="A582" s="99"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row>
    <row r="583">
      <c r="A583" s="99"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row>
    <row r="584">
      <c r="A584" s="99"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row>
    <row r="585">
      <c r="A585" s="99"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row>
    <row r="586">
      <c r="A586" s="99"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row>
    <row r="587">
      <c r="A587" s="99"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row>
    <row r="588">
      <c r="A588" s="99"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row>
    <row r="589">
      <c r="A589" s="99"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row>
    <row r="590">
      <c r="A590" s="99"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row>
    <row r="591">
      <c r="A591" s="99"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row>
    <row r="592">
      <c r="A592" s="99"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row>
    <row r="593">
      <c r="A593" s="99"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row>
    <row r="594">
      <c r="A594" s="99"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row>
    <row r="595">
      <c r="A595" s="99"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row>
    <row r="596">
      <c r="A596" s="99"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row>
    <row r="597">
      <c r="A597" s="99"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row>
    <row r="598">
      <c r="A598" s="99"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row>
    <row r="599">
      <c r="A599" s="99"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row>
    <row r="600">
      <c r="A600" s="99"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row>
    <row r="601">
      <c r="A601" s="99"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row>
    <row r="602">
      <c r="A602" s="99"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row>
    <row r="603">
      <c r="A603" s="99"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row>
    <row r="604">
      <c r="A604" s="99"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row>
    <row r="605">
      <c r="A605" s="99"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row>
    <row r="606">
      <c r="A606" s="99"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row>
    <row r="607">
      <c r="A607" s="99"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row>
    <row r="608">
      <c r="A608" s="99"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row>
    <row r="609">
      <c r="A609" s="99"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row>
    <row r="610">
      <c r="A610" s="99"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row>
    <row r="611">
      <c r="A611" s="99"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row>
    <row r="612">
      <c r="A612" s="99"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row>
    <row r="613">
      <c r="A613" s="99"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row>
    <row r="614">
      <c r="A614" s="99"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row>
    <row r="615">
      <c r="A615" s="99"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row>
    <row r="616">
      <c r="A616" s="99"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row>
    <row r="617">
      <c r="A617" s="99"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row>
    <row r="618">
      <c r="A618" s="99"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row>
    <row r="619">
      <c r="A619" s="99"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row>
    <row r="620">
      <c r="A620" s="99"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row>
    <row r="621">
      <c r="A621" s="99"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row>
    <row r="622">
      <c r="A622" s="99"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row>
    <row r="623">
      <c r="A623" s="99"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row>
    <row r="624">
      <c r="A624" s="99"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row>
    <row r="625">
      <c r="A625" s="99"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row>
    <row r="626">
      <c r="A626" s="99"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row>
    <row r="627">
      <c r="A627" s="99"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row>
    <row r="628">
      <c r="A628" s="99"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row>
    <row r="629">
      <c r="A629" s="99"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row>
    <row r="630">
      <c r="A630" s="99"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row>
    <row r="631">
      <c r="A631" s="99"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row>
    <row r="632">
      <c r="A632" s="99"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row>
    <row r="633">
      <c r="A633" s="99"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row>
    <row r="634">
      <c r="A634" s="99"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row>
    <row r="635">
      <c r="A635" s="99"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row>
    <row r="636">
      <c r="A636" s="99"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row>
    <row r="637">
      <c r="A637" s="99"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row>
    <row r="638">
      <c r="A638" s="99"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row>
    <row r="639">
      <c r="A639" s="99"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row>
    <row r="640">
      <c r="A640" s="99"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row>
    <row r="641">
      <c r="A641" s="99"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row>
    <row r="642">
      <c r="A642" s="99"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row>
    <row r="643">
      <c r="A643" s="99"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row>
    <row r="644">
      <c r="A644" s="99"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row>
    <row r="645">
      <c r="A645" s="99"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row>
    <row r="646">
      <c r="A646" s="99"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row>
    <row r="647">
      <c r="A647" s="99"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row>
    <row r="648">
      <c r="A648" s="99"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row>
    <row r="649">
      <c r="A649" s="99"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row>
    <row r="650">
      <c r="A650" s="99"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row>
    <row r="651">
      <c r="A651" s="99"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row>
    <row r="652">
      <c r="A652" s="99"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row>
    <row r="653">
      <c r="A653" s="99"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row>
    <row r="654">
      <c r="A654" s="99"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row>
    <row r="655">
      <c r="A655" s="99"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row>
    <row r="656">
      <c r="A656" s="99"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row>
    <row r="657">
      <c r="A657" s="99"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row>
    <row r="658">
      <c r="A658" s="99"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row>
    <row r="659">
      <c r="A659" s="99"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row>
    <row r="660">
      <c r="A660" s="99"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row>
    <row r="661">
      <c r="A661" s="99"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row>
    <row r="662">
      <c r="A662" s="99"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row>
    <row r="663">
      <c r="A663" s="99"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row>
    <row r="664">
      <c r="A664" s="99"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row>
    <row r="665">
      <c r="A665" s="99"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row>
    <row r="666">
      <c r="A666" s="99"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row>
    <row r="667">
      <c r="A667" s="99"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row>
    <row r="668">
      <c r="A668" s="99"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row>
    <row r="669">
      <c r="A669" s="99"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row>
    <row r="670">
      <c r="A670" s="99"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row>
    <row r="671">
      <c r="A671" s="99"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row>
    <row r="672">
      <c r="A672" s="99"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row>
    <row r="673">
      <c r="A673" s="99"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row>
    <row r="674">
      <c r="A674" s="99"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row>
    <row r="675">
      <c r="A675" s="99"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row>
    <row r="676">
      <c r="A676" s="99"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row>
    <row r="677">
      <c r="A677" s="99"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row>
    <row r="678">
      <c r="A678" s="99"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row>
    <row r="679">
      <c r="A679" s="99"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row>
    <row r="680">
      <c r="A680" s="99"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row>
    <row r="681">
      <c r="A681" s="99"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row>
    <row r="682">
      <c r="A682" s="99"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row>
    <row r="683">
      <c r="A683" s="99"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row>
    <row r="684">
      <c r="A684" s="99"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row>
    <row r="685">
      <c r="A685" s="99"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row>
    <row r="686">
      <c r="A686" s="99"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row>
    <row r="687">
      <c r="A687" s="99"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row>
    <row r="688">
      <c r="A688" s="99"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row>
    <row r="689">
      <c r="A689" s="99"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row>
    <row r="690">
      <c r="A690" s="99"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row>
    <row r="691">
      <c r="A691" s="99"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row>
    <row r="692">
      <c r="A692" s="99"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row>
    <row r="693">
      <c r="A693" s="99"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row>
    <row r="694">
      <c r="A694" s="99"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row>
    <row r="695">
      <c r="A695" s="99"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row>
    <row r="696">
      <c r="A696" s="99"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row>
    <row r="697">
      <c r="A697" s="99"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row>
    <row r="698">
      <c r="A698" s="99"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row>
    <row r="699">
      <c r="A699" s="99"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row>
    <row r="700">
      <c r="A700" s="99"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row>
    <row r="701">
      <c r="A701" s="99"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row>
    <row r="702">
      <c r="A702" s="99"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row>
    <row r="703">
      <c r="A703" s="99"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row>
    <row r="704">
      <c r="A704" s="99"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row>
    <row r="705">
      <c r="A705" s="99"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row>
    <row r="706">
      <c r="A706" s="99"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row>
    <row r="707">
      <c r="A707" s="99"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row>
    <row r="708">
      <c r="A708" s="99"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row>
    <row r="709">
      <c r="A709" s="99"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row>
    <row r="710">
      <c r="A710" s="99"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row>
    <row r="711">
      <c r="A711" s="99"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row>
    <row r="712">
      <c r="A712" s="99"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row>
    <row r="713">
      <c r="A713" s="99"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row>
    <row r="714">
      <c r="A714" s="99"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row>
    <row r="715">
      <c r="A715" s="99"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row>
    <row r="716">
      <c r="A716" s="99"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row>
    <row r="717">
      <c r="A717" s="99"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row>
    <row r="718">
      <c r="A718" s="99"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row>
    <row r="719" ht="12" customHeight="1" s="106">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row>
    <row r="720">
      <c r="A720" s="99"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row>
    <row r="721">
      <c r="A721" s="99"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row>
    <row r="722">
      <c r="A722" s="99"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row>
    <row r="723">
      <c r="A723" s="99"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row>
    <row r="724" ht="20.45" customHeight="1" s="106">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row>
    <row r="725">
      <c r="A725" s="99"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row>
    <row r="726">
      <c r="A726" s="99"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row>
    <row r="727">
      <c r="A727" s="99"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row>
    <row r="728">
      <c r="A728" s="99"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row>
    <row r="729">
      <c r="A729" s="99"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row>
    <row r="730">
      <c r="A730" s="99"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row>
    <row r="731">
      <c r="A731" s="99"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row>
    <row r="732">
      <c r="A732" s="99"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row>
    <row r="733">
      <c r="A733" s="99"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row>
    <row r="734">
      <c r="A734" s="99"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row>
    <row r="735">
      <c r="A735" s="99"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row>
    <row r="736">
      <c r="A736" s="99"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row>
    <row r="737">
      <c r="A737" s="99"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row>
    <row r="738">
      <c r="A738" s="99"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row>
    <row r="739">
      <c r="A739" s="99"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row>
    <row r="740">
      <c r="A740" s="99"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row>
    <row r="741">
      <c r="A741" s="99"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row>
    <row r="742">
      <c r="A742" s="99"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row>
    <row r="743">
      <c r="A743" s="99"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row>
    <row r="744">
      <c r="A744" s="99"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row>
    <row r="745">
      <c r="A745" s="99"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row>
    <row r="746">
      <c r="A746" s="99"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row>
    <row r="747">
      <c r="A747" s="99"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row>
    <row r="748">
      <c r="A748" s="99"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row>
    <row r="749">
      <c r="A749" s="99"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row>
    <row r="750">
      <c r="A750" s="99"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row>
    <row r="751">
      <c r="A751" s="99"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row>
    <row r="752">
      <c r="A752" s="99"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row>
    <row r="753">
      <c r="A753" s="99"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row>
    <row r="754">
      <c r="A754" s="99"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row>
    <row r="755">
      <c r="A755" s="99"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row>
    <row r="756">
      <c r="A756" s="99"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row>
    <row r="757">
      <c r="A757" s="99"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row>
    <row r="758">
      <c r="A758" s="99"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row>
    <row r="759">
      <c r="A759" s="99"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row>
    <row r="760">
      <c r="A760" s="99"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row>
    <row r="761">
      <c r="A761" s="99"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row>
    <row r="762">
      <c r="A762" s="99"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row>
    <row r="763">
      <c r="A763" s="99"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row>
    <row r="764">
      <c r="A764" s="99"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row>
    <row r="765">
      <c r="A765" s="99"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row>
    <row r="766" ht="12" customHeight="1" s="106">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row>
    <row r="767" ht="20.45" customHeight="1" s="106">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row>
    <row r="768" ht="12" customHeight="1" s="106">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row>
    <row r="769" ht="20.45" customHeight="1" s="106">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row>
    <row r="770" ht="20.45" customHeight="1" s="106">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row>
    <row r="771" ht="12" customHeight="1" s="106">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row>
    <row r="772" ht="12" customHeight="1" s="106">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row>
    <row r="773" ht="12" customHeight="1" s="106">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row>
    <row r="774" ht="12" customHeight="1" s="106">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row>
    <row r="775" ht="12" customHeight="1" s="106">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row>
    <row r="776" ht="20.45" customHeight="1" s="106">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row>
    <row r="777" ht="20.45" customHeight="1" s="106">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row>
    <row r="778" ht="20.45" customHeight="1" s="106">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row>
    <row r="779">
      <c r="A779" s="99"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row>
    <row r="780" ht="20.45" customHeight="1" s="106">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row>
    <row r="781" ht="20.45" customHeight="1" s="106">
      <c r="A781" s="99"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row>
    <row r="782">
      <c r="A782" s="99"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row>
    <row r="783" ht="20.45" customHeight="1" s="106">
      <c r="A783" s="99"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row>
    <row r="784" ht="20.45" customHeight="1" s="106">
      <c r="A784" s="99"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row>
    <row r="785">
      <c r="A785" s="99"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row>
    <row r="786">
      <c r="A786" s="99"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row>
    <row r="787">
      <c r="A787" s="99"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row>
    <row r="788" ht="20.45" customHeight="1" s="106">
      <c r="A788" s="99"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row>
    <row r="789" ht="20.45" customHeight="1" s="106">
      <c r="A789" s="99"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row>
    <row r="790" ht="20.45" customHeight="1" s="106">
      <c r="A790" s="99"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row>
    <row r="791" ht="20.45" customHeight="1" s="106">
      <c r="A791" s="99"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row>
    <row r="792" ht="20.45" customHeight="1" s="106">
      <c r="A792" s="99"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row>
    <row r="793" ht="20.45" customHeight="1" s="106">
      <c r="A793" s="99"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row>
    <row r="794" ht="20.45" customHeight="1" s="106">
      <c r="A794" s="99"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row>
    <row r="795" ht="20.45" customHeight="1" s="106">
      <c r="A795" s="99"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row>
    <row r="796" ht="20.45" customHeight="1" s="106">
      <c r="A796" s="99"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row>
    <row r="797" ht="24" customHeight="1" s="106">
      <c r="A797" s="99"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row>
    <row r="798">
      <c r="A798" s="99"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row>
    <row r="799">
      <c r="A799" s="99"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row>
    <row r="800">
      <c r="A800" s="99"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row>
    <row r="801">
      <c r="A801" s="99"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row>
    <row r="802">
      <c r="A802" s="99"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row>
    <row r="803">
      <c r="A803" s="99"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row>
    <row r="804">
      <c r="A804" s="99"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row>
    <row r="805">
      <c r="A805" s="99"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row>
    <row r="806">
      <c r="A806" s="99"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row>
    <row r="807">
      <c r="A807" s="99"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row>
    <row r="808">
      <c r="A808" s="99"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row>
    <row r="809">
      <c r="A809" s="99"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row>
    <row r="810">
      <c r="A810" s="99"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row>
    <row r="811">
      <c r="A811" s="99"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row>
    <row r="812">
      <c r="A812" s="99"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row>
    <row r="813">
      <c r="A813" s="99"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row>
    <row r="814">
      <c r="A814" s="99"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row>
    <row r="815">
      <c r="A815" s="99"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row>
    <row r="816">
      <c r="A816" s="99"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row>
    <row r="817">
      <c r="A817" s="99"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row>
    <row r="818" ht="41.1" customHeight="1" s="106">
      <c r="A818" s="99"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row>
    <row r="819" ht="51" customHeight="1" s="106">
      <c r="A819" s="99"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row>
    <row r="820" ht="61.35" customHeight="1" s="106">
      <c r="A820" s="99"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row>
    <row r="821" ht="20.45" customHeight="1" s="106">
      <c r="A821" s="99"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row>
    <row r="822" ht="30.6" customHeight="1" s="106">
      <c r="A822" s="99"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row>
    <row r="823" ht="20.45" customHeight="1" s="106">
      <c r="A823" s="99"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row>
    <row r="824">
      <c r="A824" s="99"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row>
    <row r="825">
      <c r="A825" s="99"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row>
    <row r="826">
      <c r="A826" s="99"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row>
    <row r="827">
      <c r="A827" s="99"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row>
    <row r="828">
      <c r="A828" s="99"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row>
    <row r="829">
      <c r="A829" s="99"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row>
    <row r="830">
      <c r="A830" s="99"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row>
    <row r="831">
      <c r="A831" s="99"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row>
    <row r="832">
      <c r="A832" s="99"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row>
    <row r="833">
      <c r="A833" s="99"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row>
    <row r="834">
      <c r="A834" s="99"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row>
    <row r="835">
      <c r="A835" s="99"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row>
    <row r="836">
      <c r="A836" s="99"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row>
    <row r="837">
      <c r="A837" s="99"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row>
    <row r="838">
      <c r="A838" s="99"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row>
    <row r="839">
      <c r="A839" s="99"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row>
    <row r="840">
      <c r="A840" s="99"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row>
    <row r="841">
      <c r="A841" s="99"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row>
    <row r="842">
      <c r="A842" s="99"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row>
    <row r="843">
      <c r="A843" s="99"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row>
    <row r="844">
      <c r="A844" s="99"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row>
    <row r="845">
      <c r="A845" s="99"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row>
    <row r="846">
      <c r="A846" s="99"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row>
    <row r="847">
      <c r="A847" s="99"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row>
    <row r="848">
      <c r="A848" s="99"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row>
    <row r="849">
      <c r="A849" s="99"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row>
    <row r="850">
      <c r="A850" s="99"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row>
    <row r="851">
      <c r="A851" s="99"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row>
    <row r="852">
      <c r="A852" s="99"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row>
    <row r="853">
      <c r="A853" s="99"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row>
    <row r="854">
      <c r="A854" s="99"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row>
    <row r="855">
      <c r="A855" s="99"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row>
    <row r="856">
      <c r="A856" s="99"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row>
    <row r="857">
      <c r="A857" s="99"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row>
    <row r="858">
      <c r="A858" s="99"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row>
    <row r="859">
      <c r="A859" s="99"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row>
    <row r="860">
      <c r="A860" s="99"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row>
    <row r="861">
      <c r="A861" s="99"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row>
    <row r="862">
      <c r="A862" s="99"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row>
    <row r="863">
      <c r="A863" s="99"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row>
    <row r="864">
      <c r="A864" s="99"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row>
    <row r="865">
      <c r="A865" s="99"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row>
    <row r="866">
      <c r="A866" s="99"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row>
    <row r="867">
      <c r="A867" s="99"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row>
    <row r="868">
      <c r="A868" s="99"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row>
    <row r="869">
      <c r="A869" s="99"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row>
    <row r="870">
      <c r="A870" s="99"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row>
    <row r="871">
      <c r="A871" s="99"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row>
    <row r="872">
      <c r="A872" s="99"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row>
    <row r="873">
      <c r="A873" s="99"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row>
    <row r="874">
      <c r="A874" s="99"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row>
    <row r="875">
      <c r="A875" s="99"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row>
    <row r="876">
      <c r="A876" s="99"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row>
    <row r="877">
      <c r="A877" s="99"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row>
    <row r="878">
      <c r="A878" s="99"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row>
    <row r="879">
      <c r="A879" s="99"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row>
    <row r="880">
      <c r="A880" s="99"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row>
    <row r="881">
      <c r="A881" s="99"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row>
    <row r="882">
      <c r="A882" s="99"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row>
    <row r="883">
      <c r="A883" s="99"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row>
    <row r="884">
      <c r="A884" s="99"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row>
    <row r="885">
      <c r="A885" s="99"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row>
    <row r="886">
      <c r="A886" s="99"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row>
    <row r="887">
      <c r="A887" s="99"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row>
    <row r="888">
      <c r="A888" s="99"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row>
    <row r="889">
      <c r="A889" s="99"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row>
    <row r="890">
      <c r="A890" s="99"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row>
    <row r="891">
      <c r="A891" s="99"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row>
    <row r="892">
      <c r="A892" s="99"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row>
    <row r="893">
      <c r="A893" s="99"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row>
    <row r="894">
      <c r="A894" s="99"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row>
    <row r="895">
      <c r="A895" s="99"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row>
    <row r="896">
      <c r="A896" s="99"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row>
    <row r="897">
      <c r="A897" s="99"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row>
    <row r="898">
      <c r="A898" s="99"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row>
    <row r="899">
      <c r="A899" s="99"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row>
    <row r="900">
      <c r="A900" s="99"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row>
    <row r="901">
      <c r="A901" s="99"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row>
    <row r="902">
      <c r="A902" s="99"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row>
    <row r="903">
      <c r="A903" s="99"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row>
    <row r="904">
      <c r="A904" s="99"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row>
    <row r="905">
      <c r="A905" s="99"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row>
    <row r="906">
      <c r="A906" s="99"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row>
    <row r="907">
      <c r="A907" s="99"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row>
    <row r="908">
      <c r="A908" s="99"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row>
    <row r="909">
      <c r="A909" s="99"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row>
    <row r="910">
      <c r="A910" s="99"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row>
    <row r="911">
      <c r="A911" s="99"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row>
    <row r="912">
      <c r="A912" s="99"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row>
    <row r="913">
      <c r="A913" s="99"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row>
    <row r="914">
      <c r="A914" s="99"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row>
    <row r="915">
      <c r="A915" s="99"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row>
    <row r="916">
      <c r="A916" s="99"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row>
    <row r="917">
      <c r="A917" s="99"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row>
    <row r="918">
      <c r="A918" s="99"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row>
    <row r="919">
      <c r="A919" s="99"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row>
    <row r="920">
      <c r="A920" s="99"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row>
    <row r="921">
      <c r="A921" s="99"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row>
    <row r="922">
      <c r="A922" s="99"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row>
    <row r="923">
      <c r="A923" s="99"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row>
    <row r="924">
      <c r="A924" s="99"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row>
    <row r="925">
      <c r="A925" s="99"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row>
    <row r="926">
      <c r="A926" s="99"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row>
    <row r="927">
      <c r="A927" s="99"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row>
    <row r="928">
      <c r="A928" s="99"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row>
    <row r="929">
      <c r="A929" s="99"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row>
    <row r="930">
      <c r="A930" s="99"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row>
    <row r="931" ht="20.45" customHeight="1" s="106">
      <c r="A931" s="99"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row>
    <row r="932" ht="24" customHeight="1" s="106">
      <c r="A932" s="99"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row>
    <row r="933">
      <c r="A933" s="99"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row>
    <row r="934">
      <c r="A934" s="99"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row>
    <row r="935">
      <c r="A935" s="99"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row>
    <row r="936">
      <c r="A936" s="99"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row>
    <row r="937">
      <c r="A937" s="99"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row>
    <row r="938">
      <c r="A938" s="99"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row>
    <row r="939">
      <c r="A939" s="99"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row>
    <row r="940">
      <c r="A940" s="99"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row>
    <row r="941">
      <c r="A941" s="99"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row>
    <row r="942">
      <c r="A942" s="99"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row>
    <row r="943">
      <c r="A943" s="99"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row>
    <row r="944">
      <c r="A944" s="99"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row>
    <row r="945">
      <c r="A945" s="99"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row>
    <row r="946">
      <c r="A946" s="99"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row>
    <row r="947">
      <c r="A947" s="99"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row>
    <row r="948">
      <c r="A948" s="99"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row>
    <row r="949">
      <c r="A949" s="99"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row>
    <row r="950">
      <c r="A950" s="99"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row>
    <row r="951">
      <c r="A951" s="99"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row>
    <row r="952">
      <c r="A952" s="99"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row>
    <row r="953">
      <c r="A953" s="99"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row>
    <row r="954">
      <c r="A954" s="99"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row>
    <row r="955">
      <c r="A955" s="99"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row>
    <row r="956">
      <c r="A956" s="99"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row>
    <row r="957">
      <c r="A957" s="99"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row>
    <row r="958">
      <c r="A958" s="99"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row>
    <row r="959">
      <c r="A959" s="99"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row>
    <row r="960">
      <c r="A960" s="99"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row>
    <row r="961">
      <c r="A961" s="99"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row>
    <row r="962">
      <c r="A962" s="99"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row>
    <row r="963">
      <c r="A963" s="99"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row>
    <row r="964">
      <c r="A964" s="99"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row>
    <row r="965">
      <c r="A965" s="99"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row>
    <row r="966">
      <c r="A966" s="99"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row>
    <row r="967">
      <c r="A967" s="99"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row>
    <row r="968">
      <c r="A968" s="99"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row>
    <row r="969">
      <c r="A969" s="99"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row>
    <row r="970" ht="20.45" customHeight="1" s="106">
      <c r="A970" s="99"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row>
    <row r="971">
      <c r="A971" s="99"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row>
    <row r="972">
      <c r="A972" s="99"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row>
    <row r="973">
      <c r="A973" s="99"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row>
    <row r="974">
      <c r="A974" s="99"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row>
    <row r="975">
      <c r="A975" s="99"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row>
    <row r="976">
      <c r="A976" s="99"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row>
    <row r="977">
      <c r="A977" s="99"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row>
    <row r="978">
      <c r="A978" s="99"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row>
    <row r="979">
      <c r="A979" s="99"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row>
    <row r="980">
      <c r="A980" s="99"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row>
    <row r="981">
      <c r="A981" s="99"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row>
    <row r="982">
      <c r="A982" s="99"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row>
    <row r="983">
      <c r="A983" s="99"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row>
    <row r="984">
      <c r="A984" s="99"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row>
    <row r="985">
      <c r="A985" s="99"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row>
    <row r="986">
      <c r="A986" s="99"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row>
    <row r="987">
      <c r="A987" s="99"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row>
    <row r="988">
      <c r="A988" s="99"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row>
    <row r="989">
      <c r="A989" s="99"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row>
    <row r="990">
      <c r="A990" s="99"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row>
    <row r="991">
      <c r="A991" s="99"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row>
    <row r="992">
      <c r="A992" s="99"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row>
    <row r="993">
      <c r="A993" s="99"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row>
    <row r="994">
      <c r="A994" s="99"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row>
    <row r="995">
      <c r="A995" s="99"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row>
    <row r="996">
      <c r="A996" s="99"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row>
    <row r="997">
      <c r="A997" s="99"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row>
    <row r="998">
      <c r="A998" s="99"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row>
    <row r="999">
      <c r="A999" s="99"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row>
    <row r="1000">
      <c r="A1000" s="99"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row>
    <row r="1001">
      <c r="A1001" s="99"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row>
    <row r="1002">
      <c r="A1002" s="99"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row>
    <row r="1003">
      <c r="A1003" s="99"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row>
    <row r="1004">
      <c r="A1004" s="99"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row>
    <row r="1005">
      <c r="A1005" s="99"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row>
    <row r="1006">
      <c r="A1006" s="99"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row>
    <row r="1007">
      <c r="A1007" s="99"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row>
    <row r="1008">
      <c r="A1008" s="99"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row>
    <row r="1009">
      <c r="A1009" s="99"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row>
    <row r="1010">
      <c r="A1010" s="99"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row>
    <row r="1011">
      <c r="A1011" s="99"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row>
    <row r="1012">
      <c r="A1012" s="99"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row>
    <row r="1013">
      <c r="A1013" s="99"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row>
    <row r="1014">
      <c r="A1014" s="99"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row>
    <row r="1015">
      <c r="A1015" s="99"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row>
    <row r="1016">
      <c r="A1016" s="99"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row>
    <row r="1017">
      <c r="A1017" s="99"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row>
    <row r="1018">
      <c r="A1018" s="99"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row>
    <row r="1019">
      <c r="A1019" s="99"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row>
    <row r="1020">
      <c r="A1020" s="99"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row>
    <row r="1021">
      <c r="A1021" s="99"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row>
    <row r="1022">
      <c r="A1022" s="99"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row>
    <row r="1023">
      <c r="A1023" s="99"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row>
    <row r="1024">
      <c r="A1024" s="99"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row>
    <row r="1025">
      <c r="A1025" s="99"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row>
    <row r="1026">
      <c r="A1026" s="99"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row>
    <row r="1027">
      <c r="A1027" s="99"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row>
    <row r="1028">
      <c r="A1028" s="99"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row>
    <row r="1029">
      <c r="A1029" s="99"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row>
    <row r="1030">
      <c r="A1030" s="99"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row>
    <row r="1031">
      <c r="A1031" s="99"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row>
    <row r="1032">
      <c r="A1032" s="99"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row>
    <row r="1033">
      <c r="A1033" s="99"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row>
    <row r="1034">
      <c r="A1034" s="99"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row>
    <row r="1035">
      <c r="A1035" s="99"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row>
    <row r="1036">
      <c r="A1036" s="99"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row>
    <row r="1037">
      <c r="A1037" s="99"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row>
    <row r="1038">
      <c r="A1038" s="99"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row>
    <row r="1039">
      <c r="A1039" s="99"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row>
    <row r="1040">
      <c r="A1040" s="99"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row>
    <row r="1041">
      <c r="A1041" s="99"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row>
    <row r="1042">
      <c r="A1042" s="99"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row>
    <row r="1043">
      <c r="A1043" s="99"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row>
    <row r="1044">
      <c r="A1044" s="99"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row>
    <row r="1045">
      <c r="A1045" s="99"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row>
    <row r="1046">
      <c r="A1046" s="99"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row>
    <row r="1047">
      <c r="A1047" s="99"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row>
    <row r="1048">
      <c r="A1048" s="99"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row>
    <row r="1049">
      <c r="A1049" s="99"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row>
    <row r="1050">
      <c r="A1050" s="99"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row>
    <row r="1051">
      <c r="A1051" s="99"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row>
    <row r="1052">
      <c r="A1052" s="99"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row>
    <row r="1053">
      <c r="A1053" s="99"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row>
    <row r="1054">
      <c r="A1054" s="99"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row>
    <row r="1055">
      <c r="A1055" s="99"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row>
    <row r="1056">
      <c r="A1056" s="99"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row>
    <row r="1057">
      <c r="A1057" s="99"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row>
    <row r="1058">
      <c r="A1058" s="99"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row>
    <row r="1059">
      <c r="A1059" s="99"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row>
    <row r="1060">
      <c r="A1060" s="99"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row>
    <row r="1061">
      <c r="A1061" s="99"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row>
    <row r="1062">
      <c r="A1062" s="99"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row>
    <row r="1063">
      <c r="A1063" s="99"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row>
    <row r="1064">
      <c r="A1064" s="99"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row>
    <row r="1065">
      <c r="A1065" s="99"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row>
    <row r="1066">
      <c r="A1066" s="99"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row>
    <row r="1067">
      <c r="A1067" s="99"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row>
    <row r="1068">
      <c r="A1068" s="99"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row>
    <row r="1069">
      <c r="A1069" s="99"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row>
    <row r="1070">
      <c r="A1070" s="99"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row>
    <row r="1071">
      <c r="A1071" s="99"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row>
    <row r="1072">
      <c r="A1072" s="99"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row>
    <row r="1073">
      <c r="A1073" s="99"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row>
    <row r="1074">
      <c r="A1074" s="99"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row>
    <row r="1075">
      <c r="A1075" s="99"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row>
    <row r="1076">
      <c r="A1076" s="99"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row>
    <row r="1077">
      <c r="A1077" s="99"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row>
    <row r="1078">
      <c r="A1078" s="99"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row>
    <row r="1079">
      <c r="A1079" s="99"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row>
    <row r="1080">
      <c r="A1080" s="99"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row>
    <row r="1081">
      <c r="A1081" s="99"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row>
    <row r="1082">
      <c r="A1082" s="99"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row>
    <row r="1083">
      <c r="A1083" s="99"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row>
    <row r="1084">
      <c r="A1084" s="99"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row>
    <row r="1085">
      <c r="A1085" s="99"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row>
    <row r="1086">
      <c r="A1086" s="99"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row>
    <row r="1087">
      <c r="A1087" s="99"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row>
    <row r="1088">
      <c r="A1088" s="99"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row>
    <row r="1089">
      <c r="A1089" s="99"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row>
    <row r="1090">
      <c r="A1090" s="99"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row>
    <row r="1091">
      <c r="A1091" s="99"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row>
    <row r="1092">
      <c r="A1092" s="99"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row>
    <row r="1093">
      <c r="A1093" s="99"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row>
    <row r="1094">
      <c r="A1094" s="99"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row>
    <row r="1095">
      <c r="A1095" s="99"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row>
    <row r="1096">
      <c r="A1096" s="99"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row>
    <row r="1097">
      <c r="A1097" s="99"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row>
    <row r="1098">
      <c r="A1098" s="99"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row>
    <row r="1099">
      <c r="A1099" s="99"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row>
    <row r="1100">
      <c r="A1100" s="99"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row>
    <row r="1101">
      <c r="A1101" s="99"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row>
    <row r="1102">
      <c r="A1102" s="99"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row>
    <row r="1103">
      <c r="A1103" s="99"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row>
    <row r="1104">
      <c r="A1104" s="99"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row>
    <row r="1105">
      <c r="A1105" s="99"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row>
    <row r="1106">
      <c r="A1106" s="99"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row>
    <row r="1107">
      <c r="A1107" s="99"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row>
    <row r="1108">
      <c r="A1108" s="99"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row>
    <row r="1109">
      <c r="A1109" s="99"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row>
    <row r="1110">
      <c r="A1110" s="99"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row>
    <row r="1111">
      <c r="A1111" s="99"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row>
    <row r="1112">
      <c r="A1112" s="99"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row>
    <row r="1113">
      <c r="A1113" s="99"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row>
    <row r="1114">
      <c r="A1114" s="99"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row>
    <row r="1115">
      <c r="A1115" s="99"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row>
    <row r="1116">
      <c r="A1116" s="99"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row>
    <row r="1117">
      <c r="A1117" s="99"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row>
    <row r="1118">
      <c r="A1118" s="99"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row>
    <row r="1119">
      <c r="A1119" s="99"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row>
    <row r="1120">
      <c r="A1120" s="99"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row>
    <row r="1121">
      <c r="A1121" s="99"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row>
    <row r="1122">
      <c r="A1122" s="99"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row>
    <row r="1123">
      <c r="A1123" s="99"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row>
    <row r="1124">
      <c r="A1124" s="99"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row>
    <row r="1125">
      <c r="A1125" s="99"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row>
    <row r="1126">
      <c r="A1126" s="99"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row>
    <row r="1127">
      <c r="A1127" s="99"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row>
    <row r="1128">
      <c r="A1128" s="99"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row>
    <row r="1129">
      <c r="A1129" s="99"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row>
    <row r="1130">
      <c r="A1130" s="99"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row>
    <row r="1131">
      <c r="A1131" s="99"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row>
    <row r="1132">
      <c r="A1132" s="99"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row>
    <row r="1133">
      <c r="A1133" s="99"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row>
    <row r="1134">
      <c r="A1134" s="99"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row>
    <row r="1135">
      <c r="A1135" s="99"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row>
    <row r="1136">
      <c r="A1136" s="99"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row>
    <row r="1137">
      <c r="A1137" s="99"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row>
    <row r="1138">
      <c r="A1138" s="99"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row>
    <row r="1139">
      <c r="A1139" s="99"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row>
    <row r="1140">
      <c r="A1140" s="99"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row>
    <row r="1141">
      <c r="A1141" s="99"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row>
    <row r="1142">
      <c r="A1142" s="99"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row>
    <row r="1143">
      <c r="A1143" s="99"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row>
    <row r="1144">
      <c r="A1144" s="99"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row>
    <row r="1145">
      <c r="A1145" s="99"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row>
    <row r="1146">
      <c r="A1146" s="99"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row>
    <row r="1147">
      <c r="A1147" s="99"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row>
    <row r="1148">
      <c r="A1148" s="99"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row>
    <row r="1149">
      <c r="A1149" s="99"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row>
    <row r="1150">
      <c r="A1150" s="99"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row>
    <row r="1151">
      <c r="A1151" s="99"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row>
    <row r="1152">
      <c r="A1152" s="99"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row>
    <row r="1153">
      <c r="A1153" s="99"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row>
    <row r="1154">
      <c r="A1154" s="99"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row>
    <row r="1155">
      <c r="A1155" s="99"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row>
    <row r="1156">
      <c r="A1156" s="99"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row>
    <row r="1157">
      <c r="A1157" s="99"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row>
    <row r="1158">
      <c r="A1158" s="99"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row>
    <row r="1159">
      <c r="A1159" s="99"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row>
    <row r="1160">
      <c r="A1160" s="99"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row>
    <row r="1161">
      <c r="A1161" s="99"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row>
    <row r="1162">
      <c r="A1162" s="99"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row>
    <row r="1163">
      <c r="A1163" s="99"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row>
    <row r="1164">
      <c r="A1164" s="99"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row>
    <row r="1165">
      <c r="A1165" s="99"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row>
    <row r="1166">
      <c r="A1166" s="99"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row>
    <row r="1167">
      <c r="A1167" s="99"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row>
    <row r="1168">
      <c r="A1168" s="99"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row>
    <row r="1169">
      <c r="A1169" s="99"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row>
    <row r="1170">
      <c r="A1170" s="99"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row>
    <row r="1171">
      <c r="A1171" s="99"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row>
    <row r="1172">
      <c r="A1172" s="99"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row>
    <row r="1173">
      <c r="A1173" s="99"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row>
    <row r="1174">
      <c r="A1174" s="99"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row>
    <row r="1175">
      <c r="A1175" s="99"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row>
    <row r="1176">
      <c r="A1176" s="99"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row>
    <row r="1177">
      <c r="A1177" s="99"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row>
    <row r="1178">
      <c r="A1178" s="99"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row>
    <row r="1179">
      <c r="A1179" s="99"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row>
    <row r="1180">
      <c r="A1180" s="99"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row>
    <row r="1181">
      <c r="A1181" s="99"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row>
    <row r="1182">
      <c r="A1182" s="99"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row>
    <row r="1183">
      <c r="A1183" s="99"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row>
    <row r="1184">
      <c r="A1184" s="99"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row>
    <row r="1185">
      <c r="A1185" s="99"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row>
    <row r="1186">
      <c r="A1186" s="99"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row>
    <row r="1187">
      <c r="A1187" s="99"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row>
    <row r="1188">
      <c r="A1188" s="99"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row>
    <row r="1189">
      <c r="A1189" s="99"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row>
    <row r="1190">
      <c r="A1190" s="99"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row>
    <row r="1191">
      <c r="A1191" s="99"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row>
    <row r="1192">
      <c r="A1192" s="99"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row>
    <row r="1193">
      <c r="A1193" s="99"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row>
    <row r="1194">
      <c r="A1194" s="99"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row>
    <row r="1195">
      <c r="A1195" s="99"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row>
    <row r="1196">
      <c r="A1196" s="99"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row>
    <row r="1197">
      <c r="A1197" s="99"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row>
    <row r="1198">
      <c r="A1198" s="99"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row>
    <row r="1199">
      <c r="A1199" s="99"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row>
    <row r="1200">
      <c r="A1200" s="99"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row>
    <row r="1201">
      <c r="A1201" s="99"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row>
    <row r="1202">
      <c r="A1202" s="99"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row>
    <row r="1203">
      <c r="A1203" s="99"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row>
    <row r="1204">
      <c r="A1204" s="99"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row>
    <row r="1205">
      <c r="A1205" s="99"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row>
    <row r="1206">
      <c r="A1206" s="99"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row>
    <row r="1207">
      <c r="A1207" s="99"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row>
    <row r="1208">
      <c r="A1208" s="99"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row>
    <row r="1209">
      <c r="A1209" s="99"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row>
    <row r="1210">
      <c r="A1210" s="99"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row>
    <row r="1211">
      <c r="A1211" s="99"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row>
    <row r="1212">
      <c r="A1212" s="99"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row>
    <row r="1213">
      <c r="A1213" s="99"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row>
    <row r="1214">
      <c r="A1214" s="99"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row>
    <row r="1215">
      <c r="A1215" s="99"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row>
    <row r="1216">
      <c r="A1216" s="99"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row>
    <row r="1217">
      <c r="A1217" s="99"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row>
    <row r="1218">
      <c r="A1218" s="99"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row>
    <row r="1219">
      <c r="A1219" s="99"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row>
    <row r="1220">
      <c r="A1220" s="99"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row>
    <row r="1221">
      <c r="A1221" s="99"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row>
    <row r="1222">
      <c r="A1222" s="99"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row>
    <row r="1223">
      <c r="A1223" s="99"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row>
    <row r="1224">
      <c r="A1224" s="99"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row>
    <row r="1225">
      <c r="A1225" s="99"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row>
    <row r="1226">
      <c r="A1226" s="99"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row>
    <row r="1227">
      <c r="A1227" s="99"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row>
    <row r="1228">
      <c r="A1228" s="99"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row>
    <row r="1229">
      <c r="A1229" s="99"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row>
    <row r="1230">
      <c r="A1230" s="99"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row>
    <row r="1231">
      <c r="A1231" s="99"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row>
    <row r="1232">
      <c r="A1232" s="99"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row>
    <row r="1233">
      <c r="A1233" s="99"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row>
    <row r="1234">
      <c r="A1234" s="99"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row>
    <row r="1235">
      <c r="A1235" s="99"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row>
    <row r="1236">
      <c r="A1236" s="99"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row>
    <row r="1237">
      <c r="A1237" s="99"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row>
    <row r="1238">
      <c r="A1238" s="99"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row>
    <row r="1239">
      <c r="A1239" s="99"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row>
    <row r="1240">
      <c r="A1240" s="99"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row>
    <row r="1241">
      <c r="A1241" s="99"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row>
    <row r="1242">
      <c r="A1242" s="99"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row>
    <row r="1243">
      <c r="A1243" s="99"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row>
    <row r="1244">
      <c r="A1244" s="99"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row>
    <row r="1245">
      <c r="A1245" s="99"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row>
    <row r="1246">
      <c r="A1246" s="99"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row>
    <row r="1247">
      <c r="A1247" s="99"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row>
    <row r="1248">
      <c r="A1248" s="99"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row>
    <row r="1249">
      <c r="A1249" s="99"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row>
    <row r="1250">
      <c r="A1250" s="99"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row>
    <row r="1251">
      <c r="A1251" s="99"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row>
    <row r="1252">
      <c r="A1252" s="99"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row>
    <row r="1253">
      <c r="A1253" s="99"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row>
    <row r="1254">
      <c r="A1254" s="99"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row>
    <row r="1255">
      <c r="A1255" s="99"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row>
    <row r="1256">
      <c r="A1256" s="99"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row>
    <row r="1257">
      <c r="A1257" s="99"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row>
    <row r="1258">
      <c r="A1258" s="99"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row>
    <row r="1259">
      <c r="A1259" s="99"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row>
    <row r="1260">
      <c r="A1260" s="99"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row>
    <row r="1261">
      <c r="A1261" s="99"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row>
    <row r="1262">
      <c r="A1262" s="99"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row>
    <row r="1263">
      <c r="A1263" s="99"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row>
    <row r="1264">
      <c r="A1264" s="99"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row>
    <row r="1265">
      <c r="A1265" s="99"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row>
    <row r="1266">
      <c r="A1266" s="99"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row>
    <row r="1267">
      <c r="A1267" s="99"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row>
    <row r="1268">
      <c r="A1268" s="99"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row>
    <row r="1269">
      <c r="A1269" s="99"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row>
    <row r="1270">
      <c r="A1270" s="99"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row>
    <row r="1271">
      <c r="A1271" s="99"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row>
    <row r="1272">
      <c r="A1272" s="99"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row>
    <row r="1273">
      <c r="A1273" s="99"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row>
    <row r="1274">
      <c r="A1274" s="99"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row>
    <row r="1275">
      <c r="A1275" s="99"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row>
    <row r="1276">
      <c r="A1276" s="99"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row>
    <row r="1277">
      <c r="A1277" s="99"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row>
    <row r="1278">
      <c r="A1278" s="99"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row>
    <row r="1279">
      <c r="A1279" s="99"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row>
    <row r="1280">
      <c r="A1280" s="99"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row>
    <row r="1281">
      <c r="A1281" s="99"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row>
    <row r="1282">
      <c r="A1282" s="99"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row>
    <row r="1283">
      <c r="A1283" s="99"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row>
    <row r="1284">
      <c r="A1284" s="99"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row>
    <row r="1285">
      <c r="A1285" s="99"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row>
    <row r="1286">
      <c r="A1286" s="99"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row>
    <row r="1287">
      <c r="A1287" s="99"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row>
    <row r="1288">
      <c r="A1288" s="99"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row>
    <row r="1289">
      <c r="A1289" s="99"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row>
    <row r="1290">
      <c r="A1290" s="99"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row>
    <row r="1291">
      <c r="A1291" s="99"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row>
    <row r="1292">
      <c r="A1292" s="99"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row>
    <row r="1293">
      <c r="A1293" s="99"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row>
    <row r="1294">
      <c r="A1294" s="99"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row>
    <row r="1295">
      <c r="A1295" s="99"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row>
    <row r="1296">
      <c r="A1296" s="99"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row>
    <row r="1297">
      <c r="A1297" s="99"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row>
    <row r="1298">
      <c r="A1298" s="99"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row>
    <row r="1299">
      <c r="A1299" s="99"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row>
    <row r="1300">
      <c r="A1300" s="99"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row>
    <row r="1301">
      <c r="A1301" s="99"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row>
    <row r="1302">
      <c r="A1302" s="99"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row>
    <row r="1303">
      <c r="A1303" s="99"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row>
    <row r="1304">
      <c r="A1304" s="99"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row>
    <row r="1305">
      <c r="A1305" s="99"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row>
    <row r="1306">
      <c r="A1306" s="99"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row>
    <row r="1307">
      <c r="A1307" s="99"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row>
    <row r="1308">
      <c r="A1308" s="99"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row>
    <row r="1309">
      <c r="A1309" s="99"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row>
    <row r="1310">
      <c r="A1310" s="99"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row>
    <row r="1311">
      <c r="A1311" s="99"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row>
    <row r="1312">
      <c r="A1312" s="99"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row>
    <row r="1313">
      <c r="A1313" s="99"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row>
    <row r="1314">
      <c r="A1314" s="99"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row>
    <row r="1315">
      <c r="A1315" s="99"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row>
    <row r="1316">
      <c r="A1316" s="99"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row>
    <row r="1317">
      <c r="A1317" s="99"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row>
    <row r="1318">
      <c r="A1318" s="99"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row>
    <row r="1319">
      <c r="A1319" s="99"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row>
    <row r="1320">
      <c r="A1320" s="99"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row>
    <row r="1321">
      <c r="A1321" s="99"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row>
    <row r="1322">
      <c r="A1322" s="99"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row>
    <row r="1323">
      <c r="A1323" s="99"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row>
    <row r="1324">
      <c r="A1324" s="99"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row>
    <row r="1325">
      <c r="A1325" s="99"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row>
    <row r="1326">
      <c r="A1326" s="99"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row>
    <row r="1327">
      <c r="A1327" s="99"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row>
    <row r="1328">
      <c r="A1328" s="99"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row>
    <row r="1329">
      <c r="A1329" s="99"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row>
    <row r="1330">
      <c r="A1330" s="99"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row>
    <row r="1331">
      <c r="A1331" s="99"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row>
    <row r="1332">
      <c r="A1332" s="99"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row>
    <row r="1333">
      <c r="A1333" s="99"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row>
    <row r="1334">
      <c r="A1334" s="99"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row>
    <row r="1335">
      <c r="A1335" s="99"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row>
    <row r="1336">
      <c r="A1336" s="99"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row>
    <row r="1337">
      <c r="A1337" s="99"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row>
    <row r="1338">
      <c r="A1338" s="99"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row>
    <row r="1339">
      <c r="A1339" s="99"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row>
    <row r="1340">
      <c r="A1340" s="99"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row>
    <row r="1341">
      <c r="A1341" s="99"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row>
    <row r="1342">
      <c r="A1342" s="99"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row>
    <row r="1343">
      <c r="A1343" s="99"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row>
    <row r="1344">
      <c r="A1344" s="99"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row>
    <row r="1345">
      <c r="A1345" s="99"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row>
    <row r="1346">
      <c r="A1346" s="99"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row>
    <row r="1347">
      <c r="A1347" s="99"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row>
    <row r="1348">
      <c r="A1348" s="99"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row>
    <row r="1349">
      <c r="A1349" s="99"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row>
    <row r="1350">
      <c r="A1350" s="99"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row>
    <row r="1351" ht="12" customHeight="1" s="106">
      <c r="A1351" s="99"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row>
    <row r="1352">
      <c r="A1352" s="99"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row>
    <row r="1353">
      <c r="A1353" s="99"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row>
    <row r="1354">
      <c r="A1354" s="99"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row>
    <row r="1355">
      <c r="A1355" s="99"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row>
    <row r="1356">
      <c r="A1356" s="99"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row>
    <row r="1357">
      <c r="A1357" s="99"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row>
    <row r="1358">
      <c r="A1358" s="99"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row>
    <row r="1359">
      <c r="A1359" s="99"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row>
    <row r="1360">
      <c r="A1360" s="99"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row>
    <row r="1361">
      <c r="A1361" s="99"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row>
    <row r="1362">
      <c r="A1362" s="99"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row>
    <row r="1363">
      <c r="A1363" s="99"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row>
    <row r="1364">
      <c r="A1364" s="99"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row>
    <row r="1365">
      <c r="A1365" s="99"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row>
    <row r="1366">
      <c r="A1366" s="99"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row>
    <row r="1367">
      <c r="A1367" s="99"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row>
    <row r="1368">
      <c r="A1368" s="99"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row>
    <row r="1369">
      <c r="A1369" s="99"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row>
    <row r="1370">
      <c r="A1370" s="99"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row>
    <row r="1371">
      <c r="A1371" s="99"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row>
    <row r="1372">
      <c r="A1372" s="99"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row>
    <row r="1373">
      <c r="A1373" s="99"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row>
    <row r="1374">
      <c r="A1374" s="99"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row>
    <row r="1375">
      <c r="A1375" s="99"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row>
    <row r="1376">
      <c r="A1376" s="99"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row>
    <row r="1377">
      <c r="A1377" s="99"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row>
    <row r="1378">
      <c r="A1378" s="99"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row>
    <row r="1379">
      <c r="A1379" s="99"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row>
    <row r="1380">
      <c r="A1380" s="99"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row>
    <row r="1381">
      <c r="A1381" s="99"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row>
    <row r="1382">
      <c r="A1382" s="99"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row>
    <row r="1383">
      <c r="A1383" s="99"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row>
    <row r="1384">
      <c r="A1384" s="99"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row>
    <row r="1385">
      <c r="A1385" s="99"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row>
    <row r="1386">
      <c r="A1386" s="99"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row>
    <row r="1387">
      <c r="A1387" s="99"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row>
    <row r="1388">
      <c r="A1388" s="99"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row>
    <row r="1389">
      <c r="A1389" s="99"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row>
    <row r="1390">
      <c r="A1390" s="99"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row>
    <row r="1391">
      <c r="A1391" s="99"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row>
    <row r="1392">
      <c r="A1392" s="99"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row>
    <row r="1393">
      <c r="A1393" s="99"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row>
    <row r="1394">
      <c r="A1394" s="99"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row>
    <row r="1395">
      <c r="A1395" s="99"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row>
    <row r="1396" ht="20.45" customHeight="1" s="106">
      <c r="A1396" s="99"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row>
    <row r="1397">
      <c r="A1397" s="99"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row>
    <row r="1398">
      <c r="A1398" s="99"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row>
    <row r="1399">
      <c r="A1399" s="99"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row>
    <row r="1400">
      <c r="A1400" s="99"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row>
    <row r="1401">
      <c r="A1401" s="99"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row>
    <row r="1402">
      <c r="A1402" s="99"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row>
    <row r="1403">
      <c r="A1403" s="99"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row>
    <row r="1404">
      <c r="A1404" s="99"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row>
    <row r="1405">
      <c r="A1405" s="99"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row>
    <row r="1407"/>
  </sheetData>
  <autoFilter ref="Y2:AC1406"/>
  <mergeCells count="3">
    <mergeCell ref="P1:R1"/>
    <mergeCell ref="S1:T1"/>
    <mergeCell ref="B1:G1"/>
  </mergeCells>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2:C59"/>
  <sheetViews>
    <sheetView tabSelected="1" zoomScale="115" zoomScaleNormal="115" workbookViewId="0">
      <selection activeCell="B2" sqref="B2:B59"/>
    </sheetView>
  </sheetViews>
  <sheetFormatPr baseColWidth="10" defaultRowHeight="11.25"/>
  <cols>
    <col width="17.5" customWidth="1" style="106" min="1" max="1"/>
    <col width="57.1640625" customWidth="1" style="106" min="2" max="2"/>
    <col width="69.1640625" customWidth="1" style="16" min="3" max="3"/>
  </cols>
  <sheetData>
    <row r="2">
      <c r="A2" s="112" t="n"/>
      <c r="B2" s="111" t="inlineStr">
        <is>
          <t>Nivel de Madurez y efectivifad Magerit</t>
        </is>
      </c>
    </row>
    <row r="3">
      <c r="B3" s="112" t="n"/>
    </row>
    <row r="4">
      <c r="B4" s="108" t="inlineStr">
        <is>
          <t>L0 Inexistente</t>
        </is>
      </c>
      <c r="C4" s="16" t="inlineStr">
        <is>
          <t>La salvaguarda no está implementada en absoluto</t>
        </is>
      </c>
    </row>
    <row r="5" ht="22.5" customHeight="1" s="106">
      <c r="B5" s="108" t="inlineStr">
        <is>
          <t>L1 Inicial / Ad Hoc</t>
        </is>
      </c>
      <c r="C5" s="16" t="inlineStr">
        <is>
          <t>El control se ejecuta de manera improvisada. Las personas actúan reactivamente y no existen pautas definidas</t>
        </is>
      </c>
    </row>
    <row r="6" ht="33.75" customHeight="1" s="106">
      <c r="B6" s="108" t="inlineStr">
        <is>
          <t>L2 Reproducible pero Intuitivo</t>
        </is>
      </c>
      <c r="C6" s="16" t="inlineStr">
        <is>
          <t>Las tareas de control se repiten de forma similar ante incidentes, pero dependen enteramente del conocimiento intuitivo de las personas (no están formalizadas ni escritas).</t>
        </is>
      </c>
    </row>
    <row r="7" ht="22.5" customHeight="1" s="106">
      <c r="B7" s="108" t="inlineStr">
        <is>
          <t>L3 Proceso Definido</t>
        </is>
      </c>
      <c r="C7" s="16" t="inlineStr">
        <is>
          <t>El control está plenamente documentado, formalizado en políticas o manuales oficiales, y los empleados han sido capacitados para usarlo</t>
        </is>
      </c>
    </row>
    <row r="8" ht="22.5" customHeight="1" s="106">
      <c r="B8" s="108" t="inlineStr">
        <is>
          <t>L4 Gestionado y Medible</t>
        </is>
      </c>
      <c r="C8" s="16" t="inlineStr">
        <is>
          <t>Además de estar documentado, el control se monitorea continuamente mediante métricas o indicadores clave (KRI) para medir su efectividad real</t>
        </is>
      </c>
    </row>
    <row r="9" ht="22.5" customHeight="1" s="106">
      <c r="B9" s="108" t="inlineStr">
        <is>
          <t>L5 Optimizado</t>
        </is>
      </c>
      <c r="C9" s="16" t="inlineStr">
        <is>
          <t>El control forma parte de un ciclo de mejora continua (PDCA), donde los fallos se corrigen sistemáticamente y la medida se adapta a los cambios del entorno.</t>
        </is>
      </c>
    </row>
    <row r="12">
      <c r="B12" s="113" t="inlineStr">
        <is>
          <t xml:space="preserve">Implementacion </t>
        </is>
      </c>
    </row>
    <row r="13">
      <c r="B13" s="112" t="n"/>
      <c r="C13" s="112" t="n"/>
    </row>
    <row r="14" ht="22.5" customHeight="1" s="106">
      <c r="B14" s="114" t="inlineStr">
        <is>
          <t>Implementado</t>
        </is>
      </c>
      <c r="C14" s="112" t="inlineStr">
        <is>
          <t>El control existe, está operativo y se ejecuta de forma regular con evidencia auditable.</t>
        </is>
      </c>
    </row>
    <row r="15" ht="22.5" customHeight="1" s="106">
      <c r="B15" s="114" t="inlineStr">
        <is>
          <t>En proceso</t>
        </is>
      </c>
      <c r="C15" s="112" t="inlineStr">
        <is>
          <t>El control está diseñado o en fase de despliegue, pero aún no está 100% operativo o requiere ajustes.</t>
        </is>
      </c>
    </row>
    <row r="16" ht="22.5" customHeight="1" s="106">
      <c r="B16" s="114" t="inlineStr">
        <is>
          <t>No Iniciado</t>
        </is>
      </c>
      <c r="C16" s="112" t="inlineStr">
        <is>
          <t>El control es necesario (aplica), pero aún no se ha tomado ninguna medida operativa para su desarrollo.</t>
        </is>
      </c>
    </row>
    <row r="17" ht="22.5" customHeight="1" s="106">
      <c r="B17" s="114" t="inlineStr">
        <is>
          <t>No Aplica</t>
        </is>
      </c>
      <c r="C17" s="112" t="inlineStr">
        <is>
          <t>El control ha sido formalmente excluido mediante justificación técnica aprobada por la administración.</t>
        </is>
      </c>
    </row>
    <row r="20">
      <c r="B20" s="113" t="inlineStr">
        <is>
          <t>Tipo de Protección</t>
        </is>
      </c>
    </row>
    <row r="21">
      <c r="B21" s="114" t="n"/>
    </row>
    <row r="22" ht="22.5" customHeight="1" s="106">
      <c r="B22" s="114" t="inlineStr">
        <is>
          <t>PREVENTIVO</t>
        </is>
      </c>
      <c r="C22" s="16" t="inlineStr">
        <is>
          <t>Diseñado para evitar que ocurra un incidente de seguridad (ej. políticas, cifrado, firewall, concientización).</t>
        </is>
      </c>
    </row>
    <row r="23" ht="22.5" customHeight="1" s="106">
      <c r="B23" t="inlineStr">
        <is>
          <t>DETECTIVO</t>
        </is>
      </c>
      <c r="C23" s="16" t="inlineStr">
        <is>
          <t>Diseñado para identificar, registrar o alertar cuando ocurre una anomalía o evento inusual (ej. análisis de logs, escaneos, monitoreo).</t>
        </is>
      </c>
    </row>
    <row r="24" ht="22.5" customHeight="1" s="106">
      <c r="B24" t="inlineStr">
        <is>
          <t>ADMINISTRACION</t>
        </is>
      </c>
      <c r="C24" s="16" t="inlineStr">
        <is>
          <t>Enfocado en la gobernanza, procesos de control y aprobaciones documentadas (ej. gestión de cambios, matrices de roles)</t>
        </is>
      </c>
    </row>
    <row r="25" ht="22.5" customHeight="1" s="106">
      <c r="B25" t="inlineStr">
        <is>
          <t>RECUPERACION</t>
        </is>
      </c>
      <c r="C25" s="16" t="inlineStr">
        <is>
          <t>Diseñado para restaurar la continuidad operativa y mitigar las consecuencias de un incidente materializado (ej. DRP, backups).</t>
        </is>
      </c>
    </row>
    <row r="26" ht="22.5" customHeight="1" s="106">
      <c r="B26" t="inlineStr">
        <is>
          <t>ELIMINACION</t>
        </is>
      </c>
      <c r="C26" s="16" t="inlineStr">
        <is>
          <t>Medidas drásticas que anulan de raíz la posibilidad de que se explote una vulnerabilidad (ej. eliminar accesos genéricos, retirar tecnología obsoleta).</t>
        </is>
      </c>
    </row>
    <row r="29">
      <c r="B29" s="113" t="inlineStr">
        <is>
          <t>Riesgos / Amenazas que Mitiga Magerit</t>
        </is>
      </c>
    </row>
    <row r="30">
      <c r="A30" s="111" t="n"/>
      <c r="B30" s="114" t="n"/>
    </row>
    <row r="31" ht="22.5" customHeight="1" s="106">
      <c r="A31" s="111" t="inlineStr">
        <is>
          <t>Ataques Intencionados [A]</t>
        </is>
      </c>
      <c r="B31" s="112" t="inlineStr">
        <is>
          <t>[A.5] Suplantación de la identidad del usuario</t>
        </is>
      </c>
    </row>
    <row r="32">
      <c r="B32" s="112" t="inlineStr">
        <is>
          <t>[A.6] Abuso de privilegios de acceso</t>
        </is>
      </c>
    </row>
    <row r="33">
      <c r="B33" s="112" t="inlineStr">
        <is>
          <t>[A.7] Uso no previsto</t>
        </is>
      </c>
    </row>
    <row r="34">
      <c r="B34" s="112" t="inlineStr">
        <is>
          <t>[A.11] Acceso no autorizado</t>
        </is>
      </c>
    </row>
    <row r="35">
      <c r="B35" s="112" t="inlineStr">
        <is>
          <t>[A.19] Divulgación de información</t>
        </is>
      </c>
    </row>
    <row r="36">
      <c r="B36" s="112" t="inlineStr">
        <is>
          <t>[A.24] Denegación de servicio</t>
        </is>
      </c>
    </row>
    <row r="37">
      <c r="B37" s="112" t="inlineStr">
        <is>
          <t>[A.25] Robo</t>
        </is>
      </c>
    </row>
    <row r="38">
      <c r="B38" s="112" t="inlineStr">
        <is>
          <t>[A.30] Ingeniería social (Phishing)</t>
        </is>
      </c>
    </row>
    <row r="39" ht="33.75" customHeight="1" s="106">
      <c r="A39" s="111" t="inlineStr">
        <is>
          <t>Errores y fallos no intencionados [E]</t>
        </is>
      </c>
      <c r="B39" s="112" t="inlineStr">
        <is>
          <t>[E.2] Errores del administrador</t>
        </is>
      </c>
    </row>
    <row r="40">
      <c r="A40" s="111" t="n"/>
      <c r="B40" s="112" t="inlineStr">
        <is>
          <t>[E.18] Destrucción de información</t>
        </is>
      </c>
    </row>
    <row r="41">
      <c r="B41" s="112" t="inlineStr">
        <is>
          <t>[E.19] Fugas de información</t>
        </is>
      </c>
    </row>
    <row r="42">
      <c r="B42" s="112" t="inlineStr">
        <is>
          <t>[E.20] Vulnerabilidades de los programas (software)</t>
        </is>
      </c>
    </row>
    <row r="43" ht="22.5" customHeight="1" s="106">
      <c r="B43" s="112" t="inlineStr">
        <is>
          <t>[E.23] Errores de mantenimiento / actualización de equipos (hardware)</t>
        </is>
      </c>
    </row>
    <row r="44">
      <c r="B44" s="112" t="inlineStr">
        <is>
          <t>[E.24] Caída del sistema por agotamiento de recursos</t>
        </is>
      </c>
    </row>
    <row r="45">
      <c r="B45" s="112" t="inlineStr">
        <is>
          <t>[E.25] Pérdida de equipos</t>
        </is>
      </c>
      <c r="C45" s="90" t="n"/>
    </row>
    <row r="46">
      <c r="B46" s="112" t="inlineStr">
        <is>
          <t>[E.28] Indisponibilidad del personal</t>
        </is>
      </c>
    </row>
    <row r="47" ht="22.5" customHeight="1" s="106">
      <c r="A47" s="111" t="inlineStr">
        <is>
          <t>Desastres naturales [N]</t>
        </is>
      </c>
      <c r="B47" s="112" t="inlineStr">
        <is>
          <t>[N.1] Fuego</t>
        </is>
      </c>
    </row>
    <row r="48">
      <c r="B48" s="112" t="inlineStr">
        <is>
          <t>[N.2] Daños por agua</t>
        </is>
      </c>
    </row>
    <row r="49">
      <c r="A49" s="111" t="n"/>
    </row>
    <row r="51">
      <c r="B51" s="111" t="inlineStr">
        <is>
          <t>Evidencia</t>
        </is>
      </c>
    </row>
    <row r="53">
      <c r="B53" t="inlineStr">
        <is>
          <t>Manual de Políticas de Seguridad de la Información (MPSI)</t>
        </is>
      </c>
    </row>
    <row r="54">
      <c r="B54" t="inlineStr">
        <is>
          <t>Manual de Gestión de Seguridad de la Información (MGSI)</t>
        </is>
      </c>
    </row>
    <row r="55">
      <c r="B55" t="inlineStr">
        <is>
          <t>Matriz de Roles y Perfiles</t>
        </is>
      </c>
    </row>
    <row r="56">
      <c r="B56" t="inlineStr">
        <is>
          <t>Informe Técnico de Pentesting / Ethical Hacking</t>
        </is>
      </c>
    </row>
    <row r="57">
      <c r="B57" t="inlineStr">
        <is>
          <t>Bitácora de Seguridad de la Información</t>
        </is>
      </c>
    </row>
    <row r="58">
      <c r="B58" t="inlineStr">
        <is>
          <t>Contrato de Proveedor / Terceros</t>
        </is>
      </c>
    </row>
    <row r="59">
      <c r="B59" t="inlineStr">
        <is>
          <t>Acta de Respaldos y Resguardo</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6" min="1" max="1"/>
    <col width="16.5" customWidth="1" style="106" min="2" max="2"/>
    <col width="20.6640625" customWidth="1" style="106" min="3" max="3"/>
    <col width="24.1640625" bestFit="1" customWidth="1" style="106" min="4" max="4"/>
  </cols>
  <sheetData>
    <row r="1">
      <c r="A1" s="100" t="inlineStr">
        <is>
          <t>PROBABILIDAD</t>
        </is>
      </c>
      <c r="B1" s="101" t="n"/>
      <c r="C1" s="101" t="n"/>
      <c r="D1" s="101" t="n"/>
    </row>
    <row r="2" ht="25.5" customHeight="1" s="106">
      <c r="A2" s="1" t="inlineStr">
        <is>
          <t>Descripción</t>
        </is>
      </c>
      <c r="B2" s="1" t="inlineStr">
        <is>
          <t>Nivel</t>
        </is>
      </c>
      <c r="C2" s="9" t="inlineStr">
        <is>
          <t xml:space="preserve">Porcentaje de ocurrencia del evento </t>
        </is>
      </c>
      <c r="D2" s="9" t="inlineStr">
        <is>
          <t>Frecuencia</t>
        </is>
      </c>
    </row>
    <row r="3" ht="12" customHeight="1" s="106">
      <c r="A3" s="2" t="inlineStr">
        <is>
          <t>Muy Baja</t>
        </is>
      </c>
      <c r="B3" s="3" t="n">
        <v>1</v>
      </c>
      <c r="C3" s="3" t="inlineStr">
        <is>
          <t>0,00% al 4,64%</t>
        </is>
      </c>
      <c r="D3" s="4" t="inlineStr">
        <is>
          <t>Ocurre una vez al año</t>
        </is>
      </c>
    </row>
    <row r="4" ht="12" customHeight="1" s="106">
      <c r="A4" s="5" t="inlineStr">
        <is>
          <t>Baja</t>
        </is>
      </c>
      <c r="B4" s="3" t="n">
        <v>2</v>
      </c>
      <c r="C4" s="3" t="inlineStr">
        <is>
          <t>4,65% al 7,60%</t>
        </is>
      </c>
      <c r="D4" s="4" t="inlineStr">
        <is>
          <t>Ocurre una vez al mes</t>
        </is>
      </c>
    </row>
    <row r="5" ht="20.45" customHeight="1" s="106">
      <c r="A5" s="6" t="inlineStr">
        <is>
          <t>Media</t>
        </is>
      </c>
      <c r="B5" s="3" t="n">
        <v>3</v>
      </c>
      <c r="C5" s="3" t="inlineStr">
        <is>
          <t>7.61% al 28,26%</t>
        </is>
      </c>
      <c r="D5" s="4" t="inlineStr">
        <is>
          <t>Ocurre una vez a la semana</t>
        </is>
      </c>
    </row>
    <row r="6" ht="12" customHeight="1" s="106">
      <c r="A6" s="7" t="inlineStr">
        <is>
          <t>Alta</t>
        </is>
      </c>
      <c r="B6" s="3" t="n">
        <v>4</v>
      </c>
      <c r="C6" s="3" t="inlineStr">
        <is>
          <t>28,27% al 40,70%</t>
        </is>
      </c>
      <c r="D6" s="4" t="inlineStr">
        <is>
          <t>Ocurre una vez al día</t>
        </is>
      </c>
    </row>
    <row r="7" ht="24" customHeight="1" s="106">
      <c r="A7" s="8" t="inlineStr">
        <is>
          <t>Muy Alta</t>
        </is>
      </c>
      <c r="B7" s="3" t="n">
        <v>5</v>
      </c>
      <c r="C7" s="3" t="inlineStr">
        <is>
          <t>40,71% al 100%</t>
        </is>
      </c>
      <c r="D7" s="4" t="inlineStr">
        <is>
          <t>Ocurre varias veces al día.</t>
        </is>
      </c>
    </row>
    <row r="9">
      <c r="A9" s="100" t="inlineStr">
        <is>
          <t>IMPACTO/DEGRADACIÓN</t>
        </is>
      </c>
      <c r="B9" s="101"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102" t="inlineStr">
        <is>
          <t>NIVEL DE RIESGO DE SEGURIDAD = IMPACTO * PROBABILIDAD</t>
        </is>
      </c>
      <c r="B17" s="98" t="n"/>
      <c r="C17" s="98" t="n"/>
      <c r="D17" s="98" t="n"/>
      <c r="E17" s="98" t="n"/>
      <c r="F17" s="99" t="n"/>
      <c r="H17" s="105" t="n"/>
    </row>
    <row r="18">
      <c r="A18" s="103" t="inlineStr">
        <is>
          <t>PROBABILIDAD</t>
        </is>
      </c>
      <c r="B18" s="102" t="inlineStr">
        <is>
          <t>IMPACTO</t>
        </is>
      </c>
      <c r="C18" s="98" t="n"/>
      <c r="D18" s="98" t="n"/>
      <c r="E18" s="98" t="n"/>
      <c r="F18" s="99" t="n"/>
    </row>
    <row r="19">
      <c r="A19" s="104" t="n"/>
      <c r="B19" s="3" t="inlineStr">
        <is>
          <t>Insignificante</t>
        </is>
      </c>
      <c r="C19" s="3" t="inlineStr">
        <is>
          <t>Bajo</t>
        </is>
      </c>
      <c r="D19" s="3" t="inlineStr">
        <is>
          <t>Medio</t>
        </is>
      </c>
      <c r="E19" s="3" t="inlineStr">
        <is>
          <t>Alto</t>
        </is>
      </c>
      <c r="F19" s="3" t="inlineStr">
        <is>
          <t>Severo</t>
        </is>
      </c>
      <c r="H19" s="102" t="inlineStr">
        <is>
          <t>NIVEL DE RIESGO</t>
        </is>
      </c>
      <c r="I19" s="99"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4.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12" min="3" max="3"/>
    <col hidden="1" width="32.5" customWidth="1" style="112"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6" min="22" max="22"/>
    <col width="14.5" customWidth="1" style="106" min="23" max="23"/>
    <col width="19.1640625" customWidth="1" style="106" min="24" max="24"/>
    <col width="13.1640625" customWidth="1" style="106" min="25" max="25"/>
    <col width="37.1640625" customWidth="1" style="106" min="26" max="26"/>
  </cols>
  <sheetData>
    <row r="1">
      <c r="O1" s="16" t="n"/>
      <c r="P1" s="16" t="n"/>
      <c r="Q1" s="16" t="n"/>
    </row>
    <row r="2" ht="41.1" customHeight="1" s="106">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6">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6">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6">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6">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6">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6">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6">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6">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6">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6">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6">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6">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6">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6">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6">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6">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6">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6">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6">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6">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6">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6">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6">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6">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6">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6">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6">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6">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6">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6">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6">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6">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6">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6">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6">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6">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6">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6">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6">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6">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6">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6">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6">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6">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6">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6">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6">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6">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6">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6">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6">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6">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6">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6">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6">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6">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6">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6">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6">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6">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6">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6">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6">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6">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6">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6">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6">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6">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6">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6">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6">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6">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6">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6">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6">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6">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6">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6">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6">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6">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6">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6">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6">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6">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6">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6">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6">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6">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6">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6">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6">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6">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6">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6">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6">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6">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6">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6">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6">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6">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6">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6">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6">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6">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6">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6">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6">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6">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6">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6">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6">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6">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6">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6">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6">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6">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6">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6">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6">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6">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6">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6">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6">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6">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6">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6">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6">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6">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6">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6">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6">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6">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6">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6">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6">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6">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6">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6">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6">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6">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6">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6">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6">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6">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6">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6">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6">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6">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6">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6">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6">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6">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6">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6">
      <c r="A156" s="99"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6">
      <c r="A157" s="99"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6">
      <c r="A158" s="99"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6">
      <c r="A159" s="99"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6">
      <c r="A160" s="99"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6">
      <c r="A161" s="99"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6">
      <c r="A162" s="99"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6">
      <c r="A163" s="99"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6">
      <c r="A164" s="99"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6">
      <c r="A165" s="99"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6">
      <c r="A166" s="99"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6">
      <c r="A167" s="99"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6">
      <c r="A168" s="99"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6">
      <c r="A169" s="99"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6">
      <c r="A170" s="99"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6">
      <c r="A171" s="99"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6">
      <c r="A172" s="99"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6">
      <c r="A173" s="99"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6">
      <c r="A174" s="99"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6">
      <c r="A175" s="99"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6">
      <c r="A176" s="99"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6">
      <c r="A177" s="99"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6">
      <c r="A178" s="99"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6">
      <c r="A179" s="99"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6">
      <c r="A180" s="99"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6">
      <c r="A181" s="99"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6">
      <c r="A182" s="99"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6">
      <c r="A183" s="99"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6">
      <c r="A184" s="99"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6">
      <c r="A185" s="99"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6">
      <c r="A186" s="99"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6">
      <c r="A187" s="99"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6">
      <c r="A188" s="99"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6">
      <c r="A189" s="99"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6">
      <c r="A190" s="99"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6">
      <c r="A191" s="99"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6">
      <c r="A192" s="99"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6">
      <c r="A193" s="99"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6">
      <c r="A194" s="99"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6">
      <c r="A195" s="99"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6">
      <c r="A196" s="99"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6">
      <c r="A197" s="99"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6">
      <c r="A198" s="99"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6">
      <c r="A199" s="99"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6">
      <c r="A200" s="99"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6">
      <c r="A201" s="99"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6">
      <c r="A202" s="99"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6">
      <c r="A203" s="99"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6">
      <c r="A204" s="99"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6">
      <c r="A205" s="99"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6">
      <c r="A206" s="99"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6">
      <c r="A207" s="99"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6">
      <c r="A208" s="99"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6">
      <c r="A209" s="99"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6">
      <c r="A210" s="99"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6">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6" min="1" max="1"/>
    <col width="46.6640625" customWidth="1" style="16" min="2" max="2"/>
    <col width="40.1640625" bestFit="1" customWidth="1" style="16" min="3" max="3"/>
    <col width="10" bestFit="1" customWidth="1" style="106" min="4" max="4"/>
  </cols>
  <sheetData>
    <row r="1" ht="20.45" customHeight="1" s="106">
      <c r="A1" s="83" t="inlineStr">
        <is>
          <t>PLAN DE ACCION</t>
        </is>
      </c>
      <c r="B1" s="84" t="inlineStr">
        <is>
          <t>DESCIPCION PLAN DE ACCIÓN</t>
        </is>
      </c>
      <c r="C1" s="81" t="inlineStr">
        <is>
          <t>RESPONSABLE</t>
        </is>
      </c>
      <c r="D1" s="86" t="inlineStr">
        <is>
          <t>PLAZO</t>
        </is>
      </c>
    </row>
    <row r="2" ht="20.45" customHeight="1" s="106">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6">
      <c r="A3" s="82" t="inlineStr">
        <is>
          <t>PA-SI-002</t>
        </is>
      </c>
      <c r="B3" s="82" t="inlineStr">
        <is>
          <t>Fortalecer mecanismos de protección contra ataques DoS/DDoS</t>
        </is>
      </c>
      <c r="C3" s="82" t="inlineStr">
        <is>
          <t>JEFE DE SEGURIDAD DE LA INFORMACION</t>
        </is>
      </c>
      <c r="D3" s="85" t="inlineStr">
        <is>
          <t>3 MESES</t>
        </is>
      </c>
    </row>
    <row r="4" ht="20.45" customHeight="1" s="106">
      <c r="A4" s="82" t="inlineStr">
        <is>
          <t>PA-SI-003</t>
        </is>
      </c>
      <c r="B4" s="82" t="inlineStr">
        <is>
          <t>Determinar accesos restringidos para la consola administrativa</t>
        </is>
      </c>
      <c r="C4" s="82" t="inlineStr">
        <is>
          <t>JEFE DE SEGURIDAD DE LA INFORMACION</t>
        </is>
      </c>
      <c r="D4" s="85" t="inlineStr">
        <is>
          <t>3 MESES</t>
        </is>
      </c>
    </row>
    <row r="5" ht="24" customHeight="1" s="106">
      <c r="A5" s="82" t="inlineStr">
        <is>
          <t>PA-SI-004</t>
        </is>
      </c>
      <c r="B5" s="82" t="inlineStr">
        <is>
          <t>Aplicar política de expiración de contraseñas VPN.</t>
        </is>
      </c>
      <c r="C5" s="82" t="inlineStr">
        <is>
          <t>JEFE DE SEGURIDAD DE LA INFORMACION</t>
        </is>
      </c>
      <c r="D5" s="85" t="inlineStr">
        <is>
          <t>6 MESES</t>
        </is>
      </c>
    </row>
    <row r="6" ht="20.45" customHeight="1" s="106">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6">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6" min="1" max="1"/>
    <col width="12.5" customWidth="1" style="106" min="2" max="2"/>
    <col width="6.1640625" bestFit="1" customWidth="1" style="106" min="3" max="3"/>
    <col width="7.1640625" bestFit="1" customWidth="1" style="106" min="4" max="4"/>
    <col width="13.1640625" bestFit="1" customWidth="1" style="106" min="5" max="6"/>
    <col width="68.1640625" bestFit="1" customWidth="1" style="106" min="7" max="22"/>
    <col width="13.1640625" bestFit="1" customWidth="1" style="106"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6" min="2" max="2"/>
  </cols>
  <sheetData>
    <row r="1">
      <c r="A1" s="100" t="n"/>
      <c r="B1" s="101" t="n"/>
    </row>
    <row r="2">
      <c r="A2" s="102" t="inlineStr">
        <is>
          <t>Código</t>
        </is>
      </c>
      <c r="B2" s="102"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8.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8"/>
    <col width="11.5" customWidth="1" style="16" min="19" max="16384"/>
  </cols>
  <sheetData>
    <row r="1">
      <c r="A1" s="17" t="n"/>
      <c r="B1" s="34" t="n"/>
      <c r="C1" s="17" t="n"/>
      <c r="D1" s="34" t="n"/>
      <c r="E1" s="107" t="inlineStr">
        <is>
          <t>TIPOS DE ACTIVOS</t>
        </is>
      </c>
      <c r="F1" s="98" t="n"/>
      <c r="G1" s="98" t="n"/>
      <c r="H1" s="98" t="n"/>
      <c r="I1" s="98" t="n"/>
      <c r="J1" s="98" t="n"/>
      <c r="K1" s="98" t="n"/>
      <c r="L1" s="98" t="n"/>
      <c r="M1" s="98" t="n"/>
      <c r="N1" s="99" t="n"/>
    </row>
    <row r="2" ht="101.1" customHeight="1" s="106">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6">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6">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6">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6">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6">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6">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6">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6">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6">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6">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6">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6">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6">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6">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6">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6">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6">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6">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6">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6">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6">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6">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6">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6">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6">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6">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6">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6">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6">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6">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6">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6">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6">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6">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6">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6">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6">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6">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6">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6">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6">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6">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6">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6">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6" min="1" max="1"/>
    <col width="79.5" customWidth="1" style="106" min="2" max="2"/>
  </cols>
  <sheetData>
    <row r="1">
      <c r="A1" t="inlineStr">
        <is>
          <t>TIPO DE ACTIVO</t>
        </is>
      </c>
      <c r="B1" t="inlineStr">
        <is>
          <t>DESCRIPCION</t>
        </is>
      </c>
    </row>
    <row r="2" ht="41.1" customHeight="1" s="106">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6">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6">
      <c r="A4" s="41" t="inlineStr">
        <is>
          <t>[S] Servicios</t>
        </is>
      </c>
      <c r="B4" s="17" t="inlineStr">
        <is>
          <t>Función que satisface una necesidad de los usuarios (del servicio). Esta sección contempla servicios prestados por el sistema.</t>
        </is>
      </c>
    </row>
    <row r="5" ht="41.1" customHeight="1" s="106">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6">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6">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6">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6">
      <c r="A9" s="41" t="inlineStr">
        <is>
          <t>[AUX] equipamiento auxiliar</t>
        </is>
      </c>
      <c r="B9" s="17" t="inlineStr">
        <is>
          <t>En este epígrafe se consideran otros equipos que sirven de soporte a los sistemas de información, sin estar directamente relacionados con datos.</t>
        </is>
      </c>
    </row>
    <row r="10" ht="20.45" customHeight="1" s="106">
      <c r="A10" s="41" t="inlineStr">
        <is>
          <t>[L] Instalaciones</t>
        </is>
      </c>
      <c r="B10" s="17" t="inlineStr">
        <is>
          <t>En este epígrafe entran los lugares donde se hospedan los sistemas de información y comunicaciones.</t>
        </is>
      </c>
    </row>
    <row r="11" ht="12" customHeight="1" s="106">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6" min="1" max="1"/>
    <col width="82" bestFit="1" customWidth="1" style="106" min="2" max="2"/>
    <col width="86" bestFit="1" customWidth="1" style="106" min="3" max="3"/>
  </cols>
  <sheetData>
    <row r="1">
      <c r="A1" s="102" t="inlineStr">
        <is>
          <t>CONTROLES IMPLEMENTADOS</t>
        </is>
      </c>
      <c r="B1" s="99" t="n"/>
    </row>
    <row r="2">
      <c r="A2" s="102" t="inlineStr">
        <is>
          <t>Código</t>
        </is>
      </c>
      <c r="B2" s="102" t="inlineStr">
        <is>
          <t>Descripción</t>
        </is>
      </c>
    </row>
    <row r="3">
      <c r="A3" s="102" t="inlineStr">
        <is>
          <t>1. Política de Seguridad de la Información</t>
        </is>
      </c>
      <c r="B3" s="99"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102" t="inlineStr">
        <is>
          <t>2. Organización de la Seguridad de la Información</t>
        </is>
      </c>
      <c r="B8" s="99"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102" t="inlineStr">
        <is>
          <t>3. Gestión de Activos</t>
        </is>
      </c>
      <c r="B12" s="99"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102" t="inlineStr">
        <is>
          <t>4. Seguridad de los Recursos Humanos</t>
        </is>
      </c>
      <c r="B16" s="99"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102" t="inlineStr">
        <is>
          <t>5. Control de Acceso</t>
        </is>
      </c>
      <c r="B19" s="99"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102" t="inlineStr">
        <is>
          <t>6. Criptografía</t>
        </is>
      </c>
      <c r="B26" s="99"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102" t="inlineStr">
        <is>
          <t>7. Seguridad Física y del Entorno</t>
        </is>
      </c>
      <c r="B29" s="99"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102" t="inlineStr">
        <is>
          <t>8. Seguridad de las Operaciones</t>
        </is>
      </c>
      <c r="B32" s="99"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102" t="inlineStr">
        <is>
          <t>9. Seguridad en las Comunicaciones</t>
        </is>
      </c>
      <c r="B40" s="99"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102" t="inlineStr">
        <is>
          <t>10. Adquisición, desarrollo y mantenimiento</t>
        </is>
      </c>
      <c r="B43" s="99"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102" t="inlineStr">
        <is>
          <t>11. Relaciones con Proveedores</t>
        </is>
      </c>
      <c r="B48" s="99"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102" t="inlineStr">
        <is>
          <t>12. Gestión de Incidentes de Seguridad</t>
        </is>
      </c>
      <c r="B51" s="99"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102" t="inlineStr">
        <is>
          <t>13. Gestión de Continuidad del Negocio</t>
        </is>
      </c>
      <c r="B54" s="99"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102" t="inlineStr">
        <is>
          <t>14. Cumplimiento</t>
        </is>
      </c>
      <c r="B57" s="99"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94"/>
  <sheetViews>
    <sheetView zoomScale="90" zoomScaleNormal="90" workbookViewId="0">
      <selection activeCell="J24" sqref="J24"/>
    </sheetView>
  </sheetViews>
  <sheetFormatPr baseColWidth="10" defaultColWidth="9.1640625" defaultRowHeight="11.25"/>
  <cols>
    <col width="11.83203125" customWidth="1" style="38" min="1" max="1"/>
    <col width="19.5" customWidth="1" style="112" min="2" max="2"/>
    <col width="12.6640625" customWidth="1" style="112" min="3" max="3"/>
    <col width="17.6640625" customWidth="1" style="112" min="4" max="4"/>
    <col width="14" customWidth="1" style="112" min="5" max="5"/>
    <col width="39.1640625" customWidth="1" style="38" min="6" max="6"/>
    <col width="25" customWidth="1" style="112" min="7" max="7"/>
    <col width="29.6640625" customWidth="1" style="112" min="8" max="8"/>
    <col width="18.6640625" customWidth="1" style="112" min="9" max="9"/>
    <col width="16.1640625" customWidth="1" style="112" min="10" max="10"/>
    <col width="13.1640625" customWidth="1" style="112" min="11" max="11"/>
    <col width="19.6640625" customWidth="1" style="112" min="12" max="12"/>
    <col width="9.1640625" customWidth="1" style="112" min="13" max="15"/>
    <col width="9.1640625" customWidth="1" style="112" min="16" max="16384"/>
  </cols>
  <sheetData>
    <row r="1" ht="60" customHeight="1" s="106">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6">
      <c r="A2" s="38" t="inlineStr">
        <is>
          <t>5.1</t>
        </is>
      </c>
      <c r="B2" s="112" t="inlineStr">
        <is>
          <t>Políticas para la seguridad de la información</t>
        </is>
      </c>
      <c r="C2" s="112" t="inlineStr">
        <is>
          <t>#Preventivo</t>
        </is>
      </c>
      <c r="D2" s="112" t="inlineStr">
        <is>
          <t>#Confidencialidad, #Integridad, #Disponibilidad</t>
        </is>
      </c>
      <c r="E2" s="112" t="inlineStr">
        <is>
          <t>#Identificar</t>
        </is>
      </c>
      <c r="F2" s="38" t="inlineStr">
        <is>
          <t>#Gobernanza</t>
        </is>
      </c>
      <c r="G2" s="112" t="inlineStr">
        <is>
          <t>#Gobernanza_y_Ecosistema</t>
        </is>
      </c>
      <c r="H2" s="112" t="inlineStr">
        <is>
          <t>Obligatorio SEPS (Régimen General)</t>
        </is>
      </c>
      <c r="I2" s="112" t="inlineStr">
        <is>
          <t>C1: Revisión periódica de políticas y procedimientos</t>
        </is>
      </c>
      <c r="J2" s="112" t="inlineStr">
        <is>
          <t>2. Metodología Interna GSO-GSI + ISO 27001</t>
        </is>
      </c>
      <c r="K2" s="112" t="inlineStr">
        <is>
          <t>Aplica</t>
        </is>
      </c>
      <c r="L2" s="112" t="inlineStr">
        <is>
          <t>Requisito interno GSO-GSI</t>
        </is>
      </c>
    </row>
    <row r="3" ht="48" customHeight="1" s="106">
      <c r="A3" s="38" t="inlineStr">
        <is>
          <t>5.2</t>
        </is>
      </c>
      <c r="B3" s="112" t="inlineStr">
        <is>
          <t>Funciones y responsabilidades de seguridad de la información</t>
        </is>
      </c>
      <c r="C3" s="112" t="inlineStr">
        <is>
          <t>#Preventivo</t>
        </is>
      </c>
      <c r="D3" s="112" t="inlineStr">
        <is>
          <t>#Confidencialidad, #Integridad, #Disponibilidad</t>
        </is>
      </c>
      <c r="E3" s="112" t="inlineStr">
        <is>
          <t>#Identificar</t>
        </is>
      </c>
      <c r="F3" s="38" t="inlineStr">
        <is>
          <t>#Gobernanza</t>
        </is>
      </c>
      <c r="G3" s="112" t="inlineStr">
        <is>
          <t>#Gobernanza_y_Ecosistema</t>
        </is>
      </c>
      <c r="H3" s="112" t="inlineStr">
        <is>
          <t>Obligatorio SEPS (Régimen General)</t>
        </is>
      </c>
      <c r="I3" s="112" t="inlineStr">
        <is>
          <t>-</t>
        </is>
      </c>
      <c r="J3" s="112" t="inlineStr">
        <is>
          <t>1. Regulatorio SEPS 002-2022 + ISO 27001</t>
        </is>
      </c>
      <c r="K3" s="112" t="inlineStr">
        <is>
          <t>Aplica</t>
        </is>
      </c>
      <c r="L3" s="112" t="inlineStr">
        <is>
          <t>Requerido por ente regulador SEPS</t>
        </is>
      </c>
    </row>
    <row r="4" ht="36" customHeight="1" s="106">
      <c r="A4" s="38" t="inlineStr">
        <is>
          <t>5.3</t>
        </is>
      </c>
      <c r="B4" s="112" t="inlineStr">
        <is>
          <t>Segregación de funciones</t>
        </is>
      </c>
      <c r="C4" s="112" t="inlineStr">
        <is>
          <t>#Preventivo</t>
        </is>
      </c>
      <c r="D4" s="112" t="inlineStr">
        <is>
          <t>#Confidencialidad, #Integridad</t>
        </is>
      </c>
      <c r="E4" s="112" t="inlineStr">
        <is>
          <t>#Proteger</t>
        </is>
      </c>
      <c r="F4" s="38" t="inlineStr">
        <is>
          <t>#Gobernanza</t>
        </is>
      </c>
      <c r="G4" s="112" t="inlineStr">
        <is>
          <t>#Gobernanza_y_Ecosistema</t>
        </is>
      </c>
      <c r="H4" s="112" t="inlineStr">
        <is>
          <t>Obligatorio SEPS (Régimen General)</t>
        </is>
      </c>
      <c r="I4" s="112" t="inlineStr">
        <is>
          <t>-</t>
        </is>
      </c>
      <c r="J4" s="112" t="inlineStr">
        <is>
          <t>1. Regulatorio SEPS 002-2022 + ISO 27001</t>
        </is>
      </c>
      <c r="K4" s="112" t="inlineStr">
        <is>
          <t>Aplica</t>
        </is>
      </c>
      <c r="L4" s="112" t="inlineStr">
        <is>
          <t>Requerido por ente regulador SEPS</t>
        </is>
      </c>
    </row>
    <row r="5" ht="36" customHeight="1" s="106">
      <c r="A5" s="38" t="inlineStr">
        <is>
          <t>5.4</t>
        </is>
      </c>
      <c r="B5" s="112" t="inlineStr">
        <is>
          <t>Responsabilidades de la dirección</t>
        </is>
      </c>
      <c r="C5" s="112" t="inlineStr">
        <is>
          <t>#Preventivo</t>
        </is>
      </c>
      <c r="D5" s="112" t="inlineStr">
        <is>
          <t>#Confidencialidad, #Integridad, #Disponibilidad</t>
        </is>
      </c>
      <c r="E5" s="112" t="inlineStr">
        <is>
          <t>#Identificar</t>
        </is>
      </c>
      <c r="F5" s="38" t="inlineStr">
        <is>
          <t>#Gobernanza</t>
        </is>
      </c>
      <c r="G5" s="112" t="inlineStr">
        <is>
          <t>#Gobernanza_y_Ecosistema</t>
        </is>
      </c>
      <c r="H5" s="112" t="inlineStr">
        <is>
          <t>Obligatorio SEPS (Régimen General)</t>
        </is>
      </c>
      <c r="I5" s="112" t="inlineStr">
        <is>
          <t>-</t>
        </is>
      </c>
      <c r="J5" s="112" t="inlineStr">
        <is>
          <t>1. Regulatorio SEPS 002-2022 + ISO 27001</t>
        </is>
      </c>
      <c r="K5" s="112" t="inlineStr">
        <is>
          <t>Aplica</t>
        </is>
      </c>
      <c r="L5" s="112" t="inlineStr">
        <is>
          <t>Requerido por ente regulador SEPS</t>
        </is>
      </c>
    </row>
    <row r="6" ht="36" customHeight="1" s="106">
      <c r="A6" s="38" t="inlineStr">
        <is>
          <t>5.5</t>
        </is>
      </c>
      <c r="B6" s="112" t="inlineStr">
        <is>
          <t>Contacto con las autoridades</t>
        </is>
      </c>
      <c r="C6" s="112" t="inlineStr">
        <is>
          <t>#Preventivo</t>
        </is>
      </c>
      <c r="D6" s="112" t="inlineStr">
        <is>
          <t>#Disponibilidad</t>
        </is>
      </c>
      <c r="E6" s="112" t="inlineStr">
        <is>
          <t>#Responder</t>
        </is>
      </c>
      <c r="F6" s="38" t="inlineStr">
        <is>
          <t>#Gobernanza</t>
        </is>
      </c>
      <c r="G6" s="112" t="inlineStr">
        <is>
          <t>#Gobernanza_y_Ecosistema</t>
        </is>
      </c>
      <c r="H6" s="112" t="inlineStr">
        <is>
          <t>Obligatorio SEPS (Régimen General)</t>
        </is>
      </c>
      <c r="I6" s="112" t="inlineStr">
        <is>
          <t>-</t>
        </is>
      </c>
      <c r="J6" s="112" t="inlineStr">
        <is>
          <t>1. Regulatorio SEPS 002-2022 + ISO 27001</t>
        </is>
      </c>
      <c r="K6" s="112" t="inlineStr">
        <is>
          <t>Aplica</t>
        </is>
      </c>
      <c r="L6" s="112" t="inlineStr">
        <is>
          <t>Requerido por ente regulador SEPS</t>
        </is>
      </c>
    </row>
    <row r="7" ht="60" customHeight="1" s="106">
      <c r="A7" s="38" t="inlineStr">
        <is>
          <t>5.6</t>
        </is>
      </c>
      <c r="B7" s="112" t="inlineStr">
        <is>
          <t>Contacto con grupos de interés especial</t>
        </is>
      </c>
      <c r="C7" s="112" t="inlineStr">
        <is>
          <t>#Preventivo</t>
        </is>
      </c>
      <c r="D7" s="112" t="inlineStr">
        <is>
          <t>#Disponibilidad</t>
        </is>
      </c>
      <c r="E7" s="112" t="inlineStr">
        <is>
          <t>#Identificar</t>
        </is>
      </c>
      <c r="F7" s="38" t="inlineStr">
        <is>
          <t>#Gobernanza</t>
        </is>
      </c>
      <c r="G7" s="112" t="inlineStr">
        <is>
          <t>#Gobernanza_y_Ecosistema</t>
        </is>
      </c>
      <c r="H7" s="112" t="inlineStr">
        <is>
          <t>Mejor Práctica (No obligatorio SEPS)</t>
        </is>
      </c>
      <c r="I7" s="112" t="inlineStr">
        <is>
          <t>-</t>
        </is>
      </c>
      <c r="J7" s="112" t="inlineStr">
        <is>
          <t>3. Tratamiento de Riesgos Específico (ISO 27002 / MAGERIT)</t>
        </is>
      </c>
      <c r="K7" s="112" t="inlineStr">
        <is>
          <t>Aplica</t>
        </is>
      </c>
      <c r="L7" s="112" t="inlineStr">
        <is>
          <t>Requisito de control complementario y mejor práctica de seguridad</t>
        </is>
      </c>
    </row>
    <row r="8" ht="60" customHeight="1" s="106">
      <c r="A8" s="38" t="inlineStr">
        <is>
          <t>5.7</t>
        </is>
      </c>
      <c r="B8" s="112" t="inlineStr">
        <is>
          <t>Inteligencia de amenazas</t>
        </is>
      </c>
      <c r="C8" s="112" t="inlineStr">
        <is>
          <t>#Detectivo, #Preventivo</t>
        </is>
      </c>
      <c r="D8" s="112" t="inlineStr">
        <is>
          <t>#Confidencialidad, #Integridad, #Disponibilidad</t>
        </is>
      </c>
      <c r="E8" s="112" t="inlineStr">
        <is>
          <t>#Identificar</t>
        </is>
      </c>
      <c r="F8" s="38" t="inlineStr">
        <is>
          <t>#Gestión_de_amenazas_y_vulnerabilidades</t>
        </is>
      </c>
      <c r="G8" s="112" t="inlineStr">
        <is>
          <t>#Gobernanza_y_Ecosistema</t>
        </is>
      </c>
      <c r="H8" s="112" t="inlineStr">
        <is>
          <t>Mejor Práctica (No obligatorio SEPS)</t>
        </is>
      </c>
      <c r="I8" s="112" t="inlineStr">
        <is>
          <t>-</t>
        </is>
      </c>
      <c r="J8" s="112" t="inlineStr">
        <is>
          <t>3. Tratamiento de Riesgos Específico (ISO 27002 / MAGERIT)</t>
        </is>
      </c>
      <c r="K8" s="112" t="inlineStr">
        <is>
          <t>Aplica</t>
        </is>
      </c>
      <c r="L8" s="112" t="inlineStr">
        <is>
          <t>Requisito de control complementario y mejor práctica de seguridad</t>
        </is>
      </c>
    </row>
    <row r="9" ht="36" customHeight="1" s="106">
      <c r="A9" s="38" t="inlineStr">
        <is>
          <t>5.8</t>
        </is>
      </c>
      <c r="B9" s="112" t="inlineStr">
        <is>
          <t>Seguridad de la información en la gestión de proyectos</t>
        </is>
      </c>
      <c r="C9" s="112" t="inlineStr">
        <is>
          <t>#Preventivo</t>
        </is>
      </c>
      <c r="D9" s="112" t="inlineStr">
        <is>
          <t>#Confidencialidad, #Integridad, #Disponibilidad</t>
        </is>
      </c>
      <c r="E9" s="112" t="inlineStr">
        <is>
          <t>#Proteger</t>
        </is>
      </c>
      <c r="F9" s="38" t="inlineStr">
        <is>
          <t>#Gobernanza</t>
        </is>
      </c>
      <c r="G9" s="112" t="inlineStr">
        <is>
          <t>#Gobernanza_y_Ecosistema</t>
        </is>
      </c>
      <c r="H9" s="112" t="inlineStr">
        <is>
          <t>Obligatorio SEPS (Régimen General)</t>
        </is>
      </c>
      <c r="I9" s="112" t="inlineStr">
        <is>
          <t>-</t>
        </is>
      </c>
      <c r="J9" s="112" t="inlineStr">
        <is>
          <t>1. Regulatorio SEPS 002-2022 + ISO 27001</t>
        </is>
      </c>
      <c r="K9" s="112" t="inlineStr">
        <is>
          <t>Aplica</t>
        </is>
      </c>
      <c r="L9" s="112" t="inlineStr">
        <is>
          <t>Requerido por ente regulador SEPS</t>
        </is>
      </c>
    </row>
    <row r="10" ht="36" customHeight="1" s="106">
      <c r="A10" s="38" t="inlineStr">
        <is>
          <t>5.9</t>
        </is>
      </c>
      <c r="B10" s="112" t="inlineStr">
        <is>
          <t>Inventario de información y otros activos asociados</t>
        </is>
      </c>
      <c r="C10" s="112" t="inlineStr">
        <is>
          <t>#Preventivo</t>
        </is>
      </c>
      <c r="D10" s="112" t="inlineStr">
        <is>
          <t>#Confidencialidad, #Integridad, #Disponibilidad</t>
        </is>
      </c>
      <c r="E10" s="112" t="inlineStr">
        <is>
          <t>#Identificar</t>
        </is>
      </c>
      <c r="F10" s="38" t="inlineStr">
        <is>
          <t>#Gestión_de_activos</t>
        </is>
      </c>
      <c r="G10" s="112" t="inlineStr">
        <is>
          <t>#Gobernanza_y_Ecosistema</t>
        </is>
      </c>
      <c r="H10" s="112" t="inlineStr">
        <is>
          <t>Obligatorio SEPS (Régimen General)</t>
        </is>
      </c>
      <c r="I10" s="112" t="inlineStr">
        <is>
          <t>-</t>
        </is>
      </c>
      <c r="J10" s="112" t="inlineStr">
        <is>
          <t>1. Regulatorio SEPS 002-2022 + ISO 27001</t>
        </is>
      </c>
      <c r="K10" s="112" t="inlineStr">
        <is>
          <t>Aplica</t>
        </is>
      </c>
      <c r="L10" s="112" t="inlineStr">
        <is>
          <t>Requerido por ente regulador SEPS</t>
        </is>
      </c>
    </row>
    <row r="11" ht="36" customHeight="1" s="106">
      <c r="A11" s="38" t="inlineStr">
        <is>
          <t>5.10</t>
        </is>
      </c>
      <c r="B11" s="112" t="inlineStr">
        <is>
          <t>Uso aceptable de la información y otros activos asociados</t>
        </is>
      </c>
      <c r="C11" s="112" t="inlineStr">
        <is>
          <t>#Preventivo</t>
        </is>
      </c>
      <c r="D11" s="112" t="inlineStr">
        <is>
          <t>#Confidencialidad, #Integridad, #Disponibilidad</t>
        </is>
      </c>
      <c r="E11" s="112" t="inlineStr">
        <is>
          <t>#Proteger</t>
        </is>
      </c>
      <c r="F11" s="38" t="inlineStr">
        <is>
          <t>#Protección_de_la_información</t>
        </is>
      </c>
      <c r="G11" s="112" t="inlineStr">
        <is>
          <t>#Gobernanza_y_Ecosistema</t>
        </is>
      </c>
      <c r="H11" s="112" t="inlineStr">
        <is>
          <t>Obligatorio SEPS (Régimen General)</t>
        </is>
      </c>
      <c r="I11" s="112" t="inlineStr">
        <is>
          <t>-</t>
        </is>
      </c>
      <c r="J11" s="112" t="inlineStr">
        <is>
          <t>1. Regulatorio SEPS 002-2022 + ISO 27001</t>
        </is>
      </c>
      <c r="K11" s="112" t="inlineStr">
        <is>
          <t>Aplica</t>
        </is>
      </c>
      <c r="L11" s="112" t="inlineStr">
        <is>
          <t>Requerido por ente regulador SEPS</t>
        </is>
      </c>
    </row>
    <row r="12" ht="36" customHeight="1" s="106">
      <c r="A12" s="38" t="inlineStr">
        <is>
          <t>5.11</t>
        </is>
      </c>
      <c r="B12" s="112" t="inlineStr">
        <is>
          <t>Devolución de activos</t>
        </is>
      </c>
      <c r="C12" s="112" t="inlineStr">
        <is>
          <t>#Preventivo</t>
        </is>
      </c>
      <c r="D12" s="112" t="inlineStr">
        <is>
          <t>#Confidencialidad, #Integridad, #Disponibilidad</t>
        </is>
      </c>
      <c r="E12" s="112" t="inlineStr">
        <is>
          <t>#Proteger</t>
        </is>
      </c>
      <c r="F12" s="38" t="inlineStr">
        <is>
          <t>#Gestión_de_activos</t>
        </is>
      </c>
      <c r="G12" s="112" t="inlineStr">
        <is>
          <t>#Gobernanza_y_Ecosistema</t>
        </is>
      </c>
      <c r="H12" s="112" t="inlineStr">
        <is>
          <t>Obligatorio SEPS (Régimen General)</t>
        </is>
      </c>
      <c r="I12" s="112" t="inlineStr">
        <is>
          <t>-</t>
        </is>
      </c>
      <c r="J12" s="112" t="inlineStr">
        <is>
          <t>1. Regulatorio SEPS 002-2022 + ISO 27001</t>
        </is>
      </c>
      <c r="K12" s="112" t="inlineStr">
        <is>
          <t>Aplica</t>
        </is>
      </c>
      <c r="L12" s="112" t="inlineStr">
        <is>
          <t>Requerido por ente regulador SEPS</t>
        </is>
      </c>
    </row>
    <row r="13" ht="36" customHeight="1" s="106">
      <c r="A13" s="38" t="inlineStr">
        <is>
          <t>5.12</t>
        </is>
      </c>
      <c r="B13" s="112" t="inlineStr">
        <is>
          <t>Clasificación de la información</t>
        </is>
      </c>
      <c r="C13" s="112" t="inlineStr">
        <is>
          <t>#Preventivo</t>
        </is>
      </c>
      <c r="D13" s="112" t="inlineStr">
        <is>
          <t>#Confidencialidad, #Integridad, #Disponibilidad</t>
        </is>
      </c>
      <c r="E13" s="112" t="inlineStr">
        <is>
          <t>#Identificar</t>
        </is>
      </c>
      <c r="F13" s="38" t="inlineStr">
        <is>
          <t>#Protección_de_la_información</t>
        </is>
      </c>
      <c r="G13" s="112" t="inlineStr">
        <is>
          <t>#Gobernanza_y_Ecosistema</t>
        </is>
      </c>
      <c r="H13" s="112" t="inlineStr">
        <is>
          <t>Obligatorio SEPS (Régimen General)</t>
        </is>
      </c>
      <c r="I13" s="112" t="inlineStr">
        <is>
          <t>C2: Clasificación de la información</t>
        </is>
      </c>
      <c r="J13" s="112" t="inlineStr">
        <is>
          <t>2. Metodología Interna GSO-GSI + ISO 27001</t>
        </is>
      </c>
      <c r="K13" s="112" t="inlineStr">
        <is>
          <t>Aplica</t>
        </is>
      </c>
      <c r="L13" s="112" t="inlineStr">
        <is>
          <t>Requisito interno GSO-GSI</t>
        </is>
      </c>
    </row>
    <row r="14" ht="36" customHeight="1" s="106">
      <c r="A14" s="38" t="inlineStr">
        <is>
          <t>5.13</t>
        </is>
      </c>
      <c r="B14" s="112" t="inlineStr">
        <is>
          <t>Etiquetado de la información</t>
        </is>
      </c>
      <c r="C14" s="112" t="inlineStr">
        <is>
          <t>#Preventivo</t>
        </is>
      </c>
      <c r="D14" s="112" t="inlineStr">
        <is>
          <t>#Confidencialidad, #Integridad, #Disponibilidad</t>
        </is>
      </c>
      <c r="E14" s="112" t="inlineStr">
        <is>
          <t>#Proteger</t>
        </is>
      </c>
      <c r="F14" s="38" t="inlineStr">
        <is>
          <t>#Protección_de_la_información</t>
        </is>
      </c>
      <c r="G14" s="112" t="inlineStr">
        <is>
          <t>#Gobernanza_y_Ecosistema</t>
        </is>
      </c>
      <c r="H14" s="112" t="inlineStr">
        <is>
          <t>Obligatorio SEPS (Régimen General)</t>
        </is>
      </c>
      <c r="I14" s="112" t="inlineStr">
        <is>
          <t>C2: Clasificación de la información</t>
        </is>
      </c>
      <c r="J14" s="112" t="inlineStr">
        <is>
          <t>2. Metodología Interna GSO-GSI + ISO 27001</t>
        </is>
      </c>
      <c r="K14" s="112" t="inlineStr">
        <is>
          <t>Aplica</t>
        </is>
      </c>
      <c r="L14" s="112" t="inlineStr">
        <is>
          <t>Requisito interno GSO-GSI</t>
        </is>
      </c>
    </row>
    <row r="15" ht="36" customHeight="1" s="106">
      <c r="A15" s="38" t="inlineStr">
        <is>
          <t>5.14</t>
        </is>
      </c>
      <c r="B15" s="112" t="inlineStr">
        <is>
          <t>Transferencia de información</t>
        </is>
      </c>
      <c r="C15" s="112" t="inlineStr">
        <is>
          <t>#Preventivo</t>
        </is>
      </c>
      <c r="D15" s="112" t="inlineStr">
        <is>
          <t>#Confidencialidad, #Integridad, #Disponibilidad</t>
        </is>
      </c>
      <c r="E15" s="112" t="inlineStr">
        <is>
          <t>#Proteger</t>
        </is>
      </c>
      <c r="F15" s="38" t="inlineStr">
        <is>
          <t>#Protección_de_la_información</t>
        </is>
      </c>
      <c r="G15" s="112" t="inlineStr">
        <is>
          <t>#Gobernanza_y_Ecosistema</t>
        </is>
      </c>
      <c r="H15" s="112" t="inlineStr">
        <is>
          <t>Obligatorio SEPS (Régimen General)</t>
        </is>
      </c>
      <c r="I15" s="112" t="inlineStr">
        <is>
          <t>-</t>
        </is>
      </c>
      <c r="J15" s="112" t="inlineStr">
        <is>
          <t>1. Regulatorio SEPS 002-2022 + ISO 27001</t>
        </is>
      </c>
      <c r="K15" s="112" t="inlineStr">
        <is>
          <t>Aplica</t>
        </is>
      </c>
      <c r="L15" s="112" t="inlineStr">
        <is>
          <t>Requerido por ente regulador SEPS</t>
        </is>
      </c>
    </row>
    <row r="16" ht="36" customHeight="1" s="106">
      <c r="A16" s="38" t="inlineStr">
        <is>
          <t>5.15</t>
        </is>
      </c>
      <c r="B16" s="112" t="inlineStr">
        <is>
          <t>Control de acceso</t>
        </is>
      </c>
      <c r="C16" s="112" t="inlineStr">
        <is>
          <t>#Preventivo</t>
        </is>
      </c>
      <c r="D16" s="112" t="inlineStr">
        <is>
          <t>#Confidencialidad, #Integridad, #Disponibilidad</t>
        </is>
      </c>
      <c r="E16" s="112" t="inlineStr">
        <is>
          <t>#Proteger</t>
        </is>
      </c>
      <c r="F16" s="38" t="inlineStr">
        <is>
          <t>#Administración_de_identidad_y_acceso</t>
        </is>
      </c>
      <c r="G16" s="112" t="inlineStr">
        <is>
          <t>#Gobernanza_y_Ecosistema</t>
        </is>
      </c>
      <c r="H16" s="112" t="inlineStr">
        <is>
          <t>Obligatorio SEPS (Régimen General)</t>
        </is>
      </c>
      <c r="I16" s="112" t="inlineStr">
        <is>
          <t>C4: Restricción del control de acceso</t>
        </is>
      </c>
      <c r="J16" s="112" t="inlineStr">
        <is>
          <t>2. Metodología Interna GSO-GSI + ISO 27001</t>
        </is>
      </c>
      <c r="K16" s="112" t="inlineStr">
        <is>
          <t>Aplica</t>
        </is>
      </c>
      <c r="L16" s="112" t="inlineStr">
        <is>
          <t>Requisito interno GSO-GSI</t>
        </is>
      </c>
    </row>
    <row r="17" ht="36" customHeight="1" s="106">
      <c r="A17" s="38" t="inlineStr">
        <is>
          <t>5.16</t>
        </is>
      </c>
      <c r="B17" s="112" t="inlineStr">
        <is>
          <t>Gestión de identidades</t>
        </is>
      </c>
      <c r="C17" s="112" t="inlineStr">
        <is>
          <t>#Preventivo</t>
        </is>
      </c>
      <c r="D17" s="112" t="inlineStr">
        <is>
          <t>#Confidencialidad, #Integridad, #Disponibilidad</t>
        </is>
      </c>
      <c r="E17" s="112" t="inlineStr">
        <is>
          <t>#Proteger</t>
        </is>
      </c>
      <c r="F17" s="38" t="inlineStr">
        <is>
          <t>#Administración_de_identidad_y_acceso</t>
        </is>
      </c>
      <c r="G17" s="112" t="inlineStr">
        <is>
          <t>#Gobernanza_y_Ecosistema</t>
        </is>
      </c>
      <c r="H17" s="112" t="inlineStr">
        <is>
          <t>Obligatorio SEPS (Régimen General)</t>
        </is>
      </c>
      <c r="I17" s="112" t="inlineStr">
        <is>
          <t>-</t>
        </is>
      </c>
      <c r="J17" s="112" t="inlineStr">
        <is>
          <t>1. Regulatorio SEPS 002-2022 + ISO 27001</t>
        </is>
      </c>
      <c r="K17" s="112" t="inlineStr">
        <is>
          <t>Aplica</t>
        </is>
      </c>
      <c r="L17" s="112" t="inlineStr">
        <is>
          <t>Requerido por ente regulador SEPS</t>
        </is>
      </c>
    </row>
    <row r="18" ht="36" customHeight="1" s="106">
      <c r="A18" s="38" t="inlineStr">
        <is>
          <t>5.17</t>
        </is>
      </c>
      <c r="B18" s="112" t="inlineStr">
        <is>
          <t>Información de autenticación</t>
        </is>
      </c>
      <c r="C18" s="112" t="inlineStr">
        <is>
          <t>#Preventivo</t>
        </is>
      </c>
      <c r="D18" s="112" t="inlineStr">
        <is>
          <t>#Confidencialidad, #Integridad, #Disponibilidad</t>
        </is>
      </c>
      <c r="E18" s="112" t="inlineStr">
        <is>
          <t>#Proteger</t>
        </is>
      </c>
      <c r="F18" s="38" t="inlineStr">
        <is>
          <t>#Administración_de_identidad_y_acceso</t>
        </is>
      </c>
      <c r="G18" s="112" t="inlineStr">
        <is>
          <t>#Gobernanza_y_Ecosistema</t>
        </is>
      </c>
      <c r="H18" s="112" t="inlineStr">
        <is>
          <t>Obligatorio SEPS (Régimen General)</t>
        </is>
      </c>
      <c r="I18" s="112" t="inlineStr">
        <is>
          <t>C8: Uso de contraseñas fuertes</t>
        </is>
      </c>
      <c r="J18" s="112" t="inlineStr">
        <is>
          <t>2. Metodología Interna GSO-GSI + ISO 27001</t>
        </is>
      </c>
      <c r="K18" s="112" t="inlineStr">
        <is>
          <t>Aplica</t>
        </is>
      </c>
      <c r="L18" s="112" t="inlineStr">
        <is>
          <t>Requisito interno GSO-GSI</t>
        </is>
      </c>
    </row>
    <row r="19" ht="36" customHeight="1" s="106">
      <c r="A19" s="38" t="inlineStr">
        <is>
          <t>5.18</t>
        </is>
      </c>
      <c r="B19" s="112" t="inlineStr">
        <is>
          <t>Derechos de acceso</t>
        </is>
      </c>
      <c r="C19" s="112" t="inlineStr">
        <is>
          <t>#Preventivo</t>
        </is>
      </c>
      <c r="D19" s="112" t="inlineStr">
        <is>
          <t>#Confidencialidad, #Integridad, #Disponibilidad</t>
        </is>
      </c>
      <c r="E19" s="112" t="inlineStr">
        <is>
          <t>#Proteger</t>
        </is>
      </c>
      <c r="F19" s="38" t="inlineStr">
        <is>
          <t>#Administración_de_identidad_y_acceso</t>
        </is>
      </c>
      <c r="G19" s="112" t="inlineStr">
        <is>
          <t>#Gobernanza_y_Ecosistema</t>
        </is>
      </c>
      <c r="H19" s="112" t="inlineStr">
        <is>
          <t>Obligatorio SEPS (Régimen General)</t>
        </is>
      </c>
      <c r="I19" s="112" t="inlineStr">
        <is>
          <t>C7: Revisión periódica de los derechos de acceso</t>
        </is>
      </c>
      <c r="J19" s="112" t="inlineStr">
        <is>
          <t>2. Metodología Interna GSO-GSI + ISO 27001</t>
        </is>
      </c>
      <c r="K19" s="112" t="inlineStr">
        <is>
          <t>Aplica</t>
        </is>
      </c>
      <c r="L19" s="112" t="inlineStr">
        <is>
          <t>Requisito interno GSO-GSI</t>
        </is>
      </c>
    </row>
    <row r="20" ht="48" customHeight="1" s="106">
      <c r="A20" s="38" t="inlineStr">
        <is>
          <t>5.19</t>
        </is>
      </c>
      <c r="B20" s="112" t="inlineStr">
        <is>
          <t>Seguridad de la información en las relaciones con los proveedores</t>
        </is>
      </c>
      <c r="C20" s="112" t="inlineStr">
        <is>
          <t>#Preventivo</t>
        </is>
      </c>
      <c r="D20" s="112" t="inlineStr">
        <is>
          <t>#Confidencialidad, #Integridad, #Disponibilidad</t>
        </is>
      </c>
      <c r="E20" s="112" t="inlineStr">
        <is>
          <t>#Proteger</t>
        </is>
      </c>
      <c r="F20" s="38" t="inlineStr">
        <is>
          <t>#Seguridad_en_relaciones_con_proveedores</t>
        </is>
      </c>
      <c r="G20" s="112" t="inlineStr">
        <is>
          <t>#Gobernanza_y_Ecosistema</t>
        </is>
      </c>
      <c r="H20" s="112" t="inlineStr">
        <is>
          <t>Obligatorio SEPS (Régimen General)</t>
        </is>
      </c>
      <c r="I20" s="112" t="inlineStr">
        <is>
          <t>-</t>
        </is>
      </c>
      <c r="J20" s="112" t="inlineStr">
        <is>
          <t>1. Regulatorio SEPS 002-2022 + ISO 27001</t>
        </is>
      </c>
      <c r="K20" s="112" t="inlineStr">
        <is>
          <t>Aplica</t>
        </is>
      </c>
      <c r="L20" s="112" t="inlineStr">
        <is>
          <t>Requerido por ente regulador SEPS</t>
        </is>
      </c>
    </row>
    <row r="21" ht="60" customHeight="1" s="106">
      <c r="A21" s="38" t="inlineStr">
        <is>
          <t>5.20</t>
        </is>
      </c>
      <c r="B21" s="112" t="inlineStr">
        <is>
          <t>Tratamiento de la seguridad de la información en los acuerdos con los proveedores</t>
        </is>
      </c>
      <c r="C21" s="112" t="inlineStr">
        <is>
          <t>#Preventivo</t>
        </is>
      </c>
      <c r="D21" s="112" t="inlineStr">
        <is>
          <t>#Confidencialidad, #Integridad, #Disponibilidad</t>
        </is>
      </c>
      <c r="E21" s="112" t="inlineStr">
        <is>
          <t>#Proteger</t>
        </is>
      </c>
      <c r="F21" s="38" t="inlineStr">
        <is>
          <t>#Seguridad_en_relaciones_con_proveedores</t>
        </is>
      </c>
      <c r="G21" s="112" t="inlineStr">
        <is>
          <t>#Gobernanza_y_Ecosistema</t>
        </is>
      </c>
      <c r="H21" s="112" t="inlineStr">
        <is>
          <t>Obligatorio SEPS (Régimen General)</t>
        </is>
      </c>
      <c r="I21" s="112" t="inlineStr">
        <is>
          <t>-</t>
        </is>
      </c>
      <c r="J21" s="112" t="inlineStr">
        <is>
          <t>1. Regulatorio SEPS 002-2022 + ISO 27001</t>
        </is>
      </c>
      <c r="K21" s="112" t="inlineStr">
        <is>
          <t>Aplica</t>
        </is>
      </c>
      <c r="L21" s="112" t="inlineStr">
        <is>
          <t>Requerido por ente regulador SEPS</t>
        </is>
      </c>
    </row>
    <row r="22" ht="60" customHeight="1" s="106">
      <c r="A22" s="38" t="inlineStr">
        <is>
          <t>5.21</t>
        </is>
      </c>
      <c r="B22" s="112" t="inlineStr">
        <is>
          <t>Gestión de la seguridad de la información en la cadena de suministro de TIC</t>
        </is>
      </c>
      <c r="C22" s="112" t="inlineStr">
        <is>
          <t>#Preventivo</t>
        </is>
      </c>
      <c r="D22" s="112" t="inlineStr">
        <is>
          <t>#Confidencialidad, #Integridad, #Disponibilidad</t>
        </is>
      </c>
      <c r="E22" s="112" t="inlineStr">
        <is>
          <t>#Proteger</t>
        </is>
      </c>
      <c r="F22" s="38" t="inlineStr">
        <is>
          <t>#Seguridad_en_relaciones_con_proveedores</t>
        </is>
      </c>
      <c r="G22" s="112" t="inlineStr">
        <is>
          <t>#Gobernanza_y_Ecosistema</t>
        </is>
      </c>
      <c r="H22" s="112" t="inlineStr">
        <is>
          <t>Obligatorio SEPS (Régimen General)</t>
        </is>
      </c>
      <c r="I22" s="112" t="inlineStr">
        <is>
          <t>-</t>
        </is>
      </c>
      <c r="J22" s="112" t="inlineStr">
        <is>
          <t>1. Regulatorio SEPS 002-2022 + ISO 27001</t>
        </is>
      </c>
      <c r="K22" s="112" t="inlineStr">
        <is>
          <t>Aplica</t>
        </is>
      </c>
      <c r="L22" s="112" t="inlineStr">
        <is>
          <t>Requerido por ente regulador SEPS</t>
        </is>
      </c>
    </row>
    <row r="23" ht="60" customHeight="1" s="106">
      <c r="A23" s="38" t="inlineStr">
        <is>
          <t>5.22</t>
        </is>
      </c>
      <c r="B23" s="112" t="inlineStr">
        <is>
          <t>Seguimiento, revisión y gestión de cambios en los servicios de los proveedores</t>
        </is>
      </c>
      <c r="C23" s="112" t="inlineStr">
        <is>
          <t>#Preventivo</t>
        </is>
      </c>
      <c r="D23" s="112" t="inlineStr">
        <is>
          <t>#Confidencialidad, #Integridad, #Disponibilidad</t>
        </is>
      </c>
      <c r="E23" s="112" t="inlineStr">
        <is>
          <t>#Proteger</t>
        </is>
      </c>
      <c r="F23" s="38" t="inlineStr">
        <is>
          <t>#Seguridad_en_relaciones_con_proveedores</t>
        </is>
      </c>
      <c r="G23" s="112" t="inlineStr">
        <is>
          <t>#Gobernanza_y_Ecosistema</t>
        </is>
      </c>
      <c r="H23" s="112" t="inlineStr">
        <is>
          <t>Obligatorio SEPS (Régimen General)</t>
        </is>
      </c>
      <c r="I23" s="112" t="inlineStr">
        <is>
          <t>-</t>
        </is>
      </c>
      <c r="J23" s="112" t="inlineStr">
        <is>
          <t>1. Regulatorio SEPS 002-2022 + ISO 27001</t>
        </is>
      </c>
      <c r="K23" s="112" t="inlineStr">
        <is>
          <t>Aplica</t>
        </is>
      </c>
      <c r="L23" s="112" t="inlineStr">
        <is>
          <t>Requerido por ente regulador SEPS</t>
        </is>
      </c>
    </row>
    <row r="24" ht="48" customHeight="1" s="106">
      <c r="A24" s="38" t="inlineStr">
        <is>
          <t>5.23</t>
        </is>
      </c>
      <c r="B24" s="112" t="inlineStr">
        <is>
          <t>Seguridad de la información en el uso de servicios en la nube</t>
        </is>
      </c>
      <c r="C24" s="112" t="inlineStr">
        <is>
          <t>#Preventivo</t>
        </is>
      </c>
      <c r="D24" s="112" t="inlineStr">
        <is>
          <t>#Confidencialidad, #Integridad, #Disponibilidad</t>
        </is>
      </c>
      <c r="E24" s="112" t="inlineStr">
        <is>
          <t>#Proteger</t>
        </is>
      </c>
      <c r="F24" s="38" t="inlineStr">
        <is>
          <t>#Seguridad_en_relaciones_con_proveedores</t>
        </is>
      </c>
      <c r="G24" s="112" t="inlineStr">
        <is>
          <t>#Gobernanza_y_Ecosistema</t>
        </is>
      </c>
      <c r="H24" s="112" t="inlineStr">
        <is>
          <t>Obligatorio SEPS (Régimen General)</t>
        </is>
      </c>
      <c r="I24" s="112" t="inlineStr">
        <is>
          <t>-</t>
        </is>
      </c>
      <c r="J24" s="112" t="inlineStr">
        <is>
          <t>4. No Aplica</t>
        </is>
      </c>
      <c r="K24" s="112" t="inlineStr">
        <is>
          <t>No Aplica</t>
        </is>
      </c>
      <c r="L24" s="112" t="inlineStr">
        <is>
          <t>Control 5.23 no es pertinente a los procesos actuales de la entidad</t>
        </is>
      </c>
    </row>
    <row r="25" ht="36" customHeight="1" s="106">
      <c r="A25" s="38" t="inlineStr">
        <is>
          <t>5.24</t>
        </is>
      </c>
      <c r="B25" s="112" t="inlineStr">
        <is>
          <t>Planificación y preparación de la gestión de incidentes</t>
        </is>
      </c>
      <c r="C25" s="112" t="inlineStr">
        <is>
          <t>#Preventivo</t>
        </is>
      </c>
      <c r="D25" s="112" t="inlineStr">
        <is>
          <t>#Confidencialidad, #Integridad, #Disponibilidad</t>
        </is>
      </c>
      <c r="E25" s="112" t="inlineStr">
        <is>
          <t>#Responder</t>
        </is>
      </c>
      <c r="F25" s="38" t="inlineStr">
        <is>
          <t>#Seguridad_de_la_información_gestión_de_eventos</t>
        </is>
      </c>
      <c r="G25" s="112" t="inlineStr">
        <is>
          <t>#Gobernanza_y_Ecosistema</t>
        </is>
      </c>
      <c r="H25" s="112" t="inlineStr">
        <is>
          <t>Obligatorio SEPS (Régimen General)</t>
        </is>
      </c>
      <c r="I25" s="112" t="inlineStr">
        <is>
          <t>-</t>
        </is>
      </c>
      <c r="J25" s="112" t="inlineStr">
        <is>
          <t>1. Regulatorio SEPS 002-2022 + ISO 27001</t>
        </is>
      </c>
      <c r="K25" s="112" t="inlineStr">
        <is>
          <t>Aplica</t>
        </is>
      </c>
      <c r="L25" s="112" t="inlineStr">
        <is>
          <t>Requerido por ente regulador SEPS</t>
        </is>
      </c>
    </row>
    <row r="26" ht="36" customHeight="1" s="106">
      <c r="A26" s="38" t="inlineStr">
        <is>
          <t>5.25</t>
        </is>
      </c>
      <c r="B26" s="112" t="inlineStr">
        <is>
          <t>Evaluación y decisión sobre los eventos de seguridad</t>
        </is>
      </c>
      <c r="C26" s="112" t="inlineStr">
        <is>
          <t>#Detectivo</t>
        </is>
      </c>
      <c r="D26" s="112" t="inlineStr">
        <is>
          <t>#Confidencialidad, #Integridad, #Disponibilidad</t>
        </is>
      </c>
      <c r="E26" s="112" t="inlineStr">
        <is>
          <t>#Detectar</t>
        </is>
      </c>
      <c r="F26" s="38" t="inlineStr">
        <is>
          <t>#Seguridad_de_la_información_gestión_de_eventos</t>
        </is>
      </c>
      <c r="G26" s="112" t="inlineStr">
        <is>
          <t>#Gobernanza_y_Ecosistema</t>
        </is>
      </c>
      <c r="H26" s="112" t="inlineStr">
        <is>
          <t>Obligatorio SEPS (Régimen General)</t>
        </is>
      </c>
      <c r="I26" s="112" t="inlineStr">
        <is>
          <t>-</t>
        </is>
      </c>
      <c r="J26" s="112" t="inlineStr">
        <is>
          <t>1. Regulatorio SEPS 002-2022 + ISO 27001</t>
        </is>
      </c>
      <c r="K26" s="112" t="inlineStr">
        <is>
          <t>Aplica</t>
        </is>
      </c>
      <c r="L26" s="112" t="inlineStr">
        <is>
          <t>Requerido por ente regulador SEPS</t>
        </is>
      </c>
    </row>
    <row r="27" ht="48" customHeight="1" s="106">
      <c r="A27" s="38" t="inlineStr">
        <is>
          <t>5.26</t>
        </is>
      </c>
      <c r="B27" s="112" t="inlineStr">
        <is>
          <t>Respuesta a los incidentes de seguridad de la información</t>
        </is>
      </c>
      <c r="C27" s="112" t="inlineStr">
        <is>
          <t>#Correctivo</t>
        </is>
      </c>
      <c r="D27" s="112" t="inlineStr">
        <is>
          <t>#Confidencialidad, #Integridad, #Disponibilidad</t>
        </is>
      </c>
      <c r="E27" s="112" t="inlineStr">
        <is>
          <t>#Responder</t>
        </is>
      </c>
      <c r="F27" s="38" t="inlineStr">
        <is>
          <t>#Seguridad_de_la_información_gestión_de_eventos</t>
        </is>
      </c>
      <c r="G27" s="112" t="inlineStr">
        <is>
          <t>#Gobernanza_y_Ecosistema</t>
        </is>
      </c>
      <c r="H27" s="112" t="inlineStr">
        <is>
          <t>Obligatorio SEPS (Régimen General)</t>
        </is>
      </c>
      <c r="I27" s="112" t="inlineStr">
        <is>
          <t>-</t>
        </is>
      </c>
      <c r="J27" s="112" t="inlineStr">
        <is>
          <t>1. Regulatorio SEPS 002-2022 + ISO 27001</t>
        </is>
      </c>
      <c r="K27" s="112" t="inlineStr">
        <is>
          <t>Aplica</t>
        </is>
      </c>
      <c r="L27" s="112" t="inlineStr">
        <is>
          <t>Requerido por ente regulador SEPS</t>
        </is>
      </c>
    </row>
    <row r="28" ht="48" customHeight="1" s="106">
      <c r="A28" s="38" t="inlineStr">
        <is>
          <t>5.27</t>
        </is>
      </c>
      <c r="B28" s="112" t="inlineStr">
        <is>
          <t>Aprendizaje de los incidentes de seguridad de la información</t>
        </is>
      </c>
      <c r="C28" s="112" t="inlineStr">
        <is>
          <t>#Preventivo</t>
        </is>
      </c>
      <c r="D28" s="112" t="inlineStr">
        <is>
          <t>#Confidencialidad, #Integridad, #Disponibilidad</t>
        </is>
      </c>
      <c r="E28" s="112" t="inlineStr">
        <is>
          <t>#Identificar</t>
        </is>
      </c>
      <c r="F28" s="38" t="inlineStr">
        <is>
          <t>#Seguridad_de_la_información_gestión_de_eventos</t>
        </is>
      </c>
      <c r="G28" s="112" t="inlineStr">
        <is>
          <t>#Gobernanza_y_Ecosistema</t>
        </is>
      </c>
      <c r="H28" s="112" t="inlineStr">
        <is>
          <t>Obligatorio SEPS (Régimen General)</t>
        </is>
      </c>
      <c r="I28" s="112" t="inlineStr">
        <is>
          <t>-</t>
        </is>
      </c>
      <c r="J28" s="112" t="inlineStr">
        <is>
          <t>1. Regulatorio SEPS 002-2022 + ISO 27001</t>
        </is>
      </c>
      <c r="K28" s="112" t="inlineStr">
        <is>
          <t>Aplica</t>
        </is>
      </c>
      <c r="L28" s="112" t="inlineStr">
        <is>
          <t>Requerido por ente regulador SEPS</t>
        </is>
      </c>
    </row>
    <row r="29" ht="36" customHeight="1" s="106">
      <c r="A29" s="38" t="inlineStr">
        <is>
          <t>5.28</t>
        </is>
      </c>
      <c r="B29" s="112" t="inlineStr">
        <is>
          <t>Recolección de evidencias</t>
        </is>
      </c>
      <c r="C29" s="112" t="inlineStr">
        <is>
          <t>#Preventivo, #Correctivo</t>
        </is>
      </c>
      <c r="D29" s="112" t="inlineStr">
        <is>
          <t>#Confidencialidad, #Integridad, #Disponibilidad</t>
        </is>
      </c>
      <c r="E29" s="112" t="inlineStr">
        <is>
          <t>#Responder</t>
        </is>
      </c>
      <c r="F29" s="38" t="inlineStr">
        <is>
          <t>#Seguridad_de_la_información_gestión_de_eventos</t>
        </is>
      </c>
      <c r="G29" s="112" t="inlineStr">
        <is>
          <t>#Gobernanza_y_Ecosistema</t>
        </is>
      </c>
      <c r="H29" s="112" t="inlineStr">
        <is>
          <t>Obligatorio SEPS (Régimen General)</t>
        </is>
      </c>
      <c r="I29" s="112" t="inlineStr">
        <is>
          <t>-</t>
        </is>
      </c>
      <c r="J29" s="112" t="inlineStr">
        <is>
          <t>1. Regulatorio SEPS 002-2022 + ISO 27001</t>
        </is>
      </c>
      <c r="K29" s="112" t="inlineStr">
        <is>
          <t>Aplica</t>
        </is>
      </c>
      <c r="L29" s="112" t="inlineStr">
        <is>
          <t>Requerido por ente regulador SEPS</t>
        </is>
      </c>
    </row>
    <row r="30" ht="48" customHeight="1" s="106">
      <c r="A30" s="38" t="inlineStr">
        <is>
          <t>5.29</t>
        </is>
      </c>
      <c r="B30" s="112" t="inlineStr">
        <is>
          <t>Seguridad de la información durante la interrupción</t>
        </is>
      </c>
      <c r="C30" s="112" t="inlineStr">
        <is>
          <t>#Preventivo</t>
        </is>
      </c>
      <c r="D30" s="112" t="inlineStr">
        <is>
          <t>#Confidencialidad, #Integridad, #Disponibilidad</t>
        </is>
      </c>
      <c r="E30" s="112" t="inlineStr">
        <is>
          <t>#Recuperar</t>
        </is>
      </c>
      <c r="F30" s="38" t="inlineStr">
        <is>
          <t>#Continuidad</t>
        </is>
      </c>
      <c r="G30" s="112" t="inlineStr">
        <is>
          <t>#Resiliencia</t>
        </is>
      </c>
      <c r="H30" s="112" t="inlineStr">
        <is>
          <t>Obligatorio SEPS (Régimen General)</t>
        </is>
      </c>
      <c r="I30" s="112" t="inlineStr">
        <is>
          <t>C6: Procedimientos de reversión (rollback) / Respaldo</t>
        </is>
      </c>
      <c r="J30" s="112" t="inlineStr">
        <is>
          <t>2. Metodología Interna GSO-GSI + ISO 27001</t>
        </is>
      </c>
      <c r="K30" s="112" t="inlineStr">
        <is>
          <t>Aplica</t>
        </is>
      </c>
      <c r="L30" s="112" t="inlineStr">
        <is>
          <t>Requisito interno GSO-GSI</t>
        </is>
      </c>
    </row>
    <row r="31" ht="48" customHeight="1" s="106">
      <c r="A31" s="38" t="inlineStr">
        <is>
          <t>5.30</t>
        </is>
      </c>
      <c r="B31" s="112" t="inlineStr">
        <is>
          <t>Preparación de las TIC para la continuidad del negocio</t>
        </is>
      </c>
      <c r="C31" s="112" t="inlineStr">
        <is>
          <t>#Preventivo</t>
        </is>
      </c>
      <c r="D31" s="112" t="inlineStr">
        <is>
          <t>#Confidencialidad, #Integridad, #Disponibilidad</t>
        </is>
      </c>
      <c r="E31" s="112" t="inlineStr">
        <is>
          <t>#Recuperar</t>
        </is>
      </c>
      <c r="F31" s="38" t="inlineStr">
        <is>
          <t>#Continuidad</t>
        </is>
      </c>
      <c r="G31" s="112" t="inlineStr">
        <is>
          <t>#Resiliencia</t>
        </is>
      </c>
      <c r="H31" s="112" t="inlineStr">
        <is>
          <t>Obligatorio SEPS (Régimen General)</t>
        </is>
      </c>
      <c r="I31" s="112" t="inlineStr">
        <is>
          <t>-</t>
        </is>
      </c>
      <c r="J31" s="112" t="inlineStr">
        <is>
          <t>1. Regulatorio SEPS 002-2022 + ISO 27001</t>
        </is>
      </c>
      <c r="K31" s="112" t="inlineStr">
        <is>
          <t>Aplica</t>
        </is>
      </c>
      <c r="L31" s="112" t="inlineStr">
        <is>
          <t>Requerido por ente regulador SEPS</t>
        </is>
      </c>
    </row>
    <row r="32" ht="48" customHeight="1" s="106">
      <c r="A32" s="38" t="inlineStr">
        <is>
          <t>5.31</t>
        </is>
      </c>
      <c r="B32" s="112" t="inlineStr">
        <is>
          <t>Requisitos legales, estatutarios, reglamentarios y contractuales</t>
        </is>
      </c>
      <c r="C32" s="112" t="inlineStr">
        <is>
          <t>#Preventivo</t>
        </is>
      </c>
      <c r="D32" s="112" t="inlineStr">
        <is>
          <t>#Confidencialidad, #Integridad, #Disponibilidad</t>
        </is>
      </c>
      <c r="E32" s="112" t="inlineStr">
        <is>
          <t>#Identificar</t>
        </is>
      </c>
      <c r="F32" s="38" t="inlineStr">
        <is>
          <t>#Gobernanza</t>
        </is>
      </c>
      <c r="G32" s="112" t="inlineStr">
        <is>
          <t>#Gobernanza_y_Ecosistema</t>
        </is>
      </c>
      <c r="H32" s="112" t="inlineStr">
        <is>
          <t>Obligatorio SEPS (Régimen General)</t>
        </is>
      </c>
      <c r="I32" s="112" t="inlineStr">
        <is>
          <t>-</t>
        </is>
      </c>
      <c r="J32" s="112" t="inlineStr">
        <is>
          <t>1. Regulatorio SEPS 002-2022 + ISO 27001</t>
        </is>
      </c>
      <c r="K32" s="112" t="inlineStr">
        <is>
          <t>Aplica</t>
        </is>
      </c>
      <c r="L32" s="112" t="inlineStr">
        <is>
          <t>Requerido por ente regulador SEPS</t>
        </is>
      </c>
    </row>
    <row r="33" ht="60" customHeight="1" s="106">
      <c r="A33" s="38" t="inlineStr">
        <is>
          <t>5.32</t>
        </is>
      </c>
      <c r="B33" s="112" t="inlineStr">
        <is>
          <t>Derechos de propiedad intelectual</t>
        </is>
      </c>
      <c r="C33" s="112" t="inlineStr">
        <is>
          <t>#Preventivo</t>
        </is>
      </c>
      <c r="D33" s="112" t="inlineStr">
        <is>
          <t>#Confidencialidad, #Integridad, #Disponibilidad</t>
        </is>
      </c>
      <c r="E33" s="112" t="inlineStr">
        <is>
          <t>#Proteger</t>
        </is>
      </c>
      <c r="F33" s="38" t="inlineStr">
        <is>
          <t>#Gobernanza</t>
        </is>
      </c>
      <c r="G33" s="112" t="inlineStr">
        <is>
          <t>#Gobernanza_y_Ecosistema</t>
        </is>
      </c>
      <c r="H33" s="112" t="inlineStr">
        <is>
          <t>Mejor Práctica (No obligatorio SEPS)</t>
        </is>
      </c>
      <c r="I33" s="112" t="inlineStr">
        <is>
          <t>-</t>
        </is>
      </c>
      <c r="J33" s="112" t="inlineStr">
        <is>
          <t>3. Tratamiento de Riesgos Específico (ISO 27002 / MAGERIT)</t>
        </is>
      </c>
      <c r="K33" s="112" t="inlineStr">
        <is>
          <t>No Aplica</t>
        </is>
      </c>
      <c r="L33" s="112" t="inlineStr">
        <is>
          <t>No aplicable a la arquitectura/infraestructura actual</t>
        </is>
      </c>
    </row>
    <row r="34" ht="36" customHeight="1" s="106">
      <c r="A34" s="38" t="inlineStr">
        <is>
          <t>5.33</t>
        </is>
      </c>
      <c r="B34" s="112" t="inlineStr">
        <is>
          <t>Protección de los registros</t>
        </is>
      </c>
      <c r="C34" s="112" t="inlineStr">
        <is>
          <t>#Preventivo</t>
        </is>
      </c>
      <c r="D34" s="112" t="inlineStr">
        <is>
          <t>#Confidencialidad, #Integridad, #Disponibilidad</t>
        </is>
      </c>
      <c r="E34" s="112" t="inlineStr">
        <is>
          <t>#Proteger</t>
        </is>
      </c>
      <c r="F34" s="38" t="inlineStr">
        <is>
          <t>#Protección_de_la_información</t>
        </is>
      </c>
      <c r="G34" s="112" t="inlineStr">
        <is>
          <t>#Gobernanza_y_Ecosistema</t>
        </is>
      </c>
      <c r="H34" s="112" t="inlineStr">
        <is>
          <t>Obligatorio SEPS (Régimen General)</t>
        </is>
      </c>
      <c r="I34" s="112" t="inlineStr">
        <is>
          <t>-</t>
        </is>
      </c>
      <c r="J34" s="112" t="inlineStr">
        <is>
          <t>1. Regulatorio SEPS 002-2022 + ISO 27001</t>
        </is>
      </c>
      <c r="K34" s="112" t="inlineStr">
        <is>
          <t>Aplica</t>
        </is>
      </c>
      <c r="L34" s="112" t="inlineStr">
        <is>
          <t>Requerido por ente regulador SEPS</t>
        </is>
      </c>
    </row>
    <row r="35" ht="60" customHeight="1" s="106">
      <c r="A35" s="38" t="inlineStr">
        <is>
          <t>5.34</t>
        </is>
      </c>
      <c r="B35" s="112" t="inlineStr">
        <is>
          <t>Privacidad y protección de la información de identificación personal (PII)</t>
        </is>
      </c>
      <c r="C35" s="112" t="inlineStr">
        <is>
          <t>#Preventivo</t>
        </is>
      </c>
      <c r="D35" s="112" t="inlineStr">
        <is>
          <t>#Confidencialidad, #Integridad</t>
        </is>
      </c>
      <c r="E35" s="112" t="inlineStr">
        <is>
          <t>#Proteger</t>
        </is>
      </c>
      <c r="F35" s="38" t="inlineStr">
        <is>
          <t>#Gobernanza</t>
        </is>
      </c>
      <c r="G35" s="112" t="inlineStr">
        <is>
          <t>#Gobernanza_y_Ecosistema</t>
        </is>
      </c>
      <c r="H35" s="112" t="inlineStr">
        <is>
          <t>Obligatorio SEPS (Régimen General)</t>
        </is>
      </c>
      <c r="I35" s="112" t="inlineStr">
        <is>
          <t>-</t>
        </is>
      </c>
      <c r="J35" s="112" t="inlineStr">
        <is>
          <t>1. Regulatorio SEPS 002-2022 + ISO 27001</t>
        </is>
      </c>
      <c r="K35" s="112" t="inlineStr">
        <is>
          <t>Aplica</t>
        </is>
      </c>
      <c r="L35" s="112" t="inlineStr">
        <is>
          <t>Requerido por ente regulador SEPS</t>
        </is>
      </c>
    </row>
    <row r="36" ht="48" customHeight="1" s="106">
      <c r="A36" s="38" t="inlineStr">
        <is>
          <t>5.35</t>
        </is>
      </c>
      <c r="B36" s="112" t="inlineStr">
        <is>
          <t>Revisión independiente de la seguridad de la información</t>
        </is>
      </c>
      <c r="C36" s="112" t="inlineStr">
        <is>
          <t>#Preventivo</t>
        </is>
      </c>
      <c r="D36" s="112" t="inlineStr">
        <is>
          <t>#Confidencialidad, #Integridad, #Disponibilidad</t>
        </is>
      </c>
      <c r="E36" s="112" t="inlineStr">
        <is>
          <t>#Identificar</t>
        </is>
      </c>
      <c r="F36" s="38" t="inlineStr">
        <is>
          <t>#Información_seguridad_garantía</t>
        </is>
      </c>
      <c r="G36" s="112" t="inlineStr">
        <is>
          <t>#Gobernanza_y_Ecosistema</t>
        </is>
      </c>
      <c r="H36" s="112" t="inlineStr">
        <is>
          <t>Obligatorio SEPS (Régimen General)</t>
        </is>
      </c>
      <c r="I36" s="112" t="inlineStr">
        <is>
          <t>-</t>
        </is>
      </c>
      <c r="J36" s="112" t="inlineStr">
        <is>
          <t>1. Regulatorio SEPS 002-2022 + ISO 27001</t>
        </is>
      </c>
      <c r="K36" s="112" t="inlineStr">
        <is>
          <t>Aplica</t>
        </is>
      </c>
      <c r="L36" s="112" t="inlineStr">
        <is>
          <t>Requerido por ente regulador SEPS</t>
        </is>
      </c>
    </row>
    <row r="37" ht="48" customHeight="1" s="106">
      <c r="A37" s="38" t="inlineStr">
        <is>
          <t>5.36</t>
        </is>
      </c>
      <c r="B37" s="112" t="inlineStr">
        <is>
          <t>Cumplimiento de las políticas, normas y estándares de seguridad</t>
        </is>
      </c>
      <c r="C37" s="112" t="inlineStr">
        <is>
          <t>#Preventivo</t>
        </is>
      </c>
      <c r="D37" s="112" t="inlineStr">
        <is>
          <t>#Confidencialidad, #Integridad, #Disponibilidad</t>
        </is>
      </c>
      <c r="E37" s="112" t="inlineStr">
        <is>
          <t>#Identificar</t>
        </is>
      </c>
      <c r="F37" s="38" t="inlineStr">
        <is>
          <t>#Gobernanza</t>
        </is>
      </c>
      <c r="G37" s="112" t="inlineStr">
        <is>
          <t>#Gobernanza_y_Ecosistema</t>
        </is>
      </c>
      <c r="H37" s="112" t="inlineStr">
        <is>
          <t>Obligatorio SEPS (Régimen General)</t>
        </is>
      </c>
      <c r="I37" s="112" t="inlineStr">
        <is>
          <t>-</t>
        </is>
      </c>
      <c r="J37" s="112" t="inlineStr">
        <is>
          <t>1. Regulatorio SEPS 002-2022 + ISO 27001</t>
        </is>
      </c>
      <c r="K37" s="112" t="inlineStr">
        <is>
          <t>Aplica</t>
        </is>
      </c>
      <c r="L37" s="112" t="inlineStr">
        <is>
          <t>Requerido por ente regulador SEPS</t>
        </is>
      </c>
    </row>
    <row r="38" ht="36" customHeight="1" s="106">
      <c r="A38" s="38" t="inlineStr">
        <is>
          <t>5.37</t>
        </is>
      </c>
      <c r="B38" s="112" t="inlineStr">
        <is>
          <t>Procedimientos operativos documentados</t>
        </is>
      </c>
      <c r="C38" s="112" t="inlineStr">
        <is>
          <t>#Preventivo</t>
        </is>
      </c>
      <c r="D38" s="112" t="inlineStr">
        <is>
          <t>#Confidencialidad, #Integridad, #Disponibilidad</t>
        </is>
      </c>
      <c r="E38" s="112" t="inlineStr">
        <is>
          <t>#Proteger</t>
        </is>
      </c>
      <c r="F38" s="38" t="inlineStr">
        <is>
          <t>#Gobernanza</t>
        </is>
      </c>
      <c r="G38" s="112" t="inlineStr">
        <is>
          <t>#Gobernanza_y_Ecosistema</t>
        </is>
      </c>
      <c r="H38" s="112" t="inlineStr">
        <is>
          <t>Obligatorio SEPS (Régimen General)</t>
        </is>
      </c>
      <c r="I38" s="112" t="inlineStr">
        <is>
          <t>-</t>
        </is>
      </c>
      <c r="J38" s="112" t="inlineStr">
        <is>
          <t>1. Regulatorio SEPS 002-2022 + ISO 27001</t>
        </is>
      </c>
      <c r="K38" s="112" t="inlineStr">
        <is>
          <t>Aplica</t>
        </is>
      </c>
      <c r="L38" s="112" t="inlineStr">
        <is>
          <t>Requerido por ente regulador SEPS</t>
        </is>
      </c>
    </row>
    <row r="39" ht="36" customHeight="1" s="106">
      <c r="A39" s="38" t="inlineStr">
        <is>
          <t>6.1</t>
        </is>
      </c>
      <c r="B39" s="112" t="inlineStr">
        <is>
          <t>Investigación de antecedentes</t>
        </is>
      </c>
      <c r="C39" s="112" t="inlineStr">
        <is>
          <t>#Preventivo</t>
        </is>
      </c>
      <c r="D39" s="112" t="inlineStr">
        <is>
          <t>#Confidencialidad, #Integridad, #Disponibilidad</t>
        </is>
      </c>
      <c r="E39" s="112" t="inlineStr">
        <is>
          <t>#Proteger</t>
        </is>
      </c>
      <c r="F39" s="38" t="inlineStr">
        <is>
          <t>#Seguridad_de_recursos_humanos</t>
        </is>
      </c>
      <c r="G39" s="112" t="inlineStr">
        <is>
          <t>#Proteccion</t>
        </is>
      </c>
      <c r="H39" s="112" t="inlineStr">
        <is>
          <t>Obligatorio SEPS (Régimen General)</t>
        </is>
      </c>
      <c r="I39" s="112" t="inlineStr">
        <is>
          <t>-</t>
        </is>
      </c>
      <c r="J39" s="112" t="inlineStr">
        <is>
          <t>1. Regulatorio SEPS 002-2022 + ISO 27001</t>
        </is>
      </c>
      <c r="K39" s="112" t="inlineStr">
        <is>
          <t>Aplica</t>
        </is>
      </c>
      <c r="L39" s="112" t="inlineStr">
        <is>
          <t>Requerido por ente regulador SEPS</t>
        </is>
      </c>
    </row>
    <row r="40" ht="36" customHeight="1" s="106">
      <c r="A40" s="38" t="inlineStr">
        <is>
          <t>6.2</t>
        </is>
      </c>
      <c r="B40" s="112" t="inlineStr">
        <is>
          <t>Términos y condiciones de empleo</t>
        </is>
      </c>
      <c r="C40" s="112" t="inlineStr">
        <is>
          <t>#Preventivo</t>
        </is>
      </c>
      <c r="D40" s="112" t="inlineStr">
        <is>
          <t>#Confidencialidad, #Integridad, #Disponibilidad</t>
        </is>
      </c>
      <c r="E40" s="112" t="inlineStr">
        <is>
          <t>#Proteger</t>
        </is>
      </c>
      <c r="F40" s="38" t="inlineStr">
        <is>
          <t>#Seguridad_de_recursos_humanos</t>
        </is>
      </c>
      <c r="G40" s="112" t="inlineStr">
        <is>
          <t>#Proteccion</t>
        </is>
      </c>
      <c r="H40" s="112" t="inlineStr">
        <is>
          <t>Obligatorio SEPS (Régimen General)</t>
        </is>
      </c>
      <c r="I40" s="112" t="inlineStr">
        <is>
          <t>-</t>
        </is>
      </c>
      <c r="J40" s="112" t="inlineStr">
        <is>
          <t>1. Regulatorio SEPS 002-2022 + ISO 27001</t>
        </is>
      </c>
      <c r="K40" s="112" t="inlineStr">
        <is>
          <t>Aplica</t>
        </is>
      </c>
      <c r="L40" s="112" t="inlineStr">
        <is>
          <t>Requerido por ente regulador SEPS</t>
        </is>
      </c>
    </row>
    <row r="41" ht="36" customHeight="1" s="106">
      <c r="A41" s="38" t="inlineStr">
        <is>
          <t>6.3</t>
        </is>
      </c>
      <c r="B41" s="112" t="inlineStr">
        <is>
          <t>Concienciación, educación y capacitación</t>
        </is>
      </c>
      <c r="C41" s="112" t="inlineStr">
        <is>
          <t>#Preventivo</t>
        </is>
      </c>
      <c r="D41" s="112" t="inlineStr">
        <is>
          <t>#Confidencialidad, #Integridad, #Disponibilidad</t>
        </is>
      </c>
      <c r="E41" s="112" t="inlineStr">
        <is>
          <t>#Proteger</t>
        </is>
      </c>
      <c r="F41" s="38" t="inlineStr">
        <is>
          <t>#Seguridad_de_recursos_humanos</t>
        </is>
      </c>
      <c r="G41" s="112" t="inlineStr">
        <is>
          <t>#Proteccion</t>
        </is>
      </c>
      <c r="H41" s="112" t="inlineStr">
        <is>
          <t>Obligatorio SEPS (Régimen General)</t>
        </is>
      </c>
      <c r="I41" s="112" t="inlineStr">
        <is>
          <t>C5: Programas de concienciación y capacitación</t>
        </is>
      </c>
      <c r="J41" s="112" t="inlineStr">
        <is>
          <t>2. Metodología Interna GSO-GSI + ISO 27001</t>
        </is>
      </c>
      <c r="K41" s="112" t="inlineStr">
        <is>
          <t>Aplica</t>
        </is>
      </c>
      <c r="L41" s="112" t="inlineStr">
        <is>
          <t>Requisito interno GSO-GSI</t>
        </is>
      </c>
    </row>
    <row r="42" ht="36" customHeight="1" s="106">
      <c r="A42" s="38" t="inlineStr">
        <is>
          <t>6.4</t>
        </is>
      </c>
      <c r="B42" s="112" t="inlineStr">
        <is>
          <t>Proceso disciplinario</t>
        </is>
      </c>
      <c r="C42" s="112" t="inlineStr">
        <is>
          <t>#Correctivo, #Preventivo</t>
        </is>
      </c>
      <c r="D42" s="112" t="inlineStr">
        <is>
          <t>#Confidencialidad, #Integridad, #Disponibilidad</t>
        </is>
      </c>
      <c r="E42" s="112" t="inlineStr">
        <is>
          <t>#Responder</t>
        </is>
      </c>
      <c r="F42" s="38" t="inlineStr">
        <is>
          <t>#Seguridad_de_recursos_humanos</t>
        </is>
      </c>
      <c r="G42" s="112" t="inlineStr">
        <is>
          <t>#Defensa</t>
        </is>
      </c>
      <c r="H42" s="112" t="inlineStr">
        <is>
          <t>Obligatorio SEPS (Régimen General)</t>
        </is>
      </c>
      <c r="I42" s="112" t="inlineStr">
        <is>
          <t>-</t>
        </is>
      </c>
      <c r="J42" s="112" t="inlineStr">
        <is>
          <t>1. Regulatorio SEPS 002-2022 + ISO 27001</t>
        </is>
      </c>
      <c r="K42" s="112" t="inlineStr">
        <is>
          <t>Aplica</t>
        </is>
      </c>
      <c r="L42" s="112" t="inlineStr">
        <is>
          <t>Requerido por ente regulador SEPS</t>
        </is>
      </c>
    </row>
    <row r="43" ht="48" customHeight="1" s="106">
      <c r="A43" s="38" t="inlineStr">
        <is>
          <t>6.5</t>
        </is>
      </c>
      <c r="B43" s="112" t="inlineStr">
        <is>
          <t>Responsabilidades después de la terminación o cambio de empleo</t>
        </is>
      </c>
      <c r="C43" s="112" t="inlineStr">
        <is>
          <t>#Preventivo</t>
        </is>
      </c>
      <c r="D43" s="112" t="inlineStr">
        <is>
          <t>#Confidencialidad, #Integridad, #Disponibilidad</t>
        </is>
      </c>
      <c r="E43" s="112" t="inlineStr">
        <is>
          <t>#Proteger</t>
        </is>
      </c>
      <c r="F43" s="38" t="inlineStr">
        <is>
          <t>#Seguridad_de_recursos_humanos</t>
        </is>
      </c>
      <c r="G43" s="112" t="inlineStr">
        <is>
          <t>#Proteccion</t>
        </is>
      </c>
      <c r="H43" s="112" t="inlineStr">
        <is>
          <t>Obligatorio SEPS (Régimen General)</t>
        </is>
      </c>
      <c r="I43" s="112" t="inlineStr">
        <is>
          <t>-</t>
        </is>
      </c>
      <c r="J43" s="112" t="inlineStr">
        <is>
          <t>1. Regulatorio SEPS 002-2022 + ISO 27001</t>
        </is>
      </c>
      <c r="K43" s="112" t="inlineStr">
        <is>
          <t>Aplica</t>
        </is>
      </c>
      <c r="L43" s="112" t="inlineStr">
        <is>
          <t>Requerido por ente regulador SEPS</t>
        </is>
      </c>
    </row>
    <row r="44" ht="36" customHeight="1" s="106">
      <c r="A44" s="38" t="inlineStr">
        <is>
          <t>6.6</t>
        </is>
      </c>
      <c r="B44" s="112" t="inlineStr">
        <is>
          <t>Acuerdos de confidencialidad o no divulgación</t>
        </is>
      </c>
      <c r="C44" s="112" t="inlineStr">
        <is>
          <t>#Preventivo</t>
        </is>
      </c>
      <c r="D44" s="112" t="inlineStr">
        <is>
          <t>#Confidencialidad, #Integridad, #Disponibilidad</t>
        </is>
      </c>
      <c r="E44" s="112" t="inlineStr">
        <is>
          <t>#Proteger</t>
        </is>
      </c>
      <c r="F44" s="38" t="inlineStr">
        <is>
          <t>#Seguridad_de_recursos_humanos</t>
        </is>
      </c>
      <c r="G44" s="112" t="inlineStr">
        <is>
          <t>#Proteccion</t>
        </is>
      </c>
      <c r="H44" s="112" t="inlineStr">
        <is>
          <t>Obligatorio SEPS (Régimen General)</t>
        </is>
      </c>
      <c r="I44" s="112" t="inlineStr">
        <is>
          <t>C3: Acuerdos de confidencialidad</t>
        </is>
      </c>
      <c r="J44" s="112" t="inlineStr">
        <is>
          <t>2. Metodología Interna GSO-GSI + ISO 27001</t>
        </is>
      </c>
      <c r="K44" s="112" t="inlineStr">
        <is>
          <t>Aplica</t>
        </is>
      </c>
      <c r="L44" s="112" t="inlineStr">
        <is>
          <t>Requisito interno GSO-GSI</t>
        </is>
      </c>
    </row>
    <row r="45" ht="48" customHeight="1" s="106">
      <c r="A45" s="38" t="inlineStr">
        <is>
          <t>6.7</t>
        </is>
      </c>
      <c r="B45" s="112" t="inlineStr">
        <is>
          <t>Trabajo a distancia</t>
        </is>
      </c>
      <c r="C45" s="112" t="inlineStr">
        <is>
          <t>#Preventivo</t>
        </is>
      </c>
      <c r="D45" s="112" t="inlineStr">
        <is>
          <t>#Confidencialidad, #Integridad, #Disponibilidad</t>
        </is>
      </c>
      <c r="E45" s="112" t="inlineStr">
        <is>
          <t>#Proteger</t>
        </is>
      </c>
      <c r="F45" s="38" t="inlineStr">
        <is>
          <t>#Seguridad_de_recursos_humanos</t>
        </is>
      </c>
      <c r="G45" s="112" t="inlineStr">
        <is>
          <t>#Proteccion</t>
        </is>
      </c>
      <c r="H45" s="112" t="inlineStr">
        <is>
          <t>Obligatorio SEPS (Régimen General)</t>
        </is>
      </c>
      <c r="I45" s="112" t="inlineStr">
        <is>
          <t>-</t>
        </is>
      </c>
      <c r="J45" s="112" t="inlineStr">
        <is>
          <t>4. No Aplica</t>
        </is>
      </c>
      <c r="K45" s="112" t="inlineStr">
        <is>
          <t>No Aplica</t>
        </is>
      </c>
      <c r="L45" s="112" t="inlineStr">
        <is>
          <t>Control 6.7 no es pertinente a los procesos actuales de la entidad</t>
        </is>
      </c>
    </row>
    <row r="46" ht="36" customHeight="1" s="106">
      <c r="A46" s="38" t="inlineStr">
        <is>
          <t>6.8</t>
        </is>
      </c>
      <c r="B46" s="112" t="inlineStr">
        <is>
          <t>Notificación de eventos de seguridad de la información</t>
        </is>
      </c>
      <c r="C46" s="112" t="inlineStr">
        <is>
          <t>#Preventivo, #Detectivo</t>
        </is>
      </c>
      <c r="D46" s="112" t="inlineStr">
        <is>
          <t>#Confidencialidad, #Integridad, #Disponibilidad</t>
        </is>
      </c>
      <c r="E46" s="112" t="inlineStr">
        <is>
          <t>#Detectar</t>
        </is>
      </c>
      <c r="F46" s="38" t="inlineStr">
        <is>
          <t>#Seguridad_de_recursos_humanos</t>
        </is>
      </c>
      <c r="G46" s="112" t="inlineStr">
        <is>
          <t>#Defensa</t>
        </is>
      </c>
      <c r="H46" s="112" t="inlineStr">
        <is>
          <t>Obligatorio SEPS (Régimen General)</t>
        </is>
      </c>
      <c r="I46" s="112" t="inlineStr">
        <is>
          <t>-</t>
        </is>
      </c>
      <c r="J46" s="112" t="inlineStr">
        <is>
          <t>1. Regulatorio SEPS 002-2022 + ISO 27001</t>
        </is>
      </c>
      <c r="K46" s="112" t="inlineStr">
        <is>
          <t>Aplica</t>
        </is>
      </c>
      <c r="L46" s="112" t="inlineStr">
        <is>
          <t>Requerido por ente regulador SEPS</t>
        </is>
      </c>
    </row>
    <row r="47" ht="36" customHeight="1" s="106">
      <c r="A47" s="38" t="inlineStr">
        <is>
          <t>7.1</t>
        </is>
      </c>
      <c r="B47" s="112" t="inlineStr">
        <is>
          <t>Perímetros de seguridad física</t>
        </is>
      </c>
      <c r="C47" s="112" t="inlineStr">
        <is>
          <t>#Preventivo</t>
        </is>
      </c>
      <c r="D47" s="112" t="inlineStr">
        <is>
          <t>#Confidencialidad, #Integridad, #Disponibilidad</t>
        </is>
      </c>
      <c r="E47" s="112" t="inlineStr">
        <is>
          <t>#Proteger</t>
        </is>
      </c>
      <c r="F47" s="38" t="inlineStr">
        <is>
          <t>#Seguridad_física</t>
        </is>
      </c>
      <c r="G47" s="112" t="inlineStr">
        <is>
          <t>#Proteccion</t>
        </is>
      </c>
      <c r="H47" s="112" t="inlineStr">
        <is>
          <t>Obligatorio SEPS (Régimen General)</t>
        </is>
      </c>
      <c r="I47" s="112" t="inlineStr">
        <is>
          <t>-</t>
        </is>
      </c>
      <c r="J47" s="112" t="inlineStr">
        <is>
          <t>1. Regulatorio SEPS 002-2022 + ISO 27001</t>
        </is>
      </c>
      <c r="K47" s="112" t="inlineStr">
        <is>
          <t>Aplica</t>
        </is>
      </c>
      <c r="L47" s="112" t="inlineStr">
        <is>
          <t>Requerido por ente regulador SEPS</t>
        </is>
      </c>
    </row>
    <row r="48" ht="36" customHeight="1" s="106">
      <c r="A48" s="38" t="inlineStr">
        <is>
          <t>7.2</t>
        </is>
      </c>
      <c r="B48" s="112" t="inlineStr">
        <is>
          <t>Controles de entrada física</t>
        </is>
      </c>
      <c r="C48" s="112" t="inlineStr">
        <is>
          <t>#Preventivo</t>
        </is>
      </c>
      <c r="D48" s="112" t="inlineStr">
        <is>
          <t>#Confidencialidad, #Integridad, #Disponibilidad</t>
        </is>
      </c>
      <c r="E48" s="112" t="inlineStr">
        <is>
          <t>#Proteger</t>
        </is>
      </c>
      <c r="F48" s="38" t="inlineStr">
        <is>
          <t>#Seguridad_física</t>
        </is>
      </c>
      <c r="G48" s="112" t="inlineStr">
        <is>
          <t>#Proteccion</t>
        </is>
      </c>
      <c r="H48" s="112" t="inlineStr">
        <is>
          <t>Obligatorio SEPS (Régimen General)</t>
        </is>
      </c>
      <c r="I48" s="112" t="inlineStr">
        <is>
          <t>-</t>
        </is>
      </c>
      <c r="J48" s="112" t="inlineStr">
        <is>
          <t>1. Regulatorio SEPS 002-2022 + ISO 27001</t>
        </is>
      </c>
      <c r="K48" s="112" t="inlineStr">
        <is>
          <t>Aplica</t>
        </is>
      </c>
      <c r="L48" s="112" t="inlineStr">
        <is>
          <t>Requerido por ente regulador SEPS</t>
        </is>
      </c>
    </row>
    <row r="49" ht="36" customHeight="1" s="106">
      <c r="A49" s="38" t="inlineStr">
        <is>
          <t>7.3</t>
        </is>
      </c>
      <c r="B49" s="112" t="inlineStr">
        <is>
          <t>Seguridad de oficinas, despachos e instalaciones</t>
        </is>
      </c>
      <c r="C49" s="112" t="inlineStr">
        <is>
          <t>#Preventivo</t>
        </is>
      </c>
      <c r="D49" s="112" t="inlineStr">
        <is>
          <t>#Confidencialidad, #Integridad, #Disponibilidad</t>
        </is>
      </c>
      <c r="E49" s="112" t="inlineStr">
        <is>
          <t>#Proteger</t>
        </is>
      </c>
      <c r="F49" s="38" t="inlineStr">
        <is>
          <t>#Seguridad_física</t>
        </is>
      </c>
      <c r="G49" s="112" t="inlineStr">
        <is>
          <t>#Proteccion</t>
        </is>
      </c>
      <c r="H49" s="112" t="inlineStr">
        <is>
          <t>Obligatorio SEPS (Régimen General)</t>
        </is>
      </c>
      <c r="I49" s="112" t="inlineStr">
        <is>
          <t>-</t>
        </is>
      </c>
      <c r="J49" s="112" t="inlineStr">
        <is>
          <t>1. Regulatorio SEPS 002-2022 + ISO 27001</t>
        </is>
      </c>
      <c r="K49" s="112" t="inlineStr">
        <is>
          <t>Aplica</t>
        </is>
      </c>
      <c r="L49" s="112" t="inlineStr">
        <is>
          <t>Requerido por ente regulador SEPS</t>
        </is>
      </c>
    </row>
    <row r="50" ht="36" customHeight="1" s="106">
      <c r="A50" s="38" t="inlineStr">
        <is>
          <t>7.4</t>
        </is>
      </c>
      <c r="B50" s="112" t="inlineStr">
        <is>
          <t>Supervisión de la seguridad física</t>
        </is>
      </c>
      <c r="C50" s="112" t="inlineStr">
        <is>
          <t>#Detectivo</t>
        </is>
      </c>
      <c r="D50" s="112" t="inlineStr">
        <is>
          <t>#Confidencialidad, #Integridad, #Disponibilidad</t>
        </is>
      </c>
      <c r="E50" s="112" t="inlineStr">
        <is>
          <t>#Detectar</t>
        </is>
      </c>
      <c r="F50" s="38" t="inlineStr">
        <is>
          <t>#Seguridad_física</t>
        </is>
      </c>
      <c r="G50" s="112" t="inlineStr">
        <is>
          <t>#Proteccion</t>
        </is>
      </c>
      <c r="H50" s="112" t="inlineStr">
        <is>
          <t>Obligatorio SEPS (Régimen General)</t>
        </is>
      </c>
      <c r="I50" s="112" t="inlineStr">
        <is>
          <t>-</t>
        </is>
      </c>
      <c r="J50" s="112" t="inlineStr">
        <is>
          <t>1. Regulatorio SEPS 002-2022 + ISO 27001</t>
        </is>
      </c>
      <c r="K50" s="112" t="inlineStr">
        <is>
          <t>Aplica</t>
        </is>
      </c>
      <c r="L50" s="112" t="inlineStr">
        <is>
          <t>Requerido por ente regulador SEPS</t>
        </is>
      </c>
    </row>
    <row r="51" ht="36" customHeight="1" s="106">
      <c r="A51" s="38" t="inlineStr">
        <is>
          <t>7.5</t>
        </is>
      </c>
      <c r="B51" s="112" t="inlineStr">
        <is>
          <t>Protección contra amenazas físicas y ambientales</t>
        </is>
      </c>
      <c r="C51" s="112" t="inlineStr">
        <is>
          <t>#Preventivo</t>
        </is>
      </c>
      <c r="D51" s="112" t="inlineStr">
        <is>
          <t>#Confidencialidad, #Integridad, #Disponibilidad</t>
        </is>
      </c>
      <c r="E51" s="112" t="inlineStr">
        <is>
          <t>#Proteger</t>
        </is>
      </c>
      <c r="F51" s="38" t="inlineStr">
        <is>
          <t>#Seguridad_física</t>
        </is>
      </c>
      <c r="G51" s="112" t="inlineStr">
        <is>
          <t>#Resiliencia</t>
        </is>
      </c>
      <c r="H51" s="112" t="inlineStr">
        <is>
          <t>Obligatorio SEPS (Régimen General)</t>
        </is>
      </c>
      <c r="I51" s="112" t="inlineStr">
        <is>
          <t>-</t>
        </is>
      </c>
      <c r="J51" s="112" t="inlineStr">
        <is>
          <t>1. Regulatorio SEPS 002-2022 + ISO 27001</t>
        </is>
      </c>
      <c r="K51" s="112" t="inlineStr">
        <is>
          <t>Aplica</t>
        </is>
      </c>
      <c r="L51" s="112" t="inlineStr">
        <is>
          <t>Requerido por ente regulador SEPS</t>
        </is>
      </c>
    </row>
    <row r="52" ht="36" customHeight="1" s="106">
      <c r="A52" s="38" t="inlineStr">
        <is>
          <t>7.6</t>
        </is>
      </c>
      <c r="B52" s="112" t="inlineStr">
        <is>
          <t>Trabajo en áreas seguras</t>
        </is>
      </c>
      <c r="C52" s="112" t="inlineStr">
        <is>
          <t>#Preventivo</t>
        </is>
      </c>
      <c r="D52" s="112" t="inlineStr">
        <is>
          <t>#Confidencialidad, #Integridad, #Disponibilidad</t>
        </is>
      </c>
      <c r="E52" s="112" t="inlineStr">
        <is>
          <t>#Proteger</t>
        </is>
      </c>
      <c r="F52" s="38" t="inlineStr">
        <is>
          <t>#Seguridad_física</t>
        </is>
      </c>
      <c r="G52" s="112" t="inlineStr">
        <is>
          <t>#Proteccion</t>
        </is>
      </c>
      <c r="H52" s="112" t="inlineStr">
        <is>
          <t>Obligatorio SEPS (Régimen General)</t>
        </is>
      </c>
      <c r="I52" s="112" t="inlineStr">
        <is>
          <t>-</t>
        </is>
      </c>
      <c r="J52" s="112" t="inlineStr">
        <is>
          <t>1. Regulatorio SEPS 002-2022 + ISO 27001</t>
        </is>
      </c>
      <c r="K52" s="112" t="inlineStr">
        <is>
          <t>Aplica</t>
        </is>
      </c>
      <c r="L52" s="112" t="inlineStr">
        <is>
          <t>Requerido por ente regulador SEPS</t>
        </is>
      </c>
    </row>
    <row r="53" ht="36" customHeight="1" s="106">
      <c r="A53" s="38" t="inlineStr">
        <is>
          <t>7.7</t>
        </is>
      </c>
      <c r="B53" s="112" t="inlineStr">
        <is>
          <t>Política de escritorio despejado y pantalla despejada</t>
        </is>
      </c>
      <c r="C53" s="112" t="inlineStr">
        <is>
          <t>#Preventivo</t>
        </is>
      </c>
      <c r="D53" s="112" t="inlineStr">
        <is>
          <t>#Confidencialidad, #Integridad, #Disponibilidad</t>
        </is>
      </c>
      <c r="E53" s="112" t="inlineStr">
        <is>
          <t>#Proteger</t>
        </is>
      </c>
      <c r="F53" s="38" t="inlineStr">
        <is>
          <t>#Seguridad_física</t>
        </is>
      </c>
      <c r="G53" s="112" t="inlineStr">
        <is>
          <t>#Proteccion</t>
        </is>
      </c>
      <c r="H53" s="112" t="inlineStr">
        <is>
          <t>Obligatorio SEPS (Régimen General)</t>
        </is>
      </c>
      <c r="I53" s="112" t="inlineStr">
        <is>
          <t>-</t>
        </is>
      </c>
      <c r="J53" s="112" t="inlineStr">
        <is>
          <t>1. Regulatorio SEPS 002-2022 + ISO 27001</t>
        </is>
      </c>
      <c r="K53" s="112" t="inlineStr">
        <is>
          <t>Aplica</t>
        </is>
      </c>
      <c r="L53" s="112" t="inlineStr">
        <is>
          <t>Requerido por ente regulador SEPS</t>
        </is>
      </c>
    </row>
    <row r="54" ht="36" customHeight="1" s="106">
      <c r="A54" s="38" t="inlineStr">
        <is>
          <t>7.8</t>
        </is>
      </c>
      <c r="B54" s="112" t="inlineStr">
        <is>
          <t>Emplazamiento y protección de equipos</t>
        </is>
      </c>
      <c r="C54" s="112" t="inlineStr">
        <is>
          <t>#Preventivo</t>
        </is>
      </c>
      <c r="D54" s="112" t="inlineStr">
        <is>
          <t>#Confidencialidad, #Integridad, #Disponibilidad</t>
        </is>
      </c>
      <c r="E54" s="112" t="inlineStr">
        <is>
          <t>#Proteger</t>
        </is>
      </c>
      <c r="F54" s="38" t="inlineStr">
        <is>
          <t>#Seguridad_física</t>
        </is>
      </c>
      <c r="G54" s="112" t="inlineStr">
        <is>
          <t>#Proteccion</t>
        </is>
      </c>
      <c r="H54" s="112" t="inlineStr">
        <is>
          <t>Obligatorio SEPS (Régimen General)</t>
        </is>
      </c>
      <c r="I54" s="112" t="inlineStr">
        <is>
          <t>-</t>
        </is>
      </c>
      <c r="J54" s="112" t="inlineStr">
        <is>
          <t>1. Regulatorio SEPS 002-2022 + ISO 27001</t>
        </is>
      </c>
      <c r="K54" s="112" t="inlineStr">
        <is>
          <t>Aplica</t>
        </is>
      </c>
      <c r="L54" s="112" t="inlineStr">
        <is>
          <t>Requerido por ente regulador SEPS</t>
        </is>
      </c>
    </row>
    <row r="55" ht="36" customHeight="1" s="106">
      <c r="A55" s="38" t="inlineStr">
        <is>
          <t>7.9</t>
        </is>
      </c>
      <c r="B55" s="112" t="inlineStr">
        <is>
          <t>Seguridad de los activos fuera de las instalaciones</t>
        </is>
      </c>
      <c r="C55" s="112" t="inlineStr">
        <is>
          <t>#Preventivo</t>
        </is>
      </c>
      <c r="D55" s="112" t="inlineStr">
        <is>
          <t>#Confidencialidad, #Integridad, #Disponibilidad</t>
        </is>
      </c>
      <c r="E55" s="112" t="inlineStr">
        <is>
          <t>#Proteger</t>
        </is>
      </c>
      <c r="F55" s="38" t="inlineStr">
        <is>
          <t>#Gestión_de_activos</t>
        </is>
      </c>
      <c r="G55" s="112" t="inlineStr">
        <is>
          <t>#Proteccion</t>
        </is>
      </c>
      <c r="H55" s="112" t="inlineStr">
        <is>
          <t>Obligatorio SEPS (Régimen General)</t>
        </is>
      </c>
      <c r="I55" s="112" t="inlineStr">
        <is>
          <t>-</t>
        </is>
      </c>
      <c r="J55" s="112" t="inlineStr">
        <is>
          <t>1. Regulatorio SEPS 002-2022 + ISO 27001</t>
        </is>
      </c>
      <c r="K55" s="112" t="inlineStr">
        <is>
          <t>Aplica</t>
        </is>
      </c>
      <c r="L55" s="112" t="inlineStr">
        <is>
          <t>Requerido por ente regulador SEPS</t>
        </is>
      </c>
    </row>
    <row r="56" ht="36" customHeight="1" s="106">
      <c r="A56" s="38" t="inlineStr">
        <is>
          <t>7.10</t>
        </is>
      </c>
      <c r="B56" s="112" t="inlineStr">
        <is>
          <t>Soportes de almacenamiento</t>
        </is>
      </c>
      <c r="C56" s="112" t="inlineStr">
        <is>
          <t>#Preventivo</t>
        </is>
      </c>
      <c r="D56" s="112" t="inlineStr">
        <is>
          <t>#Confidencialidad, #Integridad, #Disponibilidad</t>
        </is>
      </c>
      <c r="E56" s="112" t="inlineStr">
        <is>
          <t>#Proteger</t>
        </is>
      </c>
      <c r="F56" s="38" t="inlineStr">
        <is>
          <t>#Gestión_de_activos</t>
        </is>
      </c>
      <c r="G56" s="112" t="inlineStr">
        <is>
          <t>#Proteccion</t>
        </is>
      </c>
      <c r="H56" s="112" t="inlineStr">
        <is>
          <t>Obligatorio SEPS (Régimen General)</t>
        </is>
      </c>
      <c r="I56" s="112" t="inlineStr">
        <is>
          <t>-</t>
        </is>
      </c>
      <c r="J56" s="112" t="inlineStr">
        <is>
          <t>1. Regulatorio SEPS 002-2022 + ISO 27001</t>
        </is>
      </c>
      <c r="K56" s="112" t="inlineStr">
        <is>
          <t>Aplica</t>
        </is>
      </c>
      <c r="L56" s="112" t="inlineStr">
        <is>
          <t>Requerido por ente regulador SEPS</t>
        </is>
      </c>
    </row>
    <row r="57" ht="36" customHeight="1" s="106">
      <c r="A57" s="38" t="inlineStr">
        <is>
          <t>7.11</t>
        </is>
      </c>
      <c r="B57" s="112" t="inlineStr">
        <is>
          <t>Servicios públicos</t>
        </is>
      </c>
      <c r="C57" s="112" t="inlineStr">
        <is>
          <t>#Preventivo</t>
        </is>
      </c>
      <c r="D57" s="112" t="inlineStr">
        <is>
          <t>#Confidencialidad, #Integridad, #Disponibilidad</t>
        </is>
      </c>
      <c r="E57" s="112" t="inlineStr">
        <is>
          <t>#Proteger</t>
        </is>
      </c>
      <c r="F57" s="38" t="inlineStr">
        <is>
          <t>#Seguridad_física</t>
        </is>
      </c>
      <c r="G57" s="112" t="inlineStr">
        <is>
          <t>#Resiliencia</t>
        </is>
      </c>
      <c r="H57" s="112" t="inlineStr">
        <is>
          <t>Obligatorio SEPS (Régimen General)</t>
        </is>
      </c>
      <c r="I57" s="112" t="inlineStr">
        <is>
          <t>-</t>
        </is>
      </c>
      <c r="J57" s="112" t="inlineStr">
        <is>
          <t>1. Regulatorio SEPS 002-2022 + ISO 27001</t>
        </is>
      </c>
      <c r="K57" s="112" t="inlineStr">
        <is>
          <t>Aplica</t>
        </is>
      </c>
      <c r="L57" s="112" t="inlineStr">
        <is>
          <t>Requerido por ente regulador SEPS</t>
        </is>
      </c>
    </row>
    <row r="58" ht="36" customHeight="1" s="106">
      <c r="A58" s="38" t="inlineStr">
        <is>
          <t>7.12</t>
        </is>
      </c>
      <c r="B58" s="112" t="inlineStr">
        <is>
          <t>Seguridad del cableado</t>
        </is>
      </c>
      <c r="C58" s="112" t="inlineStr">
        <is>
          <t>#Preventivo</t>
        </is>
      </c>
      <c r="D58" s="112" t="inlineStr">
        <is>
          <t>#Confidencialidad, #Integridad, #Disponibilidad</t>
        </is>
      </c>
      <c r="E58" s="112" t="inlineStr">
        <is>
          <t>#Proteger</t>
        </is>
      </c>
      <c r="F58" s="38" t="inlineStr">
        <is>
          <t>#Seguridad_física</t>
        </is>
      </c>
      <c r="G58" s="112" t="inlineStr">
        <is>
          <t>#Proteccion</t>
        </is>
      </c>
      <c r="H58" s="112" t="inlineStr">
        <is>
          <t>Obligatorio SEPS (Régimen General)</t>
        </is>
      </c>
      <c r="I58" s="112" t="inlineStr">
        <is>
          <t>-</t>
        </is>
      </c>
      <c r="J58" s="112" t="inlineStr">
        <is>
          <t>1. Regulatorio SEPS 002-2022 + ISO 27001</t>
        </is>
      </c>
      <c r="K58" s="112" t="inlineStr">
        <is>
          <t>Aplica</t>
        </is>
      </c>
      <c r="L58" s="112" t="inlineStr">
        <is>
          <t>Requerido por ente regulador SEPS</t>
        </is>
      </c>
    </row>
    <row r="59" ht="36" customHeight="1" s="106">
      <c r="A59" s="38" t="inlineStr">
        <is>
          <t>7.13</t>
        </is>
      </c>
      <c r="B59" s="112" t="inlineStr">
        <is>
          <t>Mantenimiento de equipos</t>
        </is>
      </c>
      <c r="C59" s="112" t="inlineStr">
        <is>
          <t>#Preventivo</t>
        </is>
      </c>
      <c r="D59" s="112" t="inlineStr">
        <is>
          <t>#Confidencialidad, #Integridad, #Disponibilidad</t>
        </is>
      </c>
      <c r="E59" s="112" t="inlineStr">
        <is>
          <t>#Proteger</t>
        </is>
      </c>
      <c r="F59" s="38" t="inlineStr">
        <is>
          <t>#Seguridad_física</t>
        </is>
      </c>
      <c r="G59" s="112" t="inlineStr">
        <is>
          <t>#Proteccion</t>
        </is>
      </c>
      <c r="H59" s="112" t="inlineStr">
        <is>
          <t>Obligatorio SEPS (Régimen General)</t>
        </is>
      </c>
      <c r="I59" s="112" t="inlineStr">
        <is>
          <t>C11: Mantenimiento periódico de activos físicos</t>
        </is>
      </c>
      <c r="J59" s="112" t="inlineStr">
        <is>
          <t>2. Metodología Interna GSO-GSI + ISO 27001</t>
        </is>
      </c>
      <c r="K59" s="112" t="inlineStr">
        <is>
          <t>Aplica</t>
        </is>
      </c>
      <c r="L59" s="112" t="inlineStr">
        <is>
          <t>Requisito interno GSO-GSI</t>
        </is>
      </c>
    </row>
    <row r="60" ht="36" customHeight="1" s="106">
      <c r="A60" s="38" t="inlineStr">
        <is>
          <t>7.14</t>
        </is>
      </c>
      <c r="B60" s="112" t="inlineStr">
        <is>
          <t>Eliminación segura o reutilización de equipos</t>
        </is>
      </c>
      <c r="C60" s="112" t="inlineStr">
        <is>
          <t>#Preventivo</t>
        </is>
      </c>
      <c r="D60" s="112" t="inlineStr">
        <is>
          <t>#Confidencialidad, #Integridad, #Disponibilidad</t>
        </is>
      </c>
      <c r="E60" s="112" t="inlineStr">
        <is>
          <t>#Proteger</t>
        </is>
      </c>
      <c r="F60" s="38" t="inlineStr">
        <is>
          <t>#Seguridad_física</t>
        </is>
      </c>
      <c r="G60" s="112" t="inlineStr">
        <is>
          <t>#Proteccion</t>
        </is>
      </c>
      <c r="H60" s="112" t="inlineStr">
        <is>
          <t>Obligatorio SEPS (Régimen General)</t>
        </is>
      </c>
      <c r="I60" s="112" t="inlineStr">
        <is>
          <t>-</t>
        </is>
      </c>
      <c r="J60" s="112" t="inlineStr">
        <is>
          <t>1. Regulatorio SEPS 002-2022 + ISO 27001</t>
        </is>
      </c>
      <c r="K60" s="112" t="inlineStr">
        <is>
          <t>Aplica</t>
        </is>
      </c>
      <c r="L60" s="112" t="inlineStr">
        <is>
          <t>Requerido por ente regulador SEPS</t>
        </is>
      </c>
    </row>
    <row r="61" ht="36" customHeight="1" s="106">
      <c r="A61" s="38" t="inlineStr">
        <is>
          <t>8.1</t>
        </is>
      </c>
      <c r="B61" s="112" t="inlineStr">
        <is>
          <t>Dispositivos de punto final de usuario</t>
        </is>
      </c>
      <c r="C61" s="112" t="inlineStr">
        <is>
          <t>#Preventivo</t>
        </is>
      </c>
      <c r="D61" s="112" t="inlineStr">
        <is>
          <t>#Confidencialidad, #Integridad, #Disponibilidad</t>
        </is>
      </c>
      <c r="E61" s="112" t="inlineStr">
        <is>
          <t>#Proteger</t>
        </is>
      </c>
      <c r="F61" s="38" t="inlineStr">
        <is>
          <t>#Gestión_de_activos</t>
        </is>
      </c>
      <c r="G61" s="112" t="inlineStr">
        <is>
          <t>#Proteccion</t>
        </is>
      </c>
      <c r="H61" s="112" t="inlineStr">
        <is>
          <t>Obligatorio SEPS (Régimen General)</t>
        </is>
      </c>
      <c r="I61" s="112" t="inlineStr">
        <is>
          <t>-</t>
        </is>
      </c>
      <c r="J61" s="112" t="inlineStr">
        <is>
          <t>1. Regulatorio SEPS 002-2022 + ISO 27001</t>
        </is>
      </c>
      <c r="K61" s="112" t="inlineStr">
        <is>
          <t>Aplica</t>
        </is>
      </c>
      <c r="L61" s="112" t="inlineStr">
        <is>
          <t>Requerido por ente regulador SEPS</t>
        </is>
      </c>
    </row>
    <row r="62" ht="36" customHeight="1" s="106">
      <c r="A62" s="38" t="inlineStr">
        <is>
          <t>8.2</t>
        </is>
      </c>
      <c r="B62" s="112" t="inlineStr">
        <is>
          <t>Derechos de acceso privilegiado</t>
        </is>
      </c>
      <c r="C62" s="112" t="inlineStr">
        <is>
          <t>#Preventivo</t>
        </is>
      </c>
      <c r="D62" s="112" t="inlineStr">
        <is>
          <t>#Confidencialidad, #Integridad, #Disponibilidad</t>
        </is>
      </c>
      <c r="E62" s="112" t="inlineStr">
        <is>
          <t>#Proteger</t>
        </is>
      </c>
      <c r="F62" s="38" t="inlineStr">
        <is>
          <t>#Administración_de_identidad_y_acceso</t>
        </is>
      </c>
      <c r="G62" s="112" t="inlineStr">
        <is>
          <t>#Proteccion</t>
        </is>
      </c>
      <c r="H62" s="112" t="inlineStr">
        <is>
          <t>Obligatorio SEPS (Régimen General)</t>
        </is>
      </c>
      <c r="I62" s="112" t="inlineStr">
        <is>
          <t>C9: Principio de mínimos privilegios</t>
        </is>
      </c>
      <c r="J62" s="112" t="inlineStr">
        <is>
          <t>2. Metodología Interna GSO-GSI + ISO 27001</t>
        </is>
      </c>
      <c r="K62" s="112" t="inlineStr">
        <is>
          <t>Aplica</t>
        </is>
      </c>
      <c r="L62" s="112" t="inlineStr">
        <is>
          <t>Requisito interno GSO-GSI</t>
        </is>
      </c>
    </row>
    <row r="63" ht="36" customHeight="1" s="106">
      <c r="A63" s="38" t="inlineStr">
        <is>
          <t>8.3</t>
        </is>
      </c>
      <c r="B63" s="112" t="inlineStr">
        <is>
          <t>Restricción del acceso a la información</t>
        </is>
      </c>
      <c r="C63" s="112" t="inlineStr">
        <is>
          <t>#Preventivo</t>
        </is>
      </c>
      <c r="D63" s="112" t="inlineStr">
        <is>
          <t>#Confidencialidad, #Integridad, #Disponibilidad</t>
        </is>
      </c>
      <c r="E63" s="112" t="inlineStr">
        <is>
          <t>#Proteger</t>
        </is>
      </c>
      <c r="F63" s="38" t="inlineStr">
        <is>
          <t>#Administración_de_identidad_y_acceso</t>
        </is>
      </c>
      <c r="G63" s="112" t="inlineStr">
        <is>
          <t>#Proteccion</t>
        </is>
      </c>
      <c r="H63" s="112" t="inlineStr">
        <is>
          <t>Obligatorio SEPS (Régimen General)</t>
        </is>
      </c>
      <c r="I63" s="112" t="inlineStr">
        <is>
          <t>C4: Restricción del control de acceso</t>
        </is>
      </c>
      <c r="J63" s="112" t="inlineStr">
        <is>
          <t>2. Metodología Interna GSO-GSI + ISO 27001</t>
        </is>
      </c>
      <c r="K63" s="112" t="inlineStr">
        <is>
          <t>Aplica</t>
        </is>
      </c>
      <c r="L63" s="112" t="inlineStr">
        <is>
          <t>Requisito interno GSO-GSI</t>
        </is>
      </c>
    </row>
    <row r="64" ht="36" customHeight="1" s="106">
      <c r="A64" s="38" t="inlineStr">
        <is>
          <t>8.4</t>
        </is>
      </c>
      <c r="B64" s="112" t="inlineStr">
        <is>
          <t>Acceso al código fuente</t>
        </is>
      </c>
      <c r="C64" s="112" t="inlineStr">
        <is>
          <t>#Preventivo</t>
        </is>
      </c>
      <c r="D64" s="112" t="inlineStr">
        <is>
          <t>#Confidencialidad, #Integridad, #Disponibilidad</t>
        </is>
      </c>
      <c r="E64" s="112" t="inlineStr">
        <is>
          <t>#Proteger</t>
        </is>
      </c>
      <c r="F64" s="38" t="inlineStr">
        <is>
          <t>#Seguridad_de_aplicaciones</t>
        </is>
      </c>
      <c r="G64" s="112" t="inlineStr">
        <is>
          <t>#Proteccion</t>
        </is>
      </c>
      <c r="H64" s="112" t="inlineStr">
        <is>
          <t>Obligatorio SEPS (Régimen General)</t>
        </is>
      </c>
      <c r="I64" s="112" t="inlineStr">
        <is>
          <t>-</t>
        </is>
      </c>
      <c r="J64" s="112" t="inlineStr">
        <is>
          <t>1. Regulatorio SEPS 002-2022 + ISO 27001</t>
        </is>
      </c>
      <c r="K64" s="112" t="inlineStr">
        <is>
          <t>Aplica</t>
        </is>
      </c>
      <c r="L64" s="112" t="inlineStr">
        <is>
          <t>Requerido por ente regulador SEPS</t>
        </is>
      </c>
    </row>
    <row r="65" ht="36" customHeight="1" s="106">
      <c r="A65" s="38" t="inlineStr">
        <is>
          <t>8.5</t>
        </is>
      </c>
      <c r="B65" s="112" t="inlineStr">
        <is>
          <t>Autenticación segura</t>
        </is>
      </c>
      <c r="C65" s="112" t="inlineStr">
        <is>
          <t>#Preventivo</t>
        </is>
      </c>
      <c r="D65" s="112" t="inlineStr">
        <is>
          <t>#Confidencialidad, #Integridad, #Disponibilidad</t>
        </is>
      </c>
      <c r="E65" s="112" t="inlineStr">
        <is>
          <t>#Proteger</t>
        </is>
      </c>
      <c r="F65" s="38" t="inlineStr">
        <is>
          <t>#Administración_de_identidad_y_acceso</t>
        </is>
      </c>
      <c r="G65" s="112" t="inlineStr">
        <is>
          <t>#Proteccion</t>
        </is>
      </c>
      <c r="H65" s="112" t="inlineStr">
        <is>
          <t>Obligatorio SEPS (Régimen General)</t>
        </is>
      </c>
      <c r="I65" s="112" t="inlineStr">
        <is>
          <t>-</t>
        </is>
      </c>
      <c r="J65" s="112" t="inlineStr">
        <is>
          <t>1. Regulatorio SEPS 002-2022 + ISO 27001</t>
        </is>
      </c>
      <c r="K65" s="112" t="inlineStr">
        <is>
          <t>Aplica</t>
        </is>
      </c>
      <c r="L65" s="112" t="inlineStr">
        <is>
          <t>Requerido por ente regulador SEPS</t>
        </is>
      </c>
    </row>
    <row r="66" ht="36" customHeight="1" s="106">
      <c r="A66" s="38" t="inlineStr">
        <is>
          <t>8.6</t>
        </is>
      </c>
      <c r="B66" s="112" t="inlineStr">
        <is>
          <t>Gestión de capacidad</t>
        </is>
      </c>
      <c r="C66" s="112" t="inlineStr">
        <is>
          <t>#Preventivo</t>
        </is>
      </c>
      <c r="D66" s="112" t="inlineStr">
        <is>
          <t>#Confidencialidad, #Integridad, #Disponibilidad</t>
        </is>
      </c>
      <c r="E66" s="112" t="inlineStr">
        <is>
          <t>#Proteger</t>
        </is>
      </c>
      <c r="F66" s="38" t="inlineStr">
        <is>
          <t>#Seguridad_de_sistemas_y_redes</t>
        </is>
      </c>
      <c r="G66" s="112" t="inlineStr">
        <is>
          <t>#Resiliencia</t>
        </is>
      </c>
      <c r="H66" s="112" t="inlineStr">
        <is>
          <t>Obligatorio SEPS (Régimen General)</t>
        </is>
      </c>
      <c r="I66" s="112" t="inlineStr">
        <is>
          <t>-</t>
        </is>
      </c>
      <c r="J66" s="112" t="inlineStr">
        <is>
          <t>1. Regulatorio SEPS 002-2022 + ISO 27001</t>
        </is>
      </c>
      <c r="K66" s="112" t="inlineStr">
        <is>
          <t>Aplica</t>
        </is>
      </c>
      <c r="L66" s="112" t="inlineStr">
        <is>
          <t>Requerido por ente regulador SEPS</t>
        </is>
      </c>
    </row>
    <row r="67" ht="36" customHeight="1" s="106">
      <c r="A67" s="38" t="inlineStr">
        <is>
          <t>8.7</t>
        </is>
      </c>
      <c r="B67" s="112" t="inlineStr">
        <is>
          <t>Protección contra malware</t>
        </is>
      </c>
      <c r="C67" s="112" t="inlineStr">
        <is>
          <t>#Preventivo, #Detectivo, #Correctivo</t>
        </is>
      </c>
      <c r="D67" s="112" t="inlineStr">
        <is>
          <t>#Confidencialidad, #Integridad, #Disponibilidad</t>
        </is>
      </c>
      <c r="E67" s="112" t="inlineStr">
        <is>
          <t>#Proteger</t>
        </is>
      </c>
      <c r="F67" s="38" t="inlineStr">
        <is>
          <t>#Seguridad_de_sistemas_y_redes</t>
        </is>
      </c>
      <c r="G67" s="112" t="inlineStr">
        <is>
          <t>#Defensa</t>
        </is>
      </c>
      <c r="H67" s="112" t="inlineStr">
        <is>
          <t>Obligatorio SEPS (Régimen General)</t>
        </is>
      </c>
      <c r="I67" s="112" t="inlineStr">
        <is>
          <t>-</t>
        </is>
      </c>
      <c r="J67" s="112" t="inlineStr">
        <is>
          <t>1. Regulatorio SEPS 002-2022 + ISO 27001</t>
        </is>
      </c>
      <c r="K67" s="112" t="inlineStr">
        <is>
          <t>Aplica</t>
        </is>
      </c>
      <c r="L67" s="112" t="inlineStr">
        <is>
          <t>Requerido por ente regulador SEPS</t>
        </is>
      </c>
    </row>
    <row r="68" ht="48" customHeight="1" s="106">
      <c r="A68" s="38" t="inlineStr">
        <is>
          <t>8.8</t>
        </is>
      </c>
      <c r="B68" s="112" t="inlineStr">
        <is>
          <t>Gestión de vulnerabilidades técnicas</t>
        </is>
      </c>
      <c r="C68" s="112" t="inlineStr">
        <is>
          <t>#Preventivo, #Correctivo</t>
        </is>
      </c>
      <c r="D68" s="112" t="inlineStr">
        <is>
          <t>#Confidencialidad, #Integridad, #Disponibilidad</t>
        </is>
      </c>
      <c r="E68" s="112" t="inlineStr">
        <is>
          <t>#Proteger</t>
        </is>
      </c>
      <c r="F68" s="38" t="inlineStr">
        <is>
          <t>#Gestión_de_amenazas_y_vulnerabilidades</t>
        </is>
      </c>
      <c r="G68" s="112" t="inlineStr">
        <is>
          <t>#Defensa</t>
        </is>
      </c>
      <c r="H68" s="112" t="inlineStr">
        <is>
          <t>Obligatorio SEPS (Régimen General)</t>
        </is>
      </c>
      <c r="I68" s="112" t="inlineStr">
        <is>
          <t>C12: Actualizaciones periódicas firmware/software</t>
        </is>
      </c>
      <c r="J68" s="112" t="inlineStr">
        <is>
          <t>2. Metodología Interna GSO-GSI + ISO 27001</t>
        </is>
      </c>
      <c r="K68" s="112" t="inlineStr">
        <is>
          <t>Aplica</t>
        </is>
      </c>
      <c r="L68" s="112" t="inlineStr">
        <is>
          <t>Requisito interno GSO-GSI</t>
        </is>
      </c>
    </row>
    <row r="69" ht="48" customHeight="1" s="106">
      <c r="A69" s="38" t="inlineStr">
        <is>
          <t>8.9</t>
        </is>
      </c>
      <c r="B69" s="112" t="inlineStr">
        <is>
          <t>Gestión de la configuración</t>
        </is>
      </c>
      <c r="C69" s="112" t="inlineStr">
        <is>
          <t>#Preventivo</t>
        </is>
      </c>
      <c r="D69" s="112" t="inlineStr">
        <is>
          <t>#Confidencialidad, #Integridad, #Disponibilidad</t>
        </is>
      </c>
      <c r="E69" s="112" t="inlineStr">
        <is>
          <t>#Proteger</t>
        </is>
      </c>
      <c r="F69" s="38" t="inlineStr">
        <is>
          <t>#Configuración_segura</t>
        </is>
      </c>
      <c r="G69" s="112" t="inlineStr">
        <is>
          <t>#Proteccion</t>
        </is>
      </c>
      <c r="H69" s="112" t="inlineStr">
        <is>
          <t>Obligatorio SEPS (Régimen General)</t>
        </is>
      </c>
      <c r="I69" s="112" t="inlineStr">
        <is>
          <t>C52: Mantenimiento preventivo / Configuración segura</t>
        </is>
      </c>
      <c r="J69" s="112" t="inlineStr">
        <is>
          <t>2. Metodología Interna GSO-GSI + ISO 27001</t>
        </is>
      </c>
      <c r="K69" s="112" t="inlineStr">
        <is>
          <t>Aplica</t>
        </is>
      </c>
      <c r="L69" s="112" t="inlineStr">
        <is>
          <t>Requisito interno GSO-GSI</t>
        </is>
      </c>
    </row>
    <row r="70" ht="36" customHeight="1" s="106">
      <c r="A70" s="38" t="inlineStr">
        <is>
          <t>8.10</t>
        </is>
      </c>
      <c r="B70" s="112" t="inlineStr">
        <is>
          <t>Eliminación de información</t>
        </is>
      </c>
      <c r="C70" s="112" t="inlineStr">
        <is>
          <t>#Preventivo</t>
        </is>
      </c>
      <c r="D70" s="112" t="inlineStr">
        <is>
          <t>#Confidencialidad, #Integridad, #Disponibilidad</t>
        </is>
      </c>
      <c r="E70" s="112" t="inlineStr">
        <is>
          <t>#Proteger</t>
        </is>
      </c>
      <c r="F70" s="38" t="inlineStr">
        <is>
          <t>#Protección_de_la_información</t>
        </is>
      </c>
      <c r="G70" s="112" t="inlineStr">
        <is>
          <t>#Proteccion</t>
        </is>
      </c>
      <c r="H70" s="112" t="inlineStr">
        <is>
          <t>Obligatorio SEPS (Régimen General)</t>
        </is>
      </c>
      <c r="I70" s="112" t="inlineStr">
        <is>
          <t>-</t>
        </is>
      </c>
      <c r="J70" s="112" t="inlineStr">
        <is>
          <t>1. Regulatorio SEPS 002-2022 + ISO 27001</t>
        </is>
      </c>
      <c r="K70" s="112" t="inlineStr">
        <is>
          <t>Aplica</t>
        </is>
      </c>
      <c r="L70" s="112" t="inlineStr">
        <is>
          <t>Requerido por ente regulador SEPS</t>
        </is>
      </c>
    </row>
    <row r="71" ht="60" customHeight="1" s="106">
      <c r="A71" s="38" t="inlineStr">
        <is>
          <t>8.11</t>
        </is>
      </c>
      <c r="B71" s="112" t="inlineStr">
        <is>
          <t>Enmascaramiento de datos</t>
        </is>
      </c>
      <c r="C71" s="112" t="inlineStr">
        <is>
          <t>#Preventivo</t>
        </is>
      </c>
      <c r="D71" s="112" t="inlineStr">
        <is>
          <t>#Confidencialidad, #Integridad, #Disponibilidad</t>
        </is>
      </c>
      <c r="E71" s="112" t="inlineStr">
        <is>
          <t>#Proteger</t>
        </is>
      </c>
      <c r="F71" s="38" t="inlineStr">
        <is>
          <t>#Protección_de_la_información</t>
        </is>
      </c>
      <c r="G71" s="112" t="inlineStr">
        <is>
          <t>#Proteccion</t>
        </is>
      </c>
      <c r="H71" s="112" t="inlineStr">
        <is>
          <t>Mejor Práctica (No obligatorio SEPS)</t>
        </is>
      </c>
      <c r="I71" s="112" t="inlineStr">
        <is>
          <t>-</t>
        </is>
      </c>
      <c r="J71" s="112" t="inlineStr">
        <is>
          <t>3. Tratamiento de Riesgos Específico (ISO 27002 / MAGERIT)</t>
        </is>
      </c>
      <c r="K71" s="112" t="inlineStr">
        <is>
          <t>Aplica</t>
        </is>
      </c>
      <c r="L71" s="112" t="inlineStr">
        <is>
          <t>Requisito de control complementario y mejor práctica de seguridad</t>
        </is>
      </c>
    </row>
    <row r="72" ht="36" customHeight="1" s="106">
      <c r="A72" s="38" t="inlineStr">
        <is>
          <t>8.12</t>
        </is>
      </c>
      <c r="B72" s="112" t="inlineStr">
        <is>
          <t>Prevención de fuga de datos</t>
        </is>
      </c>
      <c r="C72" s="112" t="inlineStr">
        <is>
          <t>#Preventivo, #Detectivo</t>
        </is>
      </c>
      <c r="D72" s="112" t="inlineStr">
        <is>
          <t>#Confidencialidad, #Integridad, #Disponibilidad</t>
        </is>
      </c>
      <c r="E72" s="112" t="inlineStr">
        <is>
          <t>#Proteger</t>
        </is>
      </c>
      <c r="F72" s="38" t="inlineStr">
        <is>
          <t>#Protección_de_la_información</t>
        </is>
      </c>
      <c r="G72" s="112" t="inlineStr">
        <is>
          <t>#Proteccion</t>
        </is>
      </c>
      <c r="H72" s="112" t="inlineStr">
        <is>
          <t>Obligatorio SEPS (Régimen General)</t>
        </is>
      </c>
      <c r="I72" s="112" t="inlineStr">
        <is>
          <t>-</t>
        </is>
      </c>
      <c r="J72" s="112" t="inlineStr">
        <is>
          <t>1. Regulatorio SEPS 002-2022 + ISO 27001</t>
        </is>
      </c>
      <c r="K72" s="112" t="inlineStr">
        <is>
          <t>Aplica</t>
        </is>
      </c>
      <c r="L72" s="112" t="inlineStr">
        <is>
          <t>Requerido por ente regulador SEPS</t>
        </is>
      </c>
    </row>
    <row r="73" ht="48" customHeight="1" s="106">
      <c r="A73" s="38" t="inlineStr">
        <is>
          <t>8.13</t>
        </is>
      </c>
      <c r="B73" s="112" t="inlineStr">
        <is>
          <t>Copias de seguridad de la información</t>
        </is>
      </c>
      <c r="C73" s="112" t="inlineStr">
        <is>
          <t>#Preventivo, #Correctivo</t>
        </is>
      </c>
      <c r="D73" s="112" t="inlineStr">
        <is>
          <t>#Confidencialidad, #Integridad, #Disponibilidad</t>
        </is>
      </c>
      <c r="E73" s="112" t="inlineStr">
        <is>
          <t>#Recuperar</t>
        </is>
      </c>
      <c r="F73" s="38" t="inlineStr">
        <is>
          <t>#Continuidad</t>
        </is>
      </c>
      <c r="G73" s="112" t="inlineStr">
        <is>
          <t>#Resiliencia</t>
        </is>
      </c>
      <c r="H73" s="112" t="inlineStr">
        <is>
          <t>Obligatorio SEPS (Régimen General)</t>
        </is>
      </c>
      <c r="I73" s="112" t="inlineStr">
        <is>
          <t>C6: Procedimientos de reversión (rollback) / Respaldo</t>
        </is>
      </c>
      <c r="J73" s="112" t="inlineStr">
        <is>
          <t>2. Metodología Interna GSO-GSI + ISO 27001</t>
        </is>
      </c>
      <c r="K73" s="112" t="inlineStr">
        <is>
          <t>Aplica</t>
        </is>
      </c>
      <c r="L73" s="112" t="inlineStr">
        <is>
          <t>Requisito interno GSO-GSI</t>
        </is>
      </c>
    </row>
    <row r="74" ht="48" customHeight="1" s="106">
      <c r="A74" s="38" t="inlineStr">
        <is>
          <t>8.14</t>
        </is>
      </c>
      <c r="B74" s="112" t="inlineStr">
        <is>
          <t>Redundancia de las instalaciones de procesamiento de información</t>
        </is>
      </c>
      <c r="C74" s="112" t="inlineStr">
        <is>
          <t>#Preventivo</t>
        </is>
      </c>
      <c r="D74" s="112" t="inlineStr">
        <is>
          <t>#Confidencialidad, #Integridad, #Disponibilidad</t>
        </is>
      </c>
      <c r="E74" s="112" t="inlineStr">
        <is>
          <t>#Recuperar</t>
        </is>
      </c>
      <c r="F74" s="38" t="inlineStr">
        <is>
          <t>#Continuidad</t>
        </is>
      </c>
      <c r="G74" s="112" t="inlineStr">
        <is>
          <t>#Resiliencia</t>
        </is>
      </c>
      <c r="H74" s="112" t="inlineStr">
        <is>
          <t>Obligatorio SEPS (Régimen General)</t>
        </is>
      </c>
      <c r="I74" s="112" t="inlineStr">
        <is>
          <t>-</t>
        </is>
      </c>
      <c r="J74" s="112" t="inlineStr">
        <is>
          <t>1. Regulatorio SEPS 002-2022 + ISO 27001</t>
        </is>
      </c>
      <c r="K74" s="112" t="inlineStr">
        <is>
          <t>Aplica</t>
        </is>
      </c>
      <c r="L74" s="112" t="inlineStr">
        <is>
          <t>Requerido por ente regulador SEPS</t>
        </is>
      </c>
    </row>
    <row r="75" ht="36" customHeight="1" s="106">
      <c r="A75" s="38" t="inlineStr">
        <is>
          <t>8.15</t>
        </is>
      </c>
      <c r="B75" s="112" t="inlineStr">
        <is>
          <t>Registro de eventos (Logging)</t>
        </is>
      </c>
      <c r="C75" s="112" t="inlineStr">
        <is>
          <t>#Detectivo</t>
        </is>
      </c>
      <c r="D75" s="112" t="inlineStr">
        <is>
          <t>#Confidencialidad, #Integridad, #Disponibilidad</t>
        </is>
      </c>
      <c r="E75" s="112" t="inlineStr">
        <is>
          <t>#Detectar</t>
        </is>
      </c>
      <c r="F75" s="38" t="inlineStr">
        <is>
          <t>#Seguridad_de_la_información_gestión_de_eventos</t>
        </is>
      </c>
      <c r="G75" s="112" t="inlineStr">
        <is>
          <t>#Defensa</t>
        </is>
      </c>
      <c r="H75" s="112" t="inlineStr">
        <is>
          <t>Obligatorio SEPS (Régimen General)</t>
        </is>
      </c>
      <c r="I75" s="112" t="inlineStr">
        <is>
          <t>C10: Registro de fallos en el control de acceso</t>
        </is>
      </c>
      <c r="J75" s="112" t="inlineStr">
        <is>
          <t>2. Metodología Interna GSO-GSI + ISO 27001</t>
        </is>
      </c>
      <c r="K75" s="112" t="inlineStr">
        <is>
          <t>Aplica</t>
        </is>
      </c>
      <c r="L75" s="112" t="inlineStr">
        <is>
          <t>Requisito interno GSO-GSI</t>
        </is>
      </c>
    </row>
    <row r="76" ht="36" customHeight="1" s="106">
      <c r="A76" s="38" t="inlineStr">
        <is>
          <t>8.16</t>
        </is>
      </c>
      <c r="B76" s="112" t="inlineStr">
        <is>
          <t>Actividades de seguimiento (Monitoring)</t>
        </is>
      </c>
      <c r="C76" s="112" t="inlineStr">
        <is>
          <t>#Detectivo</t>
        </is>
      </c>
      <c r="D76" s="112" t="inlineStr">
        <is>
          <t>#Confidencialidad, #Integridad, #Disponibilidad</t>
        </is>
      </c>
      <c r="E76" s="112" t="inlineStr">
        <is>
          <t>#Detectar</t>
        </is>
      </c>
      <c r="F76" s="38" t="inlineStr">
        <is>
          <t>#Seguridad_de_la_información_gestión_de_eventos</t>
        </is>
      </c>
      <c r="G76" s="112" t="inlineStr">
        <is>
          <t>#Defensa</t>
        </is>
      </c>
      <c r="H76" s="112" t="inlineStr">
        <is>
          <t>Obligatorio SEPS (Régimen General)</t>
        </is>
      </c>
      <c r="I76" s="112" t="inlineStr">
        <is>
          <t>C13: Monitoreo y control</t>
        </is>
      </c>
      <c r="J76" s="112" t="inlineStr">
        <is>
          <t>2. Metodología Interna GSO-GSI + ISO 27001</t>
        </is>
      </c>
      <c r="K76" s="112" t="inlineStr">
        <is>
          <t>Aplica</t>
        </is>
      </c>
      <c r="L76" s="112" t="inlineStr">
        <is>
          <t>Requisito interno GSO-GSI</t>
        </is>
      </c>
    </row>
    <row r="77" ht="36" customHeight="1" s="106">
      <c r="A77" s="38" t="inlineStr">
        <is>
          <t>8.17</t>
        </is>
      </c>
      <c r="B77" s="112" t="inlineStr">
        <is>
          <t>Sincronización de relojes</t>
        </is>
      </c>
      <c r="C77" s="112" t="inlineStr">
        <is>
          <t>#Preventivo</t>
        </is>
      </c>
      <c r="D77" s="112" t="inlineStr">
        <is>
          <t>#Confidencialidad, #Integridad, #Disponibilidad</t>
        </is>
      </c>
      <c r="E77" s="112" t="inlineStr">
        <is>
          <t>#Proteger</t>
        </is>
      </c>
      <c r="F77" s="38" t="inlineStr">
        <is>
          <t>#Seguridad_de_sistemas_y_redes</t>
        </is>
      </c>
      <c r="G77" s="112" t="inlineStr">
        <is>
          <t>#Proteccion</t>
        </is>
      </c>
      <c r="H77" s="112" t="inlineStr">
        <is>
          <t>Obligatorio SEPS (Régimen General)</t>
        </is>
      </c>
      <c r="I77" s="112" t="inlineStr">
        <is>
          <t>-</t>
        </is>
      </c>
      <c r="J77" s="112" t="inlineStr">
        <is>
          <t>1. Regulatorio SEPS 002-2022 + ISO 27001</t>
        </is>
      </c>
      <c r="K77" s="112" t="inlineStr">
        <is>
          <t>Aplica</t>
        </is>
      </c>
      <c r="L77" s="112" t="inlineStr">
        <is>
          <t>Requerido por ente regulador SEPS</t>
        </is>
      </c>
    </row>
    <row r="78" ht="36" customHeight="1" s="106">
      <c r="A78" s="38" t="inlineStr">
        <is>
          <t>8.18</t>
        </is>
      </c>
      <c r="B78" s="112" t="inlineStr">
        <is>
          <t>Uso de programas de utilidad privilegiados</t>
        </is>
      </c>
      <c r="C78" s="112" t="inlineStr">
        <is>
          <t>#Preventivo</t>
        </is>
      </c>
      <c r="D78" s="112" t="inlineStr">
        <is>
          <t>#Confidencialidad, #Integridad, #Disponibilidad</t>
        </is>
      </c>
      <c r="E78" s="112" t="inlineStr">
        <is>
          <t>#Proteger</t>
        </is>
      </c>
      <c r="F78" s="38" t="inlineStr">
        <is>
          <t>#Administración_de_identidad_y_acceso</t>
        </is>
      </c>
      <c r="G78" s="112" t="inlineStr">
        <is>
          <t>#Proteccion</t>
        </is>
      </c>
      <c r="H78" s="112" t="inlineStr">
        <is>
          <t>Obligatorio SEPS (Régimen General)</t>
        </is>
      </c>
      <c r="I78" s="112" t="inlineStr">
        <is>
          <t>-</t>
        </is>
      </c>
      <c r="J78" s="112" t="inlineStr">
        <is>
          <t>1. Regulatorio SEPS 002-2022 + ISO 27001</t>
        </is>
      </c>
      <c r="K78" s="112" t="inlineStr">
        <is>
          <t>Aplica</t>
        </is>
      </c>
      <c r="L78" s="112" t="inlineStr">
        <is>
          <t>Requerido por ente regulador SEPS</t>
        </is>
      </c>
    </row>
    <row r="79" ht="48" customHeight="1" s="106">
      <c r="A79" s="38" t="inlineStr">
        <is>
          <t>8.19</t>
        </is>
      </c>
      <c r="B79" s="112" t="inlineStr">
        <is>
          <t>Instalación de software en sistemas operativos</t>
        </is>
      </c>
      <c r="C79" s="112" t="inlineStr">
        <is>
          <t>#Preventivo</t>
        </is>
      </c>
      <c r="D79" s="112" t="inlineStr">
        <is>
          <t>#Confidencialidad, #Integridad, #Disponibilidad</t>
        </is>
      </c>
      <c r="E79" s="112" t="inlineStr">
        <is>
          <t>#Proteger</t>
        </is>
      </c>
      <c r="F79" s="38" t="inlineStr">
        <is>
          <t>#Configuración_segura</t>
        </is>
      </c>
      <c r="G79" s="112" t="inlineStr">
        <is>
          <t>#Proteccion</t>
        </is>
      </c>
      <c r="H79" s="112" t="inlineStr">
        <is>
          <t>Obligatorio SEPS (Régimen General)</t>
        </is>
      </c>
      <c r="I79" s="112" t="inlineStr">
        <is>
          <t>C12: Actualizaciones periódicas firmware/software</t>
        </is>
      </c>
      <c r="J79" s="112" t="inlineStr">
        <is>
          <t>2. Metodología Interna GSO-GSI + ISO 27001</t>
        </is>
      </c>
      <c r="K79" s="112" t="inlineStr">
        <is>
          <t>Aplica</t>
        </is>
      </c>
      <c r="L79" s="112" t="inlineStr">
        <is>
          <t>Requisito interno GSO-GSI</t>
        </is>
      </c>
    </row>
    <row r="80" ht="48" customHeight="1" s="106">
      <c r="A80" s="38" t="inlineStr">
        <is>
          <t>8.20</t>
        </is>
      </c>
      <c r="B80" s="112" t="inlineStr">
        <is>
          <t>Seguridad de las redes</t>
        </is>
      </c>
      <c r="C80" s="112" t="inlineStr">
        <is>
          <t>#Preventivo</t>
        </is>
      </c>
      <c r="D80" s="112" t="inlineStr">
        <is>
          <t>#Confidencialidad, #Integridad, #Disponibilidad</t>
        </is>
      </c>
      <c r="E80" s="112" t="inlineStr">
        <is>
          <t>#Proteger</t>
        </is>
      </c>
      <c r="F80" s="38" t="inlineStr">
        <is>
          <t>#Seguridad_de_sistemas_y_redes</t>
        </is>
      </c>
      <c r="G80" s="112" t="inlineStr">
        <is>
          <t>#Proteccion</t>
        </is>
      </c>
      <c r="H80" s="112" t="inlineStr">
        <is>
          <t>Obligatorio SEPS (Régimen General)</t>
        </is>
      </c>
      <c r="I80" s="112" t="inlineStr">
        <is>
          <t>C52: Mantenimiento preventivo / Configuración segura</t>
        </is>
      </c>
      <c r="J80" s="112" t="inlineStr">
        <is>
          <t>2. Metodología Interna GSO-GSI + ISO 27001</t>
        </is>
      </c>
      <c r="K80" s="112" t="inlineStr">
        <is>
          <t>Aplica</t>
        </is>
      </c>
      <c r="L80" s="112" t="inlineStr">
        <is>
          <t>Requisito interno GSO-GSI</t>
        </is>
      </c>
    </row>
    <row r="81" ht="36" customHeight="1" s="106">
      <c r="A81" s="38" t="inlineStr">
        <is>
          <t>8.21</t>
        </is>
      </c>
      <c r="B81" s="112" t="inlineStr">
        <is>
          <t>Seguridad de los servicios de red</t>
        </is>
      </c>
      <c r="C81" s="112" t="inlineStr">
        <is>
          <t>#Preventivo</t>
        </is>
      </c>
      <c r="D81" s="112" t="inlineStr">
        <is>
          <t>#Confidencialidad, #Integridad, #Disponibilidad</t>
        </is>
      </c>
      <c r="E81" s="112" t="inlineStr">
        <is>
          <t>#Proteger</t>
        </is>
      </c>
      <c r="F81" s="38" t="inlineStr">
        <is>
          <t>#Seguridad_de_sistemas_y_redes</t>
        </is>
      </c>
      <c r="G81" s="112" t="inlineStr">
        <is>
          <t>#Proteccion</t>
        </is>
      </c>
      <c r="H81" s="112" t="inlineStr">
        <is>
          <t>Obligatorio SEPS (Régimen General)</t>
        </is>
      </c>
      <c r="I81" s="112" t="inlineStr">
        <is>
          <t>-</t>
        </is>
      </c>
      <c r="J81" s="112" t="inlineStr">
        <is>
          <t>1. Regulatorio SEPS 002-2022 + ISO 27001</t>
        </is>
      </c>
      <c r="K81" s="112" t="inlineStr">
        <is>
          <t>Aplica</t>
        </is>
      </c>
      <c r="L81" s="112" t="inlineStr">
        <is>
          <t>Requerido por ente regulador SEPS</t>
        </is>
      </c>
    </row>
    <row r="82" ht="36" customHeight="1" s="106">
      <c r="A82" s="38" t="inlineStr">
        <is>
          <t>8.22</t>
        </is>
      </c>
      <c r="B82" s="112" t="inlineStr">
        <is>
          <t>Segregación de redes</t>
        </is>
      </c>
      <c r="C82" s="112" t="inlineStr">
        <is>
          <t>#Preventivo</t>
        </is>
      </c>
      <c r="D82" s="112" t="inlineStr">
        <is>
          <t>#Confidencialidad, #Integridad, #Disponibilidad</t>
        </is>
      </c>
      <c r="E82" s="112" t="inlineStr">
        <is>
          <t>#Proteger</t>
        </is>
      </c>
      <c r="F82" s="38" t="inlineStr">
        <is>
          <t>#Seguridad_de_sistemas_y_redes</t>
        </is>
      </c>
      <c r="G82" s="112" t="inlineStr">
        <is>
          <t>#Proteccion</t>
        </is>
      </c>
      <c r="H82" s="112" t="inlineStr">
        <is>
          <t>Obligatorio SEPS (Régimen General)</t>
        </is>
      </c>
      <c r="I82" s="112" t="inlineStr">
        <is>
          <t>-</t>
        </is>
      </c>
      <c r="J82" s="112" t="inlineStr">
        <is>
          <t>1. Regulatorio SEPS 002-2022 + ISO 27001</t>
        </is>
      </c>
      <c r="K82" s="112" t="inlineStr">
        <is>
          <t>Aplica</t>
        </is>
      </c>
      <c r="L82" s="112" t="inlineStr">
        <is>
          <t>Requerido por ente regulador SEPS</t>
        </is>
      </c>
    </row>
    <row r="83" ht="60" customHeight="1" s="106">
      <c r="A83" s="38" t="inlineStr">
        <is>
          <t>8.23</t>
        </is>
      </c>
      <c r="B83" s="112" t="inlineStr">
        <is>
          <t>Filtrado web</t>
        </is>
      </c>
      <c r="C83" s="112" t="inlineStr">
        <is>
          <t>#Preventivo</t>
        </is>
      </c>
      <c r="D83" s="112" t="inlineStr">
        <is>
          <t>#Confidencialidad, #Integridad, #Disponibilidad</t>
        </is>
      </c>
      <c r="E83" s="112" t="inlineStr">
        <is>
          <t>#Proteger</t>
        </is>
      </c>
      <c r="F83" s="38" t="inlineStr">
        <is>
          <t>#Seguridad_de_sistemas_y_redes</t>
        </is>
      </c>
      <c r="G83" s="112" t="inlineStr">
        <is>
          <t>#Proteccion</t>
        </is>
      </c>
      <c r="H83" s="112" t="inlineStr">
        <is>
          <t>Mejor Práctica (No obligatorio SEPS)</t>
        </is>
      </c>
      <c r="I83" s="112" t="inlineStr">
        <is>
          <t>-</t>
        </is>
      </c>
      <c r="J83" s="112" t="inlineStr">
        <is>
          <t>3. Tratamiento de Riesgos Específico (ISO 27002 / MAGERIT)</t>
        </is>
      </c>
      <c r="K83" s="112" t="inlineStr">
        <is>
          <t>Aplica</t>
        </is>
      </c>
      <c r="L83" s="112" t="inlineStr">
        <is>
          <t>Requisito de control complementario y mejor práctica de seguridad</t>
        </is>
      </c>
    </row>
    <row r="84" ht="36" customHeight="1" s="106">
      <c r="A84" s="38" t="inlineStr">
        <is>
          <t>8.24</t>
        </is>
      </c>
      <c r="B84" s="112" t="inlineStr">
        <is>
          <t>Uso de criptografía</t>
        </is>
      </c>
      <c r="C84" s="112" t="inlineStr">
        <is>
          <t>#Preventivo</t>
        </is>
      </c>
      <c r="D84" s="112" t="inlineStr">
        <is>
          <t>#Confidencialidad, #Integridad, #Disponibilidad</t>
        </is>
      </c>
      <c r="E84" s="112" t="inlineStr">
        <is>
          <t>#Proteger</t>
        </is>
      </c>
      <c r="F84" s="38" t="inlineStr">
        <is>
          <t>#Protección_de_la_información</t>
        </is>
      </c>
      <c r="G84" s="112" t="inlineStr">
        <is>
          <t>#Proteccion</t>
        </is>
      </c>
      <c r="H84" s="112" t="inlineStr">
        <is>
          <t>Obligatorio SEPS (Régimen General)</t>
        </is>
      </c>
      <c r="I84" s="112" t="inlineStr">
        <is>
          <t>-</t>
        </is>
      </c>
      <c r="J84" s="112" t="inlineStr">
        <is>
          <t>1. Regulatorio SEPS 002-2022 + ISO 27001</t>
        </is>
      </c>
      <c r="K84" s="112" t="inlineStr">
        <is>
          <t>Aplica</t>
        </is>
      </c>
      <c r="L84" s="112" t="inlineStr">
        <is>
          <t>Requerido por ente regulador SEPS</t>
        </is>
      </c>
    </row>
    <row r="85" ht="36" customHeight="1" s="106">
      <c r="A85" s="38" t="inlineStr">
        <is>
          <t>8.25</t>
        </is>
      </c>
      <c r="B85" s="112" t="inlineStr">
        <is>
          <t>Ciclo de vida del desarrollo seguro</t>
        </is>
      </c>
      <c r="C85" s="112" t="inlineStr">
        <is>
          <t>#Preventivo</t>
        </is>
      </c>
      <c r="D85" s="112" t="inlineStr">
        <is>
          <t>#Confidencialidad, #Integridad, #Disponibilidad</t>
        </is>
      </c>
      <c r="E85" s="112" t="inlineStr">
        <is>
          <t>#Proteger</t>
        </is>
      </c>
      <c r="F85" s="38" t="inlineStr">
        <is>
          <t>#Seguridad_de_aplicaciones</t>
        </is>
      </c>
      <c r="G85" s="112" t="inlineStr">
        <is>
          <t>#Proteccion</t>
        </is>
      </c>
      <c r="H85" s="112" t="inlineStr">
        <is>
          <t>Obligatorio SEPS (Régimen General)</t>
        </is>
      </c>
      <c r="I85" s="112" t="inlineStr">
        <is>
          <t>-</t>
        </is>
      </c>
      <c r="J85" s="112" t="inlineStr">
        <is>
          <t>1. Regulatorio SEPS 002-2022 + ISO 27001</t>
        </is>
      </c>
      <c r="K85" s="112" t="inlineStr">
        <is>
          <t>Aplica</t>
        </is>
      </c>
      <c r="L85" s="112" t="inlineStr">
        <is>
          <t>Requerido por ente regulador SEPS</t>
        </is>
      </c>
    </row>
    <row r="86" ht="36" customHeight="1" s="106">
      <c r="A86" s="38" t="inlineStr">
        <is>
          <t>8.26</t>
        </is>
      </c>
      <c r="B86" s="112" t="inlineStr">
        <is>
          <t>Requisitos de seguridad de las aplicaciones</t>
        </is>
      </c>
      <c r="C86" s="112" t="inlineStr">
        <is>
          <t>#Preventivo</t>
        </is>
      </c>
      <c r="D86" s="112" t="inlineStr">
        <is>
          <t>#Confidencialidad, #Integridad, #Disponibilidad</t>
        </is>
      </c>
      <c r="E86" s="112" t="inlineStr">
        <is>
          <t>#Proteger</t>
        </is>
      </c>
      <c r="F86" s="38" t="inlineStr">
        <is>
          <t>#Seguridad_de_aplicaciones</t>
        </is>
      </c>
      <c r="G86" s="112" t="inlineStr">
        <is>
          <t>#Proteccion</t>
        </is>
      </c>
      <c r="H86" s="112" t="inlineStr">
        <is>
          <t>Obligatorio SEPS (Régimen General)</t>
        </is>
      </c>
      <c r="I86" s="112" t="inlineStr">
        <is>
          <t>-</t>
        </is>
      </c>
      <c r="J86" s="112" t="inlineStr">
        <is>
          <t>1. Regulatorio SEPS 002-2022 + ISO 27001</t>
        </is>
      </c>
      <c r="K86" s="112" t="inlineStr">
        <is>
          <t>Aplica</t>
        </is>
      </c>
      <c r="L86" s="112" t="inlineStr">
        <is>
          <t>Requerido por ente regulador SEPS</t>
        </is>
      </c>
    </row>
    <row r="87" ht="48" customHeight="1" s="106">
      <c r="A87" s="38" t="inlineStr">
        <is>
          <t>8.27</t>
        </is>
      </c>
      <c r="B87" s="112" t="inlineStr">
        <is>
          <t>Arquitectura de sistemas seguros y principios de ingeniería</t>
        </is>
      </c>
      <c r="C87" s="112" t="inlineStr">
        <is>
          <t>#Preventivo</t>
        </is>
      </c>
      <c r="D87" s="112" t="inlineStr">
        <is>
          <t>#Confidencialidad, #Integridad, #Disponibilidad</t>
        </is>
      </c>
      <c r="E87" s="112" t="inlineStr">
        <is>
          <t>#Proteger</t>
        </is>
      </c>
      <c r="F87" s="38" t="inlineStr">
        <is>
          <t>#Seguridad_de_aplicaciones</t>
        </is>
      </c>
      <c r="G87" s="112" t="inlineStr">
        <is>
          <t>#Proteccion</t>
        </is>
      </c>
      <c r="H87" s="112" t="inlineStr">
        <is>
          <t>Obligatorio SEPS (Régimen General)</t>
        </is>
      </c>
      <c r="I87" s="112" t="inlineStr">
        <is>
          <t>-</t>
        </is>
      </c>
      <c r="J87" s="112" t="inlineStr">
        <is>
          <t>1. Regulatorio SEPS 002-2022 + ISO 27001</t>
        </is>
      </c>
      <c r="K87" s="112" t="inlineStr">
        <is>
          <t>Aplica</t>
        </is>
      </c>
      <c r="L87" s="112" t="inlineStr">
        <is>
          <t>Requerido por ente regulador SEPS</t>
        </is>
      </c>
    </row>
    <row r="88" ht="36" customHeight="1" s="106">
      <c r="A88" s="38" t="inlineStr">
        <is>
          <t>8.28</t>
        </is>
      </c>
      <c r="B88" s="112" t="inlineStr">
        <is>
          <t>Codificación segura</t>
        </is>
      </c>
      <c r="C88" s="112" t="inlineStr">
        <is>
          <t>#Preventivo</t>
        </is>
      </c>
      <c r="D88" s="112" t="inlineStr">
        <is>
          <t>#Confidencialidad, #Integridad, #Disponibilidad</t>
        </is>
      </c>
      <c r="E88" s="112" t="inlineStr">
        <is>
          <t>#Proteger</t>
        </is>
      </c>
      <c r="F88" s="38" t="inlineStr">
        <is>
          <t>#Seguridad_de_aplicaciones</t>
        </is>
      </c>
      <c r="G88" s="112" t="inlineStr">
        <is>
          <t>#Proteccion</t>
        </is>
      </c>
      <c r="H88" s="112" t="inlineStr">
        <is>
          <t>Obligatorio SEPS (Régimen General)</t>
        </is>
      </c>
      <c r="I88" s="112" t="inlineStr">
        <is>
          <t>-</t>
        </is>
      </c>
      <c r="J88" s="112" t="inlineStr">
        <is>
          <t>1. Regulatorio SEPS 002-2022 + ISO 27001</t>
        </is>
      </c>
      <c r="K88" s="112" t="inlineStr">
        <is>
          <t>Aplica</t>
        </is>
      </c>
      <c r="L88" s="112" t="inlineStr">
        <is>
          <t>Requerido por ente regulador SEPS</t>
        </is>
      </c>
    </row>
    <row r="89" ht="48" customHeight="1" s="106">
      <c r="A89" s="38" t="inlineStr">
        <is>
          <t>8.29</t>
        </is>
      </c>
      <c r="B89" s="112" t="inlineStr">
        <is>
          <t>Pruebas de seguridad en el desarrollo y la aceptación</t>
        </is>
      </c>
      <c r="C89" s="112" t="inlineStr">
        <is>
          <t>#Preventivo, #Detectivo</t>
        </is>
      </c>
      <c r="D89" s="112" t="inlineStr">
        <is>
          <t>#Confidencialidad, #Integridad, #Disponibilidad</t>
        </is>
      </c>
      <c r="E89" s="112" t="inlineStr">
        <is>
          <t>#Proteger</t>
        </is>
      </c>
      <c r="F89" s="38" t="inlineStr">
        <is>
          <t>#Seguridad_de_aplicaciones</t>
        </is>
      </c>
      <c r="G89" s="112" t="inlineStr">
        <is>
          <t>#Proteccion</t>
        </is>
      </c>
      <c r="H89" s="112" t="inlineStr">
        <is>
          <t>Obligatorio SEPS (Régimen General)</t>
        </is>
      </c>
      <c r="I89" s="112" t="inlineStr">
        <is>
          <t>-</t>
        </is>
      </c>
      <c r="J89" s="112" t="inlineStr">
        <is>
          <t>1. Regulatorio SEPS 002-2022 + ISO 27001</t>
        </is>
      </c>
      <c r="K89" s="112" t="inlineStr">
        <is>
          <t>Aplica</t>
        </is>
      </c>
      <c r="L89" s="112" t="inlineStr">
        <is>
          <t>Requerido por ente regulador SEPS</t>
        </is>
      </c>
    </row>
    <row r="90" ht="48" customHeight="1" s="106">
      <c r="A90" s="38" t="inlineStr">
        <is>
          <t>8.30</t>
        </is>
      </c>
      <c r="B90" s="112" t="inlineStr">
        <is>
          <t>Desarrollo externalizado</t>
        </is>
      </c>
      <c r="C90" s="112" t="inlineStr">
        <is>
          <t>#Preventivo</t>
        </is>
      </c>
      <c r="D90" s="112" t="inlineStr">
        <is>
          <t>#Confidencialidad, #Integridad, #Disponibilidad</t>
        </is>
      </c>
      <c r="E90" s="112" t="inlineStr">
        <is>
          <t>#Proteger</t>
        </is>
      </c>
      <c r="F90" s="38" t="inlineStr">
        <is>
          <t>#Seguridad_de_aplicaciones</t>
        </is>
      </c>
      <c r="G90" s="112" t="inlineStr">
        <is>
          <t>#Proteccion</t>
        </is>
      </c>
      <c r="H90" s="112" t="inlineStr">
        <is>
          <t>Mejor Práctica (No obligatorio SEPS)</t>
        </is>
      </c>
      <c r="I90" s="112" t="inlineStr">
        <is>
          <t>-</t>
        </is>
      </c>
      <c r="J90" s="112" t="inlineStr">
        <is>
          <t>4. No Aplica</t>
        </is>
      </c>
      <c r="K90" s="112" t="inlineStr">
        <is>
          <t>No Aplica</t>
        </is>
      </c>
      <c r="L90" s="112" t="inlineStr">
        <is>
          <t>Control 8.30 no es pertinente a los procesos actuales de la entidad</t>
        </is>
      </c>
    </row>
    <row r="91" ht="48" customHeight="1" s="106">
      <c r="A91" s="38" t="inlineStr">
        <is>
          <t>8.31</t>
        </is>
      </c>
      <c r="B91" s="112" t="inlineStr">
        <is>
          <t>Separación de entornos de desarrollo, pruebas y producción</t>
        </is>
      </c>
      <c r="C91" s="112" t="inlineStr">
        <is>
          <t>#Preventivo</t>
        </is>
      </c>
      <c r="D91" s="112" t="inlineStr">
        <is>
          <t>#Confidencialidad, #Integridad, #Disponibilidad</t>
        </is>
      </c>
      <c r="E91" s="112" t="inlineStr">
        <is>
          <t>#Proteger</t>
        </is>
      </c>
      <c r="F91" s="38" t="inlineStr">
        <is>
          <t>#Seguridad_de_sistemas_y_redes</t>
        </is>
      </c>
      <c r="G91" s="112" t="inlineStr">
        <is>
          <t>#Proteccion</t>
        </is>
      </c>
      <c r="H91" s="112" t="inlineStr">
        <is>
          <t>Obligatorio SEPS (Régimen General)</t>
        </is>
      </c>
      <c r="I91" s="112" t="inlineStr">
        <is>
          <t>-</t>
        </is>
      </c>
      <c r="J91" s="112" t="inlineStr">
        <is>
          <t>1. Regulatorio SEPS 002-2022 + ISO 27001</t>
        </is>
      </c>
      <c r="K91" s="112" t="inlineStr">
        <is>
          <t>Aplica</t>
        </is>
      </c>
      <c r="L91" s="112" t="inlineStr">
        <is>
          <t>Requerido por ente regulador SEPS</t>
        </is>
      </c>
    </row>
    <row r="92" ht="36" customHeight="1" s="106">
      <c r="A92" s="38" t="inlineStr">
        <is>
          <t>8.32</t>
        </is>
      </c>
      <c r="B92" s="112" t="inlineStr">
        <is>
          <t>Gestión de cambios</t>
        </is>
      </c>
      <c r="C92" s="112" t="inlineStr">
        <is>
          <t>#Preventivo</t>
        </is>
      </c>
      <c r="D92" s="112" t="inlineStr">
        <is>
          <t>#Confidencialidad, #Integridad, #Disponibilidad</t>
        </is>
      </c>
      <c r="E92" s="112" t="inlineStr">
        <is>
          <t>#Proteger</t>
        </is>
      </c>
      <c r="F92" s="38" t="inlineStr">
        <is>
          <t>#Seguridad_de_sistemas_y_redes</t>
        </is>
      </c>
      <c r="G92" s="112" t="inlineStr">
        <is>
          <t>#Proteccion</t>
        </is>
      </c>
      <c r="H92" s="112" t="inlineStr">
        <is>
          <t>Obligatorio SEPS (Régimen General)</t>
        </is>
      </c>
      <c r="I92" s="112" t="inlineStr">
        <is>
          <t>-</t>
        </is>
      </c>
      <c r="J92" s="112" t="inlineStr">
        <is>
          <t>1. Regulatorio SEPS 002-2022 + ISO 27001</t>
        </is>
      </c>
      <c r="K92" s="112" t="inlineStr">
        <is>
          <t>Aplica</t>
        </is>
      </c>
      <c r="L92" s="112" t="inlineStr">
        <is>
          <t>Requerido por ente regulador SEPS</t>
        </is>
      </c>
    </row>
    <row r="93" ht="36" customHeight="1" s="106">
      <c r="A93" s="38" t="inlineStr">
        <is>
          <t>8.33</t>
        </is>
      </c>
      <c r="B93" s="112" t="inlineStr">
        <is>
          <t>Información de prueba</t>
        </is>
      </c>
      <c r="C93" s="112" t="inlineStr">
        <is>
          <t>#Preventivo</t>
        </is>
      </c>
      <c r="D93" s="112" t="inlineStr">
        <is>
          <t>#Confidencialidad, #Integridad, #Disponibilidad</t>
        </is>
      </c>
      <c r="E93" s="112" t="inlineStr">
        <is>
          <t>#Proteger</t>
        </is>
      </c>
      <c r="F93" s="38" t="inlineStr">
        <is>
          <t>#Seguridad_de_aplicaciones</t>
        </is>
      </c>
      <c r="G93" s="112" t="inlineStr">
        <is>
          <t>#Proteccion</t>
        </is>
      </c>
      <c r="H93" s="112" t="inlineStr">
        <is>
          <t>Obligatorio SEPS (Régimen General)</t>
        </is>
      </c>
      <c r="I93" s="112" t="inlineStr">
        <is>
          <t>-</t>
        </is>
      </c>
      <c r="J93" s="112" t="inlineStr">
        <is>
          <t>1. Regulatorio SEPS 002-2022 + ISO 27001</t>
        </is>
      </c>
      <c r="K93" s="112" t="inlineStr">
        <is>
          <t>Aplica</t>
        </is>
      </c>
      <c r="L93" s="112" t="inlineStr">
        <is>
          <t>Requerido por ente regulador SEPS</t>
        </is>
      </c>
    </row>
    <row r="94" ht="60" customHeight="1" s="106">
      <c r="A94" s="38" t="inlineStr">
        <is>
          <t>8.34</t>
        </is>
      </c>
      <c r="B94" s="112" t="inlineStr">
        <is>
          <t>Protección de los sistemas de información durante las pruebas de auditoría</t>
        </is>
      </c>
      <c r="C94" s="112" t="inlineStr">
        <is>
          <t>#Preventivo</t>
        </is>
      </c>
      <c r="D94" s="112" t="inlineStr">
        <is>
          <t>#Confidencialidad, #Integridad, #Disponibilidad</t>
        </is>
      </c>
      <c r="E94" s="112" t="inlineStr">
        <is>
          <t>#Proteger</t>
        </is>
      </c>
      <c r="F94" s="38" t="inlineStr">
        <is>
          <t>#Seguridad_de_sistemas_y_redes</t>
        </is>
      </c>
      <c r="G94" s="112" t="inlineStr">
        <is>
          <t>#Proteccion</t>
        </is>
      </c>
      <c r="H94" s="112" t="inlineStr">
        <is>
          <t>Mejor Práctica (No obligatorio SEPS)</t>
        </is>
      </c>
      <c r="I94" s="112" t="inlineStr">
        <is>
          <t>-</t>
        </is>
      </c>
      <c r="J94" s="112" t="inlineStr">
        <is>
          <t>3. Tratamiento de Riesgos Específico (ISO 27002 / MAGERIT)</t>
        </is>
      </c>
      <c r="K94" s="112" t="inlineStr">
        <is>
          <t>No Aplica</t>
        </is>
      </c>
      <c r="L94" s="112" t="inlineStr">
        <is>
          <t>No aplicable a la arquitectura/infraestructura actual</t>
        </is>
      </c>
    </row>
  </sheetData>
  <autoFilter ref="A1:L9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94"/>
  <sheetViews>
    <sheetView topLeftCell="D1" zoomScale="93" zoomScaleNormal="93" workbookViewId="0">
      <selection activeCell="I90" sqref="I90"/>
    </sheetView>
  </sheetViews>
  <sheetFormatPr baseColWidth="10" defaultColWidth="8.6640625" defaultRowHeight="11.25"/>
  <cols>
    <col width="9.6640625" customWidth="1" style="33" min="1" max="1"/>
    <col width="35.1640625" customWidth="1" style="112"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91" min="9" max="9"/>
    <col width="17.5" customWidth="1" style="106" min="10" max="10"/>
    <col width="19.1640625" customWidth="1" style="106" min="11" max="11"/>
    <col width="18" customWidth="1" style="106" min="12" max="12"/>
    <col width="13.83203125" customWidth="1" style="106" min="13" max="13"/>
    <col width="14.6640625" customWidth="1" style="106" min="14" max="14"/>
  </cols>
  <sheetData>
    <row r="1" ht="33.75" customHeight="1" s="106">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92"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6">
      <c r="A2" s="33">
        <f>'ANEXO A'!A2</f>
        <v/>
      </c>
      <c r="B2" s="112">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91" t="inlineStr">
        <is>
          <t>6.1. Políticas Generales - Establecer directrices de seguridad (GSO-GSI-MP-GSI)</t>
        </is>
      </c>
    </row>
    <row r="3" ht="33.75" customHeight="1" s="106">
      <c r="A3" s="33">
        <f>'ANEXO A'!A3</f>
        <v/>
      </c>
      <c r="B3" s="112">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91" t="inlineStr">
        <is>
          <t>6.1 Políticas Generales / Sec. 12 SEPS 002: Definir, asignar y comunicar formalmente las funciones del Oficial/Jefe de SI, custodios y comités (GSO-GSI-MP-GSI / SEPS-2022-002).</t>
        </is>
      </c>
    </row>
    <row r="4" ht="33.75" customHeight="1" s="106">
      <c r="A4" s="33">
        <f>'ANEXO A'!A4</f>
        <v/>
      </c>
      <c r="B4" s="112">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91" t="inlineStr">
        <is>
          <t>6.7 Administración de roles y perfiles: Parametrizar y validar incompatibilidad de funciones y accesos mediante matrices SoD y workflows (GSO-GSI-MP-GSI).</t>
        </is>
      </c>
    </row>
    <row r="5" ht="33.75" customHeight="1" s="106">
      <c r="A5" s="33">
        <f>'ANEXO A'!A5</f>
        <v/>
      </c>
      <c r="B5" s="112">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91" t="inlineStr">
        <is>
          <t>6.1 Políticas Generales / Sec. 12 SEPS 002: Compromiso de la Alta Dirección y jefaturas en la exigencia y cumplimiento de políticas de SI (GSO-GSI-MP-GSI / SEPS-2022-002).</t>
        </is>
      </c>
    </row>
    <row r="6" ht="45" customHeight="1" s="106">
      <c r="A6" s="33">
        <f>'ANEXO A'!A6</f>
        <v/>
      </c>
      <c r="B6" s="112">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91" t="inlineStr">
        <is>
          <t>Disposición General 1era SEPS 002 / 6.15 Gestión de Incidentes: Notificación obligatoria e inmediata a la SEPS, Fiscalía y entes de control ante eventos críticos (SEPS-2022-002 / GSO-GSI-MP-GSI).</t>
        </is>
      </c>
    </row>
    <row r="7" ht="45" customHeight="1" s="106">
      <c r="A7" s="33">
        <f>'ANEXO A'!A7</f>
        <v/>
      </c>
      <c r="B7" s="112">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91" t="inlineStr">
        <is>
          <t>Marco Normativo y Alianzas: Mantener membresías, foros y canales de comunicación técnica con asociaciones del sector financiero popular y solidario (ISO 27002 / GSO-GSI-MP-GSI).</t>
        </is>
      </c>
    </row>
    <row r="8" ht="33.75" customHeight="1" s="106">
      <c r="A8" s="33">
        <f>'ANEXO A'!A8</f>
        <v/>
      </c>
      <c r="B8" s="112">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91" t="inlineStr">
        <is>
          <t>10.2 Metodología GAI / 6.19 Escaneo: Recopilación y análisis de fuentes de amenazas adversarias y no adversarias (S1-S40) (GSO-GSI-ME-GAI / GSO-GSI-MP-GSI).</t>
        </is>
      </c>
    </row>
    <row r="9" ht="45" customHeight="1" s="106">
      <c r="A9" s="33">
        <f>'ANEXO A'!A9</f>
        <v/>
      </c>
      <c r="B9" s="112">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91" t="inlineStr">
        <is>
          <t>6.13 Gestión de activos / Anexo 1 SEPS: Inclusión de directrices y análisis de riesgos de SI desde las fases iniciales de nuevos proyectos y servicios (GSO-GSI-ME-GAI / SEPS-2022-002).</t>
        </is>
      </c>
    </row>
    <row r="10" ht="22.5" customHeight="1" s="106">
      <c r="A10" s="33">
        <f>'ANEXO A'!A10</f>
        <v/>
      </c>
      <c r="B10" s="112">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91" t="inlineStr">
        <is>
          <t>6.13. Gestión de activos de información - Mantener un inventario actualizado (GSO-GSI-MP-GSI)</t>
        </is>
      </c>
    </row>
    <row r="11" ht="33.75" customHeight="1" s="106">
      <c r="A11" s="33">
        <f>'ANEXO A'!A11</f>
        <v/>
      </c>
      <c r="B11" s="112">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91" t="inlineStr">
        <is>
          <t>6.16 Revisión y monitoreo de políticas: Difundir y fiscalizar el uso legítimo de estaciones, correo y recursos corporativos (GSO-GSI-MP-GSI).</t>
        </is>
      </c>
    </row>
    <row r="12" ht="33.75" customHeight="1" s="106">
      <c r="A12" s="33">
        <f>'ANEXO A'!A12</f>
        <v/>
      </c>
      <c r="B12" s="112">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91" t="inlineStr">
        <is>
          <t>6.5 Eliminación de usuarios: Recepción formal y descargo de equipos, accesos y credenciales ante terminación o rotación laboral (GSO-GSI-MP-GSI / GSO-GSI-ME-GAI Sec. 1).</t>
        </is>
      </c>
    </row>
    <row r="13" ht="33.75" customHeight="1" s="106">
      <c r="A13" s="33">
        <f>'ANEXO A'!A13</f>
        <v/>
      </c>
      <c r="B13" s="112">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91" t="inlineStr">
        <is>
          <t>Sec. 7 y 8 Metodología GAI: Clasificación y valoración de activos en Confidencialidad, Integridad y Disponibilidad (Pública, Uso Interno, Restringida) (GSO-GSI-ME-GAI).</t>
        </is>
      </c>
    </row>
    <row r="14" ht="33.75" customHeight="1" s="106">
      <c r="A14" s="33">
        <f>'ANEXO A'!A14</f>
        <v/>
      </c>
      <c r="B14" s="112">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91" t="inlineStr">
        <is>
          <t>Sec. 5 y 7 Metodología GAI: Aplicación de lineamientos para marcado y rotulado de información física y digital según su confidencialidad (GSO-GSI-ME-GAI).</t>
        </is>
      </c>
    </row>
    <row r="15" ht="33.75" customHeight="1" s="106">
      <c r="A15" s="33">
        <f>'ANEXO A'!A15</f>
        <v/>
      </c>
      <c r="B15" s="112">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91" t="inlineStr">
        <is>
          <t>6.9 Control de acceso FTP / Acuerdos: Procedimientos seguros de transmisión de datos cifrados interna y externamente vía canales autorizados (GSO-GSI-MP-GSI).</t>
        </is>
      </c>
    </row>
    <row r="16" ht="22.5" customHeight="1" s="106">
      <c r="A16" s="33">
        <f>'ANEXO A'!A16</f>
        <v/>
      </c>
      <c r="B16" s="112">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91" t="inlineStr">
        <is>
          <t>6.2. Creación de nuevos usuarios - Asignación de usuarios y roles según GSO-GSI-MP-GSI</t>
        </is>
      </c>
    </row>
    <row r="17" ht="22.5" customHeight="1" s="106">
      <c r="A17" s="33">
        <f>'ANEXO A'!A17</f>
        <v/>
      </c>
      <c r="B17" s="112">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91" t="inlineStr">
        <is>
          <t>6.2. Creación de nuevos usuarios - Asignación de usuarios y roles según GSO-GSI-MP-GSI</t>
        </is>
      </c>
    </row>
    <row r="18" ht="33.75" customHeight="1" s="106">
      <c r="A18" s="33">
        <f>'ANEXO A'!A18</f>
        <v/>
      </c>
      <c r="B18" s="112">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91" t="inlineStr">
        <is>
          <t>6.11. Cambio de claves de cuentas críticas - Renovar periódicamente las contraseñas (GSO-GSI-MP-GSI)</t>
        </is>
      </c>
    </row>
    <row r="19" ht="45" customHeight="1" s="106">
      <c r="A19" s="33">
        <f>'ANEXO A'!A19</f>
        <v/>
      </c>
      <c r="B19" s="112">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91" t="inlineStr">
        <is>
          <t>6.10. Revisión periódica de roles y usuarios - Control y auditoría de accesos (GSO-GSI-MP-GSI)</t>
        </is>
      </c>
    </row>
    <row r="20" ht="45" customHeight="1" s="106">
      <c r="A20" s="33">
        <f>'ANEXO A'!A20</f>
        <v/>
      </c>
      <c r="B20" s="112">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91" t="inlineStr">
        <is>
          <t>6.19 Escaneo / Disp. General 2da SEPS 002: Evaluación periódica de riesgos de seguridad y solicitud de auditorías a prestadores de servicios (SEPS-2022-002 / GSO-GSI-MP-GSI).</t>
        </is>
      </c>
    </row>
    <row r="21" ht="33.75" customHeight="1" s="106">
      <c r="A21" s="33">
        <f>'ANEXO A'!A21</f>
        <v/>
      </c>
      <c r="B21" s="112">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91" t="inlineStr">
        <is>
          <t>Disp. General 3era SEPS 002: Incorporación obligatoria de cláusulas de seguridad de la información, protección de datos y confidencialidad en contratos (SEPS-2022-002).</t>
        </is>
      </c>
    </row>
    <row r="22" ht="33.75" customHeight="1" s="106">
      <c r="A22" s="33">
        <f>'ANEXO A'!A22</f>
        <v/>
      </c>
      <c r="B22" s="112">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91" t="inlineStr">
        <is>
          <t>Anexo 1 SEPS 002: Evaluación de procedencia, confiabilidad y riesgos en la adquisición de hardware, software y suministros de TIC (SEPS-2022-002).</t>
        </is>
      </c>
    </row>
    <row r="23" ht="33.75" customHeight="1" s="106">
      <c r="A23" s="33">
        <f>'ANEXO A'!A23</f>
        <v/>
      </c>
      <c r="B23" s="112">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91" t="inlineStr">
        <is>
          <t>Anexo 1 SEPS 002 / Disp. General 2da: Supervisión continua de ANS (SLA) y auditoría a cambios técnicos en plataformas provistas por terceros (SEPS-2022-002).</t>
        </is>
      </c>
    </row>
    <row r="24" ht="33.75" customHeight="1" s="106">
      <c r="A24" s="33">
        <f>'ANEXO A'!A24</f>
        <v/>
      </c>
      <c r="B24" s="112">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91" t="inlineStr">
        <is>
          <t>6.2 Azure / 6.12 MyHSM: Gestión de configuraciones, segregación y control de llaves y servicios en esquemas SaaS/PaaS (GSO-GSI-MP-GSI).</t>
        </is>
      </c>
    </row>
    <row r="25" ht="22.5" customHeight="1" s="106">
      <c r="A25" s="33">
        <f>'ANEXO A'!A25</f>
        <v/>
      </c>
      <c r="B25" s="112">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91" t="inlineStr">
        <is>
          <t>6.15. Gestión de incidentes de seguridad de la información - Planificación de respuesta (GSO-GSI-MP-GSI)</t>
        </is>
      </c>
    </row>
    <row r="26" ht="33.75" customHeight="1" s="106">
      <c r="A26" s="33">
        <f>'ANEXO A'!A26</f>
        <v/>
      </c>
      <c r="B26" s="112">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91" t="inlineStr">
        <is>
          <t>6.15 Gestión de incidentes (Act. 2 y 3): Análisis, categorización, clasificación y registro de eventos y riesgos en el sistema RDS (GSO-GSI-MP-GSI).</t>
        </is>
      </c>
    </row>
    <row r="27" ht="33.75" customHeight="1" s="106">
      <c r="A27" s="33">
        <f>'ANEXO A'!A27</f>
        <v/>
      </c>
      <c r="B27" s="112">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91" t="inlineStr">
        <is>
          <t>6.15 Gestión de incidentes (Act. 3, 4 y 5): Ejecución de acciones de contención, mitigación y escalamiento a Gerencia y Comité de Seguridad (GSO-GSI-MP-GSI).</t>
        </is>
      </c>
    </row>
    <row r="28" ht="33.75" customHeight="1" s="106">
      <c r="A28" s="33">
        <f>'ANEXO A'!A28</f>
        <v/>
      </c>
      <c r="B28" s="112">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91" t="inlineStr">
        <is>
          <t>6.15 Gestión de incidentes (Act. 7 y 8): Análisis de causa raíz, actualización de controles y enriquecimiento del Plan Anual de SI (GSO-GSI-MP-GSI).</t>
        </is>
      </c>
    </row>
    <row r="29" ht="33.75" customHeight="1" s="106">
      <c r="A29" s="33">
        <f>'ANEXO A'!A29</f>
        <v/>
      </c>
      <c r="B29" s="112">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91" t="inlineStr">
        <is>
          <t>6.14 Auditoría BD / 6.15 Incidentes: Preservación de logs, pistas de auditoría y cadena de custodia técnica (GSO-GSI-MP-GSI / ISO 27002).</t>
        </is>
      </c>
    </row>
    <row r="30" ht="45" customHeight="1" s="106">
      <c r="A30" s="33">
        <f>'ANEXO A'!A30</f>
        <v/>
      </c>
      <c r="B30" s="112">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91" t="inlineStr">
        <is>
          <t>Anexo 1 SEPS / DRP: Mantenimiento de las salvaguardas de confidencialidad e integridad durante la activación de contingencias (SEPS-2022-002 / ISO 27001).</t>
        </is>
      </c>
    </row>
    <row r="31" ht="33.75" customHeight="1" s="106">
      <c r="A31" s="33">
        <f>'ANEXO A'!A31</f>
        <v/>
      </c>
      <c r="B31" s="112">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91" t="inlineStr">
        <is>
          <t>Anexo 1 SEPS (Planes de Contingencia): Definición y pruebas periódicas de RTO/RPO y continuidad en infraestructura tecnológica (SEPS-2022-002).</t>
        </is>
      </c>
    </row>
    <row r="32" ht="33.75" customHeight="1" s="106">
      <c r="A32" s="33">
        <f>'ANEXO A'!A32</f>
        <v/>
      </c>
      <c r="B32" s="112">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91" t="inlineStr">
        <is>
          <t>Sec. 3 Marco Normativo SEPS 002: Mapeo y cumplimiento sistemático del marco legal (SEPS, LOPDP, ISO 27001) (GSO-GSI-MP-GSI / SEPS-2022-002).</t>
        </is>
      </c>
    </row>
    <row r="33" ht="33.75" customHeight="1" s="106">
      <c r="A33" s="33">
        <f>'ANEXO A'!A33</f>
        <v/>
      </c>
      <c r="B33" s="112">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91" t="inlineStr">
        <is>
          <t>6.13 Gestión de activos / Anexo 1 SEPS: Control y verificación de licenciamiento de software y restricción de uso no autorizado (GSO-GSI-ME-GAI / SEPS-2022-002).</t>
        </is>
      </c>
    </row>
    <row r="34" ht="33.75" customHeight="1" s="106">
      <c r="A34" s="33">
        <f>'ANEXO A'!A34</f>
        <v/>
      </c>
      <c r="B34" s="112">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91" t="inlineStr">
        <is>
          <t>6.1 Políticas / 6.14 Auditoría BD: Custodia, retención y protección física y lógica de bitácoras, actas y registros digitales (GSO-GSI-MP-GSI).</t>
        </is>
      </c>
    </row>
    <row r="35" ht="33.75" customHeight="1" s="106">
      <c r="A35" s="33">
        <f>'ANEXO A'!A35</f>
        <v/>
      </c>
      <c r="B35" s="112">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91" t="inlineStr">
        <is>
          <t>6.17 Escaneo PCI DSS / LOPDP: Tratamiento lícito, enmascaramiento y resguardo de datos personales y tarjetahabientes (GSO-GSI-MP-GSI / SEPS-2022-002).</t>
        </is>
      </c>
    </row>
    <row r="36" ht="33.75" customHeight="1" s="106">
      <c r="A36" s="33">
        <f>'ANEXO A'!A36</f>
        <v/>
      </c>
      <c r="B36" s="112">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91" t="inlineStr">
        <is>
          <t>6.2 Controles / Sec. 12 SEPS 002: Auditorías informáticas internas y externas anuales al SGSI (GSO-GSI-MP-GSI / SEPS-2022-002).</t>
        </is>
      </c>
    </row>
    <row r="37" ht="33.75" customHeight="1" s="106">
      <c r="A37" s="33">
        <f>'ANEXO A'!A37</f>
        <v/>
      </c>
      <c r="B37" s="112">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91" t="inlineStr">
        <is>
          <t>6.16 Revisión y monitoreo: Ejecución de checklist semestral y elaboración de informe de cumplimiento de políticas (GSO-GSI-MP-GSI).</t>
        </is>
      </c>
    </row>
    <row r="38" ht="33.75" customHeight="1" s="106">
      <c r="A38" s="33">
        <f>'ANEXO A'!A38</f>
        <v/>
      </c>
      <c r="B38" s="112">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91" t="inlineStr">
        <is>
          <t>Sec. 6 Procedimientos Operativos GSI: Elaboración, actualización y formalización de manuales e instructivos de seguridad (GSO-GSI-MP-GSI).</t>
        </is>
      </c>
    </row>
    <row r="39" ht="33.75" customHeight="1" s="106">
      <c r="A39" s="33">
        <f>'ANEXO A'!A39</f>
        <v/>
      </c>
      <c r="B39" s="112">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91" t="inlineStr">
        <is>
          <t>6.2 Creación de nuevos usuarios (GTH): Validación previa de antecedentes laborales, penales y académicos por Talento Humano (GSO-GSI-MP-GSI / GTH-IDP).</t>
        </is>
      </c>
    </row>
    <row r="40" ht="33.75" customHeight="1" s="106">
      <c r="A40" s="33">
        <f>'ANEXO A'!A40</f>
        <v/>
      </c>
      <c r="B40" s="112">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91" t="inlineStr">
        <is>
          <t>6.2 Políticas Específicas / GTH: Inclusión contractual de responsabilidades de seguridad y deber de sigilo institucional (GSO-GSI-MP-GSI / SEPS-2022-002).</t>
        </is>
      </c>
    </row>
    <row r="41" ht="33.75" customHeight="1" s="106">
      <c r="A41" s="33">
        <f>'ANEXO A'!A41</f>
        <v/>
      </c>
      <c r="B41" s="112">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91" t="inlineStr">
        <is>
          <t>Anexo 1 SEPS 002 (Cultura de SI): Ejecución del plan anual de capacitación y evaluación de efectividad/madurez en seguridad (SEPS-2022-002).</t>
        </is>
      </c>
    </row>
    <row r="42" ht="33.75" customHeight="1" s="106">
      <c r="A42" s="33">
        <f>'ANEXO A'!A42</f>
        <v/>
      </c>
      <c r="B42" s="112">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91" t="inlineStr">
        <is>
          <t>6.4 Políticas / Reglamento Interno: Aplicación de sanciones ante reincidencia en bloqueos, negligencia o vulneración de políticas de SI (GSO-GSI-MP-GSI).</t>
        </is>
      </c>
    </row>
    <row r="43" ht="33.75" customHeight="1" s="106">
      <c r="A43" s="33">
        <f>'ANEXO A'!A43</f>
        <v/>
      </c>
      <c r="B43" s="112">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91" t="inlineStr">
        <is>
          <t>6.3 Modificación / 6.5 Eliminación de usuarios: Suscripción de acuerdos de confidencialidad permanentes y revocación de accesos al cesar funciones (GSO-GSI-MP-GSI).</t>
        </is>
      </c>
    </row>
    <row r="44" ht="33.75" customHeight="1" s="106">
      <c r="A44" s="33">
        <f>'ANEXO A'!A44</f>
        <v/>
      </c>
      <c r="B44" s="112">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91" t="inlineStr">
        <is>
          <t>6.2 Creación (Equifax/Aval) / GTH: Firma obligatoria de convenios de confidencialidad por colaboradores y terceros (GSO-GSI-MP-GSI).</t>
        </is>
      </c>
    </row>
    <row r="45" ht="33.75" customHeight="1" s="106">
      <c r="A45" s="33">
        <f>'ANEXO A'!A45</f>
        <v/>
      </c>
      <c r="B45" s="112">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91" t="inlineStr">
        <is>
          <t>6.2 VPN Directorio Activo: Uso obligatorio de VPN corporativa y autenticación multifactor para accesos remotos autorizados (GSO-GSI-MP-GSI)</t>
        </is>
      </c>
    </row>
    <row r="46" ht="33.75" customHeight="1" s="106">
      <c r="A46" s="33">
        <f>'ANEXO A'!A46</f>
        <v/>
      </c>
      <c r="B46" s="112">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91" t="inlineStr">
        <is>
          <t>6.15 Gestión de incidentes (Act. 1): Canalización formal vía Service Desk y correo de cualquier evento o anomalía detectada (GSO-GSI-MP-GSI).</t>
        </is>
      </c>
    </row>
    <row r="47" ht="33.75" customHeight="1" s="106">
      <c r="A47" s="33">
        <f>'ANEXO A'!A47</f>
        <v/>
      </c>
      <c r="B47" s="112">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91" t="inlineStr">
        <is>
          <t>Anexo 1 SEPS 002 (Seguridad Física): Delimitación perimetral, puertas de seguridad y áreas de data center con acceso restringido (SEPS-2022-002).</t>
        </is>
      </c>
    </row>
    <row r="48" ht="33.75" customHeight="1" s="106">
      <c r="A48" s="33">
        <f>'ANEXO A'!A48</f>
        <v/>
      </c>
      <c r="B48" s="112">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91" t="inlineStr">
        <is>
          <t>Anexo 1 SEPS 002 / GAD: Control biométrico, tarjetas de proximidad y registro bitacorizado de visitantes (SEPS-2022-002).</t>
        </is>
      </c>
    </row>
    <row r="49" ht="33.75" customHeight="1" s="106">
      <c r="A49" s="33">
        <f>'ANEXO A'!A49</f>
        <v/>
      </c>
      <c r="B49" s="112">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91" t="inlineStr">
        <is>
          <t>Anexo 1 SEPS 002: Protección de zonas sensibles y aislamiento físico de áreas de procesamiento crítico (SEPS-2022-002).</t>
        </is>
      </c>
    </row>
    <row r="50" ht="33.75" customHeight="1" s="106">
      <c r="A50" s="33">
        <f>'ANEXO A'!A50</f>
        <v/>
      </c>
      <c r="B50" s="112">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91" t="inlineStr">
        <is>
          <t>Anexo 1 SEPS 002 / CCTV: Monitoreo y grabación permanente mediante Circuito Cerrado de Televisión y sensores de alarma (SEPS-2022-002).</t>
        </is>
      </c>
    </row>
    <row r="51" ht="45" customHeight="1" s="106">
      <c r="A51" s="33">
        <f>'ANEXO A'!A51</f>
        <v/>
      </c>
      <c r="B51" s="112">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91" t="inlineStr">
        <is>
          <t>Sec. 10.2.1 Metodología GAI (S31-S40): Sistemas de detección y extinción de incendios (FM200/gas), sensores de inundación y pararrayos (GSO-GSI-ME-GAI / SEPS-2022-002).</t>
        </is>
      </c>
    </row>
    <row r="52" ht="33.75" customHeight="1" s="106">
      <c r="A52" s="33">
        <f>'ANEXO A'!A52</f>
        <v/>
      </c>
      <c r="B52" s="112">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91" t="inlineStr">
        <is>
          <t>6.11 Claves críticas / 6.12 Llaves: Procedimientos restringidos para custodia de cajas fuertes y zonas de cifrado bajo estricto control (GSO-GSI-MP-GSI).</t>
        </is>
      </c>
    </row>
    <row r="53" ht="33.75" customHeight="1" s="106">
      <c r="A53" s="33">
        <f>'ANEXO A'!A53</f>
        <v/>
      </c>
      <c r="B53" s="112">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91" t="inlineStr">
        <is>
          <t>6.16 Revisión y monitoreo de políticas: Bloqueo automático de estación por inactividad y resguardo bajo llave de documentos físicos (GSO-GSI-MP-GSI).</t>
        </is>
      </c>
    </row>
    <row r="54" ht="33.75" customHeight="1" s="106">
      <c r="A54" s="33">
        <f>'ANEXO A'!A54</f>
        <v/>
      </c>
      <c r="B54" s="112">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91" t="inlineStr">
        <is>
          <t>6.13 Gestión de activos / TI: Ubicación de servidores y racks en centros de datos con control de clima y energía (GSO-GSI-ME-GAI / SEPS-2022-002).</t>
        </is>
      </c>
    </row>
    <row r="55" ht="33.75" customHeight="1" s="106">
      <c r="A55" s="33">
        <f>'ANEXO A'!A55</f>
        <v/>
      </c>
      <c r="B55" s="112">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91" t="inlineStr">
        <is>
          <t>6.1 Políticas Generales (Item 4): Equipos portátiles integrados al Directorio Activo, antivirus y cifrado de disco (GSO-GSI-MP-GSI).</t>
        </is>
      </c>
    </row>
    <row r="56" ht="33.75" customHeight="1" s="106">
      <c r="A56" s="33">
        <f>'ANEXO A'!A56</f>
        <v/>
      </c>
      <c r="B56" s="112">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91" t="inlineStr">
        <is>
          <t>6.9 FTP / 6.13 Activos: Control y restricción de medios extraíbles (USB/discos) y almacenamiento de backups (GSO-GSI-MP-GSI / GSO-GSI-ME-GAI).</t>
        </is>
      </c>
    </row>
    <row r="57" ht="33.75" customHeight="1" s="106">
      <c r="A57" s="33">
        <f>'ANEXO A'!A57</f>
        <v/>
      </c>
      <c r="B57" s="112">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91" t="inlineStr">
        <is>
          <t>Sec. 10.2.1 Metodología GAI (S32-S33): Respaldo eléctrico mediante UPS redundantes y generador eléctrico (GSO-GSI-ME-GAI / SEPS-2022-002).</t>
        </is>
      </c>
    </row>
    <row r="58" ht="33.75" customHeight="1" s="106">
      <c r="A58" s="33">
        <f>'ANEXO A'!A58</f>
        <v/>
      </c>
      <c r="B58" s="112">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91" t="inlineStr">
        <is>
          <t>Anexo 1 SEPS (Infraestructura): Cableado estructurado canalizado, ordenado y protegido en ductos cerrados (SEPS-2022-002).</t>
        </is>
      </c>
    </row>
    <row r="59" ht="33.75" customHeight="1" s="106">
      <c r="A59" s="33">
        <f>'ANEXO A'!A59</f>
        <v/>
      </c>
      <c r="B59" s="112">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91" t="inlineStr">
        <is>
          <t>6.19 Escaneo / Plan TI: Mantenimiento preventivo y correctivo periódico a infraestructura bajo bitácora y supervisión (GSO-GSI-MP-GSI / SEPS-2022-002).</t>
        </is>
      </c>
    </row>
    <row r="60" ht="33.75" customHeight="1" s="106">
      <c r="A60" s="33">
        <f>'ANEXO A'!A60</f>
        <v/>
      </c>
      <c r="B60" s="112">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91" t="inlineStr">
        <is>
          <t>Sec. 1 Metodología GAI / Bajas TI: Borrado seguro de medios de almacenamiento y desmagnetización/destrucción de discos dados de baja (GSO-GSI-ME-GAI / ISO 27002).</t>
        </is>
      </c>
    </row>
    <row r="61" ht="33.75" customHeight="1" s="106">
      <c r="A61" s="33">
        <f>'ANEXO A'!A61</f>
        <v/>
      </c>
      <c r="B61" s="112">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91" t="inlineStr">
        <is>
          <t>6.1 Políticas Generales (Item 4) / 6.16: Gestión unificada por Directorio Activo, políticas GPO y monitoreo de terminales (GSO-GSI-MP-GSI).</t>
        </is>
      </c>
    </row>
    <row r="62" ht="22.5" customHeight="1" s="106">
      <c r="A62" s="33">
        <f>'ANEXO A'!A62</f>
        <v/>
      </c>
      <c r="B62" s="112">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91" t="inlineStr">
        <is>
          <t>6.7. Administración de roles y perfiles - Control de acceso privilegiado (GSO-GSI-MP-GSI)</t>
        </is>
      </c>
    </row>
    <row r="63" ht="22.5" customHeight="1" s="106">
      <c r="A63" s="33">
        <f>'ANEXO A'!A63</f>
        <v/>
      </c>
      <c r="B63" s="112">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91" t="inlineStr">
        <is>
          <t>6.4. Bloqueo y Desbloqueo de usuarios / 6.5 Eliminación de usuarios (GSO-GSI-MP-GSI)</t>
        </is>
      </c>
    </row>
    <row r="64" ht="45" customHeight="1" s="106">
      <c r="A64" s="33">
        <f>'ANEXO A'!A64</f>
        <v/>
      </c>
      <c r="B64" s="112">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91" t="inlineStr">
        <is>
          <t>Anexo 1 SEPS (Desarrollo): Restricción y control de repositorios de software y herramientas de desarrollo bajo mínima asignación de privilegios (SEPS-2022-002 / ISO 27002).</t>
        </is>
      </c>
    </row>
    <row r="65" ht="33.75" customHeight="1" s="106">
      <c r="A65" s="33">
        <f>'ANEXO A'!A65</f>
        <v/>
      </c>
      <c r="B65" s="112">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91" t="inlineStr">
        <is>
          <t>6.4 Bloqueo / 6.2 MFA Azure: Implementación de contraseñas robustas, bloqueo por intentos fallidos y autenticación multifactor (GSO-GSI-MP-GSI).</t>
        </is>
      </c>
    </row>
    <row r="66" ht="33.75" customHeight="1" s="106">
      <c r="A66" s="33">
        <f>'ANEXO A'!A66</f>
        <v/>
      </c>
      <c r="B66" s="112">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91" t="inlineStr">
        <is>
          <t>6.14 Auditoría BD (Pol. 5): Monitoreo semestral del consumo de recursos, almacenamiento y rendimiento de base de datos y Core (GSO-GSI-MP-GSI).</t>
        </is>
      </c>
    </row>
    <row r="67" ht="33.75" customHeight="1" s="106">
      <c r="A67" s="33">
        <f>'ANEXO A'!A67</f>
        <v/>
      </c>
      <c r="B67" s="112">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91" t="inlineStr">
        <is>
          <t>6.11 Cuentas Críticas (Antivirus/AntiSpam): Administración centralizada de consola antivirus, filtros antispam y actualización de firmas (GSO-GSI-MP-GSI).</t>
        </is>
      </c>
    </row>
    <row r="68" ht="45" customHeight="1" s="106">
      <c r="A68" s="33">
        <f>'ANEXO A'!A68</f>
        <v/>
      </c>
      <c r="B68" s="112">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91" t="inlineStr">
        <is>
          <t>6.19. Escaneo de vulnerabilidades internas y externas - Mantenimiento de software (GSO-GSI-MP-GSI)</t>
        </is>
      </c>
    </row>
    <row r="69" ht="45" customHeight="1" s="106">
      <c r="A69" s="33">
        <f>'ANEXO A'!A69</f>
        <v/>
      </c>
      <c r="B69" s="112">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91" t="inlineStr">
        <is>
          <t>Anexo 1 SEPS 002 (Configuración): Establecimiento y auditoría de líneas base seguras (Hardening) en servidores, BD y comunicaciones (SEPS-2022-002).</t>
        </is>
      </c>
    </row>
    <row r="70" ht="33.75" customHeight="1" s="106">
      <c r="A70" s="33">
        <f>'ANEXO A'!A70</f>
        <v/>
      </c>
      <c r="B70" s="112">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91" t="inlineStr">
        <is>
          <t>6.5 Eliminación de usuarios / Retención: Expiración de productos/roles y purga segura de archivos temporales (GSO-GSI-MP-GSI / ISO 27002).</t>
        </is>
      </c>
    </row>
    <row r="71" ht="33.75" customHeight="1" s="106">
      <c r="A71" s="33">
        <f>'ANEXO A'!A71</f>
        <v/>
      </c>
      <c r="B71" s="112">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91" t="inlineStr">
        <is>
          <t>6.17 Escaneo PCI DSS (Pol. 3-6): Truncamiento y ofuscación del PAN (visibilidad máx. primeros 6 y últimos 4 dígitos) (GSO-GSI-MP-GSI).</t>
        </is>
      </c>
    </row>
    <row r="72" ht="33.75" customHeight="1" s="106">
      <c r="A72" s="33">
        <f>'ANEXO A'!A72</f>
        <v/>
      </c>
      <c r="B72" s="112">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91" t="inlineStr">
        <is>
          <t>6.9 Control FTP / 6.17 PCI DSS: Restricción de descargas masivas, monitoreo de canales de salida y bloqueo de fuga de información crítica (GSO-GSI-MP-GSI).</t>
        </is>
      </c>
    </row>
    <row r="73" ht="45" customHeight="1" s="106">
      <c r="A73" s="33">
        <f>'ANEXO A'!A73</f>
        <v/>
      </c>
      <c r="B73" s="112">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91" t="inlineStr">
        <is>
          <t>Anexo 1 SEPS 002 (Respaldos): Resguardo periódico automatizado de BD y aplicativos, y pruebas semestrales de restauración (SEPS-2022-002).</t>
        </is>
      </c>
    </row>
    <row r="74" ht="33.75" customHeight="1" s="106">
      <c r="A74" s="33">
        <f>'ANEXO A'!A74</f>
        <v/>
      </c>
      <c r="B74" s="112">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91" t="inlineStr">
        <is>
          <t>Anexo 1 SEPS (Arquitectura): Implementación de clúster de servidores, alta disponibilidad de BD y enlaces de comunicación alternos (SEPS-2022-002).</t>
        </is>
      </c>
    </row>
    <row r="75" ht="33.75" customHeight="1" s="106">
      <c r="A75" s="33">
        <f>'ANEXO A'!A75</f>
        <v/>
      </c>
      <c r="B75" s="112">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91" t="inlineStr">
        <is>
          <t>6.14. Administración de la auditoría de la base de datos - Registro y monitoreo de eventos (GSO-GSI-MP-GSI)</t>
        </is>
      </c>
    </row>
    <row r="76" ht="33.75" customHeight="1" s="106">
      <c r="A76" s="33">
        <f>'ANEXO A'!A76</f>
        <v/>
      </c>
      <c r="B76" s="112">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91" t="inlineStr">
        <is>
          <t>6.14 Auditoría BD / 6.16 Monitoreo: Supervisión continua mediante scripts, logs de base de datos y herramientas de red (GSO-GSI-MP-GSI).</t>
        </is>
      </c>
    </row>
    <row r="77" ht="33.75" customHeight="1" s="106">
      <c r="A77" s="33">
        <f>'ANEXO A'!A77</f>
        <v/>
      </c>
      <c r="B77" s="112">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91" t="inlineStr">
        <is>
          <t>Anexo 1 SEPS (Logs y Detección): Sincronización automática de todos los servidores y estaciones a fuentes horarias oficiales (NTP) (SEPS-2022-002 / ISO 27002).</t>
        </is>
      </c>
    </row>
    <row r="78" ht="33.75" customHeight="1" s="106">
      <c r="A78" s="33">
        <f>'ANEXO A'!A78</f>
        <v/>
      </c>
      <c r="B78" s="112">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91" t="inlineStr">
        <is>
          <t>6.11 Cuentas Críticas / 6.14 BD: Restricción estricta de ejecución de scripts DDL/DML directos y herramientas de bajo nivel (GSO-GSI-MP-GSI).</t>
        </is>
      </c>
    </row>
    <row r="79" ht="45" customHeight="1" s="106">
      <c r="A79" s="33">
        <f>'ANEXO A'!A79</f>
        <v/>
      </c>
      <c r="B79" s="112">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91" t="inlineStr">
        <is>
          <t>6.1 Políticas (Item 4) / GPO: Bloqueo de permisos de instalación a usuarios finales; software desplegado centralmente por TI (GSO-GSI-MP-GSI).</t>
        </is>
      </c>
    </row>
    <row r="80" ht="45" customHeight="1" s="106">
      <c r="A80" s="33">
        <f>'ANEXO A'!A80</f>
        <v/>
      </c>
      <c r="B80" s="112">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91" t="inlineStr">
        <is>
          <t>6.11 Firewalls / Enrutadores: Administración de firewalls de borde, políticas de enrutamiento y reglas de filtrado perimetral (GSO-GSI-MP-GSI).</t>
        </is>
      </c>
    </row>
    <row r="81" ht="33.75" customHeight="1" s="106">
      <c r="A81" s="33">
        <f>'ANEXO A'!A81</f>
        <v/>
      </c>
      <c r="B81" s="112">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91" t="inlineStr">
        <is>
          <t>6.11 FiltraWeb / AntiSpam: Gestión de seguridad y niveles de servicio en DNS, navegación y correo electrónico (GSO-GSI-MP-GSI).</t>
        </is>
      </c>
    </row>
    <row r="82" ht="33.75" customHeight="1" s="106">
      <c r="A82" s="33">
        <f>'ANEXO A'!A82</f>
        <v/>
      </c>
      <c r="B82" s="112">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91" t="inlineStr">
        <is>
          <t>6.17 Ambiente PCI / 6.18 Wireless: Aislamiento de VLANs operativas, red de ambiente de tarjetas (PCI) y red Wi-Fi de clientes (GSO-GSI-MP-GSI).</t>
        </is>
      </c>
    </row>
    <row r="83" ht="33.75" customHeight="1" s="106">
      <c r="A83" s="33">
        <f>'ANEXO A'!A83</f>
        <v/>
      </c>
      <c r="B83" s="112">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91" t="inlineStr">
        <is>
          <t>6.11 Cuentas Críticas (FiltraWeb): Bloqueo de sitios web maliciosos, redes no laborales y categorías de riesgo (GSO-GSI-MP-GSI).</t>
        </is>
      </c>
    </row>
    <row r="84" ht="22.5" customHeight="1" s="106">
      <c r="A84" s="33">
        <f>'ANEXO A'!A84</f>
        <v/>
      </c>
      <c r="B84" s="112">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91" t="inlineStr">
        <is>
          <t>6.12. Creación, ingreso y custodia de llaves criptográficas - Cifrado (GSO-GSI-MP-GSI)</t>
        </is>
      </c>
    </row>
    <row r="85" ht="33.75" customHeight="1" s="106">
      <c r="A85" s="33">
        <f>'ANEXO A'!A85</f>
        <v/>
      </c>
      <c r="B85" s="112">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91" t="inlineStr">
        <is>
          <t>6.11 Cuentas Críticas (FiltraWeb): Bloqueo de sitios web maliciosos, redes no laborales y categorías de riesgo (GSO-GSI-MP-GSI).</t>
        </is>
      </c>
    </row>
    <row r="86" ht="33.75" customHeight="1" s="106">
      <c r="A86" s="33">
        <f>'ANEXO A'!A86</f>
        <v/>
      </c>
      <c r="B86" s="112">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91" t="inlineStr">
        <is>
          <t>Anexo 1 SEPS 002 (Gestión de software): Definición de requisitos de autenticación, transaccionalidad y cifrado en nuevas soluciones (SEPS-2022-002).</t>
        </is>
      </c>
    </row>
    <row r="87" ht="33.75" customHeight="1" s="106">
      <c r="A87" s="33">
        <f>'ANEXO A'!A87</f>
        <v/>
      </c>
      <c r="B87" s="112">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91" t="inlineStr">
        <is>
          <t>Anexo 1 SEPS 002 (Arquitectura Segura): Aplicación de principios de defensa en profundidad, zonas desmilitarizadas y segmentación (SEPS-2022-002).</t>
        </is>
      </c>
    </row>
    <row r="88" ht="33.75" customHeight="1" s="106">
      <c r="A88" s="33">
        <f>'ANEXO A'!A88</f>
        <v/>
      </c>
      <c r="B88" s="112">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91" t="inlineStr">
        <is>
          <t>Anexo 1 SEPS / OWASP: Implementación de buenas prácticas de programación para evitar inyecciones, XSS y fallos lógicos (SEPS-2022-002 / ISO 27002).</t>
        </is>
      </c>
    </row>
    <row r="89" ht="45" customHeight="1" s="106">
      <c r="A89" s="33">
        <f>'ANEXO A'!A89</f>
        <v/>
      </c>
      <c r="B89" s="112">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91" t="inlineStr">
        <is>
          <t>6.19 Escaneo / Anexo 1 SEPS: Ejecución de pruebas de vulnerabilidad, análisis estático y pruebas de aceptación previas a pase a producción (GSO-GSI-MP-GSI / SEPS-2022-002).</t>
        </is>
      </c>
    </row>
    <row r="90" ht="33.75" customHeight="1" s="106">
      <c r="A90" s="33">
        <f>'ANEXO A'!A90</f>
        <v/>
      </c>
      <c r="B90" s="112">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91" t="inlineStr">
        <is>
          <t>Anexo 1 SEPS / Disposición 2da: Exigir entrega de código probado, escaneos de seguridad y cumplimiento normativo a fábricas de software (SEPS-2022-002).</t>
        </is>
      </c>
    </row>
    <row r="91" ht="33.75" customHeight="1" s="106">
      <c r="A91" s="33">
        <f>'ANEXO A'!A91</f>
        <v/>
      </c>
      <c r="B91" s="112">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91" t="inlineStr">
        <is>
          <t>Anexo 1 SEPS (Desarrollo y Pruebas): Aislamiento estricto de ambientes de desarrollo, pruebas y producción sin uso de datos reales (SEPS-2022-002).</t>
        </is>
      </c>
    </row>
    <row r="92" ht="33.75" customHeight="1" s="106">
      <c r="A92" s="33">
        <f>'ANEXO A'!A92</f>
        <v/>
      </c>
      <c r="B92" s="112">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91" t="inlineStr">
        <is>
          <t>Anexo 1 SEPS (Gestión de Cambios): Procedimiento formal de solicitud, evaluación de impacto de seguridad, aprobación y rollback de cambios (SEPS-2022-002).</t>
        </is>
      </c>
    </row>
    <row r="93" ht="33.75" customHeight="1" s="106">
      <c r="A93" s="33">
        <f>'ANEXO A'!A93</f>
        <v/>
      </c>
      <c r="B93" s="112">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91" t="inlineStr">
        <is>
          <t>6.17 PCI DSS / Anexo 1 SEPS: Uso de datos ficticios, anonimizados u ofuscados para las pruebas de aplicaciones (GSO-GSI-MP-GSI / SEPS-2022-002).</t>
        </is>
      </c>
    </row>
    <row r="94" ht="33.75" customHeight="1" s="106">
      <c r="A94" s="33">
        <f>'ANEXO A'!A94</f>
        <v/>
      </c>
      <c r="B94" s="112">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91"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94"/>
  <sheetViews>
    <sheetView workbookViewId="0">
      <selection activeCell="L3" sqref="L3"/>
    </sheetView>
  </sheetViews>
  <sheetFormatPr baseColWidth="10" defaultColWidth="9.33203125" defaultRowHeight="11.25"/>
  <cols>
    <col width="9.33203125" customWidth="1" style="38" min="1" max="1"/>
    <col width="24.1640625" customWidth="1" style="38" min="2" max="2"/>
    <col width="18.83203125" customWidth="1" style="38" min="3" max="3"/>
    <col width="9.33203125" customWidth="1" style="38" min="4" max="4"/>
    <col width="18" customWidth="1" style="38" min="5" max="5"/>
    <col width="20.83203125" customWidth="1" style="38" min="6" max="6"/>
    <col width="15.33203125" customWidth="1" style="38" min="7" max="7"/>
    <col width="21.83203125" customWidth="1" style="38" min="8" max="8"/>
    <col width="38.1640625" customWidth="1" style="38" min="9" max="9"/>
    <col width="32.1640625" customWidth="1" style="112" min="10" max="10"/>
    <col width="46.83203125" customWidth="1" style="112" min="11" max="11"/>
    <col width="37.1640625" customWidth="1" style="112" min="12" max="12"/>
    <col width="18" customWidth="1" style="38" min="13" max="13"/>
    <col width="17.1640625" customWidth="1" style="38" min="14" max="14"/>
    <col width="20.5" customWidth="1" style="38" min="15" max="15"/>
    <col width="22.6640625" customWidth="1" style="38" min="16" max="16"/>
    <col width="23.6640625" customWidth="1" style="38" min="17" max="17"/>
    <col width="9.33203125" customWidth="1" style="38" min="18" max="18"/>
    <col width="9.33203125" customWidth="1" style="38" min="19" max="16384"/>
  </cols>
  <sheetData>
    <row r="1" ht="33.75" customFormat="1" customHeight="1" s="112">
      <c r="A1" s="94" t="inlineStr">
        <is>
          <t>ID Control</t>
        </is>
      </c>
      <c r="B1" s="94" t="inlineStr">
        <is>
          <t>Nombre del Control</t>
        </is>
      </c>
      <c r="C1" s="94" t="inlineStr">
        <is>
          <t>Dominio ISO 27001</t>
        </is>
      </c>
      <c r="D1" s="94" t="inlineStr">
        <is>
          <t>¿Aplica?</t>
        </is>
      </c>
      <c r="E1" s="94" t="inlineStr">
        <is>
          <t>Obligatoriedad Regulatoria SEPS</t>
        </is>
      </c>
      <c r="F1" s="94" t="inlineStr">
        <is>
          <t>Control Metodología GSO-GSI</t>
        </is>
      </c>
      <c r="G1" s="94" t="inlineStr">
        <is>
          <t>Origen de Aplicabilidad</t>
        </is>
      </c>
      <c r="H1" s="94" t="inlineStr">
        <is>
          <t>Justificación Inclusión / Exclusión</t>
        </is>
      </c>
      <c r="I1" s="93" t="inlineStr">
        <is>
          <t>Acción</t>
        </is>
      </c>
      <c r="J1" s="93" t="inlineStr">
        <is>
          <t>Tareas</t>
        </is>
      </c>
      <c r="K1" s="93" t="inlineStr">
        <is>
          <t>Objetivo</t>
        </is>
      </c>
      <c r="L1" s="93" t="inlineStr">
        <is>
          <t>Control</t>
        </is>
      </c>
      <c r="M1" s="93" t="inlineStr">
        <is>
          <t>Estado de Implementación</t>
        </is>
      </c>
      <c r="N1" s="93" t="inlineStr">
        <is>
          <t>Tipo de Protección</t>
        </is>
      </c>
      <c r="O1" s="93" t="inlineStr">
        <is>
          <t>Nivel de Madurez / Efectividad</t>
        </is>
      </c>
      <c r="P1" s="93" t="inlineStr">
        <is>
          <t>Riesgos / Amenazas que Mitiga</t>
        </is>
      </c>
      <c r="Q1" s="93" t="inlineStr">
        <is>
          <t>Evidencia / Documentación Asociada</t>
        </is>
      </c>
    </row>
    <row r="2" ht="67.5" customHeight="1" s="106">
      <c r="A2" s="38">
        <f>'ANEXO A'!A2</f>
        <v/>
      </c>
      <c r="B2" s="38">
        <f>IFERROR(VLOOKUP(A2, 'ANEXO A'!$A$2:$L$94, 2, FALSE), "")</f>
        <v/>
      </c>
      <c r="C2" s="38">
        <f>IF(LEFT(A2,1)="5", "5. Organizacionales", IF(LEFT(A2,1)="6", "6. Personas", IF(LEFT(A2,1)="7", "7. Físicos", "8. Tecnológicos")))</f>
        <v/>
      </c>
      <c r="D2" s="38">
        <f>IFERROR(VLOOKUP(A2, 'ANEXO A'!$A$2:$L$94, 11, FALSE), "")</f>
        <v/>
      </c>
      <c r="E2" s="38">
        <f>IFERROR(VLOOKUP(A2, 'ANEXO A'!$A$2:$L$94, 8, FALSE), "")</f>
        <v/>
      </c>
      <c r="F2" s="38">
        <f>IFERROR(VLOOKUP(A2, 'ANEXO A'!$A$2:$L$94, 9, FALSE), "")</f>
        <v/>
      </c>
      <c r="G2" s="38">
        <f>IFERROR(VLOOKUP(A2, 'ANEXO A'!$A$2:$L$94, 10, FALSE), "")</f>
        <v/>
      </c>
      <c r="H2" s="38">
        <f>IFERROR(VLOOKUP(A2, 'ANEXO A'!$A$2:$L$94, 12, FALSE), "")</f>
        <v/>
      </c>
      <c r="I2" s="38" t="inlineStr">
        <is>
          <t>6.1. Políticas Generales - Establecer directrices de seguridad (GSO-GSI-MP-GSI)</t>
        </is>
      </c>
      <c r="J2" s="112">
        <f>"• Establecer lineamientos para " &amp; IFERROR(VLOOKUP(A2, 'ANEXO A'!$A$2:$L$94, 2, FALSE), "Este Control") &amp; CHAR(10) &amp; "• Definir roles para el control " &amp; A2 &amp; CHAR(10) &amp; "• Revisar efectividad de " &amp; IFERROR(VLOOKUP(A2, 'ANEXO A'!$A$2:$L$94, 2, FALSE), "Este Control")</f>
        <v/>
      </c>
      <c r="K2" s="112"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L2" s="112" t="inlineStr">
        <is>
          <t>La organización deberá implementar, registrar y monitorear operativamente todos los protocolos relacionados a Políticas para la seguridad de la información, estableciendo políticas técnicas correspondientes.</t>
        </is>
      </c>
    </row>
    <row r="3" ht="78.75" customHeight="1" s="106">
      <c r="A3" s="38">
        <f>'ANEXO A'!A3</f>
        <v/>
      </c>
      <c r="B3" s="38">
        <f>IFERROR(VLOOKUP(A3, 'ANEXO A'!$A$2:$L$94, 2, FALSE), "")</f>
        <v/>
      </c>
      <c r="C3" s="38">
        <f>IF(LEFT(A3,1)="5", "5. Organizacionales", IF(LEFT(A3,1)="6", "6. Personas", IF(LEFT(A3,1)="7", "7. Físicos", "8. Tecnológicos")))</f>
        <v/>
      </c>
      <c r="D3" s="38">
        <f>IFERROR(VLOOKUP(A3, 'ANEXO A'!$A$2:$L$94, 11, FALSE), "")</f>
        <v/>
      </c>
      <c r="E3" s="38">
        <f>IFERROR(VLOOKUP(A3, 'ANEXO A'!$A$2:$L$94, 8, FALSE), "")</f>
        <v/>
      </c>
      <c r="F3" s="38">
        <f>IFERROR(VLOOKUP(A3, 'ANEXO A'!$A$2:$L$94, 9, FALSE), "")</f>
        <v/>
      </c>
      <c r="G3" s="38">
        <f>IFERROR(VLOOKUP(A3, 'ANEXO A'!$A$2:$L$94, 10, FALSE), "")</f>
        <v/>
      </c>
      <c r="H3" s="38">
        <f>IFERROR(VLOOKUP(A3, 'ANEXO A'!$A$2:$L$94, 12, FALSE), "")</f>
        <v/>
      </c>
      <c r="I3" s="38" t="inlineStr">
        <is>
          <t>6.1 Políticas Generales / Sec. 12 SEPS 002: Definir, asignar y comunicar formalmente las funciones del Oficial/Jefe de SI, custodios y comités (GSO-GSI-MP-GSI / SEPS-2022-002).</t>
        </is>
      </c>
      <c r="J3" s="112">
        <f>"• Establecer lineamientos para " &amp; IFERROR(VLOOKUP(A3, 'ANEXO A'!$A$2:$L$94, 2, FALSE), "Este Control") &amp; CHAR(10) &amp; "• Definir roles para el control " &amp; A3 &amp; CHAR(10) &amp; "• Revisar efectividad de " &amp; IFERROR(VLOOKUP(A3, 'ANEXO A'!$A$2:$L$94, 2, FALSE), "Este Control")</f>
        <v/>
      </c>
      <c r="K3" s="112"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L3" s="112" t="inlineStr">
        <is>
          <t>La organización deberá implementar, registrar y monitorear operativamente todos los protocolos relacionados a Funciones y responsabilidades de seguridad de la información, estableciendo políticas técnicas correspondientes.</t>
        </is>
      </c>
    </row>
    <row r="4" ht="56.25" customHeight="1" s="106">
      <c r="A4" s="38">
        <f>'ANEXO A'!A4</f>
        <v/>
      </c>
      <c r="B4" s="38">
        <f>IFERROR(VLOOKUP(A4, 'ANEXO A'!$A$2:$L$94, 2, FALSE), "")</f>
        <v/>
      </c>
      <c r="C4" s="38">
        <f>IF(LEFT(A4,1)="5", "5. Organizacionales", IF(LEFT(A4,1)="6", "6. Personas", IF(LEFT(A4,1)="7", "7. Físicos", "8. Tecnológicos")))</f>
        <v/>
      </c>
      <c r="D4" s="38">
        <f>IFERROR(VLOOKUP(A4, 'ANEXO A'!$A$2:$L$94, 11, FALSE), "")</f>
        <v/>
      </c>
      <c r="E4" s="38">
        <f>IFERROR(VLOOKUP(A4, 'ANEXO A'!$A$2:$L$94, 8, FALSE), "")</f>
        <v/>
      </c>
      <c r="F4" s="38">
        <f>IFERROR(VLOOKUP(A4, 'ANEXO A'!$A$2:$L$94, 9, FALSE), "")</f>
        <v/>
      </c>
      <c r="G4" s="38">
        <f>IFERROR(VLOOKUP(A4, 'ANEXO A'!$A$2:$L$94, 10, FALSE), "")</f>
        <v/>
      </c>
      <c r="H4" s="38">
        <f>IFERROR(VLOOKUP(A4, 'ANEXO A'!$A$2:$L$94, 12, FALSE), "")</f>
        <v/>
      </c>
      <c r="I4" s="38" t="inlineStr">
        <is>
          <t>6.7 Administración de roles y perfiles: Parametrizar y validar incompatibilidad de funciones y accesos mediante matrices SoD y workflows (GSO-GSI-MP-GSI).</t>
        </is>
      </c>
      <c r="J4" s="112">
        <f>"• Establecer lineamientos para " &amp; IFERROR(VLOOKUP(A4, 'ANEXO A'!$A$2:$L$94, 2, FALSE), "Este Control") &amp; CHAR(10) &amp; "• Definir roles para el control " &amp; A4 &amp; CHAR(10) &amp; "• Revisar efectividad de " &amp; IFERROR(VLOOKUP(A4, 'ANEXO A'!$A$2:$L$94, 2, FALSE), "Este Control")</f>
        <v/>
      </c>
      <c r="K4" s="112" t="inlineStr">
        <is>
          <t>Asegurar el cumplimiento, control y resguardo continuo de los procesos de Segregación de funciones a fin de mitigar riesgos y mantener la alineación a los principios de confidencialidad, integridad y disponibilidad aplicables a este dominio.</t>
        </is>
      </c>
      <c r="L4" s="112" t="inlineStr">
        <is>
          <t>La organización deberá implementar, registrar y monitorear operativamente todos los protocolos relacionados a Segregación de funciones, estableciendo políticas técnicas correspondientes.</t>
        </is>
      </c>
    </row>
    <row r="5" ht="67.5" customHeight="1" s="106">
      <c r="A5" s="38">
        <f>'ANEXO A'!A5</f>
        <v/>
      </c>
      <c r="B5" s="38">
        <f>IFERROR(VLOOKUP(A5, 'ANEXO A'!$A$2:$L$94, 2, FALSE), "")</f>
        <v/>
      </c>
      <c r="C5" s="38">
        <f>IF(LEFT(A5,1)="5", "5. Organizacionales", IF(LEFT(A5,1)="6", "6. Personas", IF(LEFT(A5,1)="7", "7. Físicos", "8. Tecnológicos")))</f>
        <v/>
      </c>
      <c r="D5" s="38">
        <f>IFERROR(VLOOKUP(A5, 'ANEXO A'!$A$2:$L$94, 11, FALSE), "")</f>
        <v/>
      </c>
      <c r="E5" s="38">
        <f>IFERROR(VLOOKUP(A5, 'ANEXO A'!$A$2:$L$94, 8, FALSE), "")</f>
        <v/>
      </c>
      <c r="F5" s="38">
        <f>IFERROR(VLOOKUP(A5, 'ANEXO A'!$A$2:$L$94, 9, FALSE), "")</f>
        <v/>
      </c>
      <c r="G5" s="38">
        <f>IFERROR(VLOOKUP(A5, 'ANEXO A'!$A$2:$L$94, 10, FALSE), "")</f>
        <v/>
      </c>
      <c r="H5" s="38">
        <f>IFERROR(VLOOKUP(A5, 'ANEXO A'!$A$2:$L$94, 12, FALSE), "")</f>
        <v/>
      </c>
      <c r="I5" s="38" t="inlineStr">
        <is>
          <t>6.1 Políticas Generales / Sec. 12 SEPS 002: Compromiso de la Alta Dirección y jefaturas en la exigencia y cumplimiento de políticas de SI (GSO-GSI-MP-GSI / SEPS-2022-002).</t>
        </is>
      </c>
      <c r="J5" s="112">
        <f>"• Establecer lineamientos para " &amp; IFERROR(VLOOKUP(A5, 'ANEXO A'!$A$2:$L$94, 2, FALSE), "Este Control") &amp; CHAR(10) &amp; "• Definir roles para el control " &amp; A5 &amp; CHAR(10) &amp; "• Revisar efectividad de " &amp; IFERROR(VLOOKUP(A5, 'ANEXO A'!$A$2:$L$94, 2, FALSE), "Este Control")</f>
        <v/>
      </c>
      <c r="K5" s="112" t="inlineStr">
        <is>
          <t>Asegurar el cumplimiento, control y resguardo continuo de los procesos de Responsabilidades de la dirección a fin de mitigar riesgos y mantener la alineación a los principios de confidencialidad, integridad y disponibilidad aplicables a este dominio.</t>
        </is>
      </c>
      <c r="L5" s="112" t="inlineStr">
        <is>
          <t>La organización deberá implementar, registrar y monitorear operativamente todos los protocolos relacionados a Responsabilidades de la dirección, estableciendo políticas técnicas correspondientes.</t>
        </is>
      </c>
    </row>
    <row r="6" ht="56.25" customHeight="1" s="106">
      <c r="A6" s="38">
        <f>'ANEXO A'!A6</f>
        <v/>
      </c>
      <c r="B6" s="38">
        <f>IFERROR(VLOOKUP(A6, 'ANEXO A'!$A$2:$L$94, 2, FALSE), "")</f>
        <v/>
      </c>
      <c r="C6" s="38">
        <f>IF(LEFT(A6,1)="5", "5. Organizacionales", IF(LEFT(A6,1)="6", "6. Personas", IF(LEFT(A6,1)="7", "7. Físicos", "8. Tecnológicos")))</f>
        <v/>
      </c>
      <c r="D6" s="38">
        <f>IFERROR(VLOOKUP(A6, 'ANEXO A'!$A$2:$L$94, 11, FALSE), "")</f>
        <v/>
      </c>
      <c r="E6" s="38">
        <f>IFERROR(VLOOKUP(A6, 'ANEXO A'!$A$2:$L$94, 8, FALSE), "")</f>
        <v/>
      </c>
      <c r="F6" s="38">
        <f>IFERROR(VLOOKUP(A6, 'ANEXO A'!$A$2:$L$94, 9, FALSE), "")</f>
        <v/>
      </c>
      <c r="G6" s="38">
        <f>IFERROR(VLOOKUP(A6, 'ANEXO A'!$A$2:$L$94, 10, FALSE), "")</f>
        <v/>
      </c>
      <c r="H6" s="38">
        <f>IFERROR(VLOOKUP(A6, 'ANEXO A'!$A$2:$L$94, 12, FALSE), "")</f>
        <v/>
      </c>
      <c r="I6" s="38" t="inlineStr">
        <is>
          <t>Disposición General 1era SEPS 002 / 6.15 Gestión de Incidentes: Notificación obligatoria e inmediata a la SEPS, Fiscalía y entes de control ante eventos críticos (SEPS-2022-002 / GSO-GSI-MP-GSI).</t>
        </is>
      </c>
      <c r="J6" s="112">
        <f>"• Establecer lineamientos para " &amp; IFERROR(VLOOKUP(A6, 'ANEXO A'!$A$2:$L$94, 2, FALSE), "Este Control") &amp; CHAR(10) &amp; "• Definir roles para el control " &amp; A6 &amp; CHAR(10) &amp; "• Revisar efectividad de " &amp; IFERROR(VLOOKUP(A6, 'ANEXO A'!$A$2:$L$94, 2, FALSE), "Este Control")</f>
        <v/>
      </c>
      <c r="K6" s="112" t="inlineStr">
        <is>
          <t>Asegurar el cumplimiento, control y resguardo continuo de los procesos de Contacto con las autoridades a fin de mitigar riesgos y mantener la alineación a los principios de confidencialidad, integridad y disponibilidad aplicables a este dominio.</t>
        </is>
      </c>
      <c r="L6" s="112" t="inlineStr">
        <is>
          <t>La organización deberá implementar, registrar y monitorear operativamente todos los protocolos relacionados a Contacto con las autoridades, estableciendo políticas técnicas correspondientes.</t>
        </is>
      </c>
    </row>
    <row r="7" ht="67.5" customHeight="1" s="106">
      <c r="A7" s="38">
        <f>'ANEXO A'!A7</f>
        <v/>
      </c>
      <c r="B7" s="38">
        <f>IFERROR(VLOOKUP(A7, 'ANEXO A'!$A$2:$L$94, 2, FALSE), "")</f>
        <v/>
      </c>
      <c r="C7" s="38">
        <f>IF(LEFT(A7,1)="5", "5. Organizacionales", IF(LEFT(A7,1)="6", "6. Personas", IF(LEFT(A7,1)="7", "7. Físicos", "8. Tecnológicos")))</f>
        <v/>
      </c>
      <c r="D7" s="38">
        <f>IFERROR(VLOOKUP(A7, 'ANEXO A'!$A$2:$L$94, 11, FALSE), "")</f>
        <v/>
      </c>
      <c r="E7" s="38">
        <f>IFERROR(VLOOKUP(A7, 'ANEXO A'!$A$2:$L$94, 8, FALSE), "")</f>
        <v/>
      </c>
      <c r="F7" s="38">
        <f>IFERROR(VLOOKUP(A7, 'ANEXO A'!$A$2:$L$94, 9, FALSE), "")</f>
        <v/>
      </c>
      <c r="G7" s="38">
        <f>IFERROR(VLOOKUP(A7, 'ANEXO A'!$A$2:$L$94, 10, FALSE), "")</f>
        <v/>
      </c>
      <c r="H7" s="38">
        <f>IFERROR(VLOOKUP(A7, 'ANEXO A'!$A$2:$L$94, 12, FALSE), "")</f>
        <v/>
      </c>
      <c r="I7" s="38" t="inlineStr">
        <is>
          <t>Marco Normativo y Alianzas: Mantener membresías, foros y canales de comunicación técnica con asociaciones del sector financiero popular y solidario (ISO 27002 / GSO-GSI-MP-GSI).</t>
        </is>
      </c>
      <c r="J7" s="112">
        <f>"• Establecer lineamientos para " &amp; IFERROR(VLOOKUP(A7, 'ANEXO A'!$A$2:$L$94, 2, FALSE), "Este Control") &amp; CHAR(10) &amp; "• Definir roles para el control " &amp; A7 &amp; CHAR(10) &amp; "• Revisar efectividad de " &amp; IFERROR(VLOOKUP(A7, 'ANEXO A'!$A$2:$L$94, 2, FALSE), "Este Control")</f>
        <v/>
      </c>
      <c r="K7" s="112"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L7" s="112" t="inlineStr">
        <is>
          <t>La organización deberá implementar, registrar y monitorear operativamente todos los protocolos relacionados a Contacto con grupos de interés especial, estableciendo políticas técnicas correspondientes.</t>
        </is>
      </c>
    </row>
    <row r="8" ht="56.25" customHeight="1" s="106">
      <c r="A8" s="38">
        <f>'ANEXO A'!A8</f>
        <v/>
      </c>
      <c r="B8" s="38">
        <f>IFERROR(VLOOKUP(A8, 'ANEXO A'!$A$2:$L$94, 2, FALSE), "")</f>
        <v/>
      </c>
      <c r="C8" s="38">
        <f>IF(LEFT(A8,1)="5", "5. Organizacionales", IF(LEFT(A8,1)="6", "6. Personas", IF(LEFT(A8,1)="7", "7. Físicos", "8. Tecnológicos")))</f>
        <v/>
      </c>
      <c r="D8" s="38">
        <f>IFERROR(VLOOKUP(A8, 'ANEXO A'!$A$2:$L$94, 11, FALSE), "")</f>
        <v/>
      </c>
      <c r="E8" s="38">
        <f>IFERROR(VLOOKUP(A8, 'ANEXO A'!$A$2:$L$94, 8, FALSE), "")</f>
        <v/>
      </c>
      <c r="F8" s="38">
        <f>IFERROR(VLOOKUP(A8, 'ANEXO A'!$A$2:$L$94, 9, FALSE), "")</f>
        <v/>
      </c>
      <c r="G8" s="38">
        <f>IFERROR(VLOOKUP(A8, 'ANEXO A'!$A$2:$L$94, 10, FALSE), "")</f>
        <v/>
      </c>
      <c r="H8" s="38">
        <f>IFERROR(VLOOKUP(A8, 'ANEXO A'!$A$2:$L$94, 12, FALSE), "")</f>
        <v/>
      </c>
      <c r="I8" s="38" t="inlineStr">
        <is>
          <t>10.2 Metodología GAI / 6.19 Escaneo: Recopilación y análisis de fuentes de amenazas adversarias y no adversarias (S1-S40) (GSO-GSI-ME-GAI / GSO-GSI-MP-GSI).</t>
        </is>
      </c>
      <c r="J8" s="112">
        <f>"• Establecer lineamientos para " &amp; IFERROR(VLOOKUP(A8, 'ANEXO A'!$A$2:$L$94, 2, FALSE), "Este Control") &amp; CHAR(10) &amp; "• Definir roles para el control " &amp; A8 &amp; CHAR(10) &amp; "• Revisar efectividad de " &amp; IFERROR(VLOOKUP(A8, 'ANEXO A'!$A$2:$L$94, 2, FALSE), "Este Control")</f>
        <v/>
      </c>
      <c r="K8" s="112" t="inlineStr">
        <is>
          <t>Asegurar el cumplimiento, control y resguardo continuo de los procesos de Inteligencia de amenazas a fin de mitigar riesgos y mantener la alineación a los principios de confidencialidad, integridad y disponibilidad aplicables a este dominio.</t>
        </is>
      </c>
      <c r="L8" s="112" t="inlineStr">
        <is>
          <t>La organización deberá implementar, registrar y monitorear operativamente todos los protocolos relacionados a Inteligencia de amenazas, estableciendo políticas técnicas correspondientes.</t>
        </is>
      </c>
    </row>
    <row r="9" ht="78.75" customHeight="1" s="106">
      <c r="A9" s="38">
        <f>'ANEXO A'!A9</f>
        <v/>
      </c>
      <c r="B9" s="38">
        <f>IFERROR(VLOOKUP(A9, 'ANEXO A'!$A$2:$L$94, 2, FALSE), "")</f>
        <v/>
      </c>
      <c r="C9" s="38">
        <f>IF(LEFT(A9,1)="5", "5. Organizacionales", IF(LEFT(A9,1)="6", "6. Personas", IF(LEFT(A9,1)="7", "7. Físicos", "8. Tecnológicos")))</f>
        <v/>
      </c>
      <c r="D9" s="38">
        <f>IFERROR(VLOOKUP(A9, 'ANEXO A'!$A$2:$L$94, 11, FALSE), "")</f>
        <v/>
      </c>
      <c r="E9" s="38">
        <f>IFERROR(VLOOKUP(A9, 'ANEXO A'!$A$2:$L$94, 8, FALSE), "")</f>
        <v/>
      </c>
      <c r="F9" s="38">
        <f>IFERROR(VLOOKUP(A9, 'ANEXO A'!$A$2:$L$94, 9, FALSE), "")</f>
        <v/>
      </c>
      <c r="G9" s="38">
        <f>IFERROR(VLOOKUP(A9, 'ANEXO A'!$A$2:$L$94, 10, FALSE), "")</f>
        <v/>
      </c>
      <c r="H9" s="38">
        <f>IFERROR(VLOOKUP(A9, 'ANEXO A'!$A$2:$L$94, 12, FALSE), "")</f>
        <v/>
      </c>
      <c r="I9" s="38" t="inlineStr">
        <is>
          <t>6.13 Gestión de activos / Anexo 1 SEPS: Inclusión de directrices y análisis de riesgos de SI desde las fases iniciales de nuevos proyectos y servicios (GSO-GSI-ME-GAI / SEPS-2022-002).</t>
        </is>
      </c>
      <c r="J9" s="112">
        <f>"• Establecer lineamientos para " &amp; IFERROR(VLOOKUP(A9, 'ANEXO A'!$A$2:$L$94, 2, FALSE), "Este Control") &amp; CHAR(10) &amp; "• Definir roles para el control " &amp; A9 &amp; CHAR(10) &amp; "• Revisar efectividad de " &amp; IFERROR(VLOOKUP(A9, 'ANEXO A'!$A$2:$L$94, 2, FALSE), "Este Control")</f>
        <v/>
      </c>
      <c r="K9" s="112"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L9" s="112" t="inlineStr">
        <is>
          <t>La organización deberá implementar, registrar y monitorear operativamente todos los protocolos relacionados a Seguridad de la información en la gestión de proyectos, estableciendo políticas técnicas correspondientes.</t>
        </is>
      </c>
    </row>
    <row r="10" ht="78.75" customHeight="1" s="106">
      <c r="A10" s="38">
        <f>'ANEXO A'!A10</f>
        <v/>
      </c>
      <c r="B10" s="38">
        <f>IFERROR(VLOOKUP(A10, 'ANEXO A'!$A$2:$L$94, 2, FALSE), "")</f>
        <v/>
      </c>
      <c r="C10" s="38">
        <f>IF(LEFT(A10,1)="5", "5. Organizacionales", IF(LEFT(A10,1)="6", "6. Personas", IF(LEFT(A10,1)="7", "7. Físicos", "8. Tecnológicos")))</f>
        <v/>
      </c>
      <c r="D10" s="38">
        <f>IFERROR(VLOOKUP(A10, 'ANEXO A'!$A$2:$L$94, 11, FALSE), "")</f>
        <v/>
      </c>
      <c r="E10" s="38">
        <f>IFERROR(VLOOKUP(A10, 'ANEXO A'!$A$2:$L$94, 8, FALSE), "")</f>
        <v/>
      </c>
      <c r="F10" s="38">
        <f>IFERROR(VLOOKUP(A10, 'ANEXO A'!$A$2:$L$94, 9, FALSE), "")</f>
        <v/>
      </c>
      <c r="G10" s="38">
        <f>IFERROR(VLOOKUP(A10, 'ANEXO A'!$A$2:$L$94, 10, FALSE), "")</f>
        <v/>
      </c>
      <c r="H10" s="38">
        <f>IFERROR(VLOOKUP(A10, 'ANEXO A'!$A$2:$L$94, 12, FALSE), "")</f>
        <v/>
      </c>
      <c r="I10" s="38" t="inlineStr">
        <is>
          <t>6.13. Gestión de activos de información - Mantener un inventario actualizado (GSO-GSI-MP-GSI)</t>
        </is>
      </c>
      <c r="J10" s="112">
        <f>"• Establecer lineamientos para " &amp; IFERROR(VLOOKUP(A10, 'ANEXO A'!$A$2:$L$94, 2, FALSE), "Este Control") &amp; CHAR(10) &amp; "• Definir roles para el control " &amp; A10 &amp; CHAR(10) &amp; "• Revisar efectividad de " &amp; IFERROR(VLOOKUP(A10, 'ANEXO A'!$A$2:$L$94, 2, FALSE), "Este Control")</f>
        <v/>
      </c>
      <c r="K10" s="112"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L10" s="112" t="inlineStr">
        <is>
          <t>La organización deberá implementar, registrar y monitorear operativamente todos los protocolos relacionados a Inventario de información y otros activos asociados, estableciendo políticas técnicas correspondientes.</t>
        </is>
      </c>
    </row>
    <row r="11" ht="78.75" customHeight="1" s="106">
      <c r="A11" s="38">
        <f>'ANEXO A'!A11</f>
        <v/>
      </c>
      <c r="B11" s="38">
        <f>IFERROR(VLOOKUP(A11, 'ANEXO A'!$A$2:$L$94, 2, FALSE), "")</f>
        <v/>
      </c>
      <c r="C11" s="38">
        <f>IF(LEFT(A11,1)="5", "5. Organizacionales", IF(LEFT(A11,1)="6", "6. Personas", IF(LEFT(A11,1)="7", "7. Físicos", "8. Tecnológicos")))</f>
        <v/>
      </c>
      <c r="D11" s="38">
        <f>IFERROR(VLOOKUP(A11, 'ANEXO A'!$A$2:$L$94, 11, FALSE), "")</f>
        <v/>
      </c>
      <c r="E11" s="38">
        <f>IFERROR(VLOOKUP(A11, 'ANEXO A'!$A$2:$L$94, 8, FALSE), "")</f>
        <v/>
      </c>
      <c r="F11" s="38">
        <f>IFERROR(VLOOKUP(A11, 'ANEXO A'!$A$2:$L$94, 9, FALSE), "")</f>
        <v/>
      </c>
      <c r="G11" s="38">
        <f>IFERROR(VLOOKUP(A11, 'ANEXO A'!$A$2:$L$94, 10, FALSE), "")</f>
        <v/>
      </c>
      <c r="H11" s="38">
        <f>IFERROR(VLOOKUP(A11, 'ANEXO A'!$A$2:$L$94, 12, FALSE), "")</f>
        <v/>
      </c>
      <c r="I11" s="38" t="inlineStr">
        <is>
          <t>6.16 Revisión y monitoreo de políticas: Difundir y fiscalizar el uso legítimo de estaciones, correo y recursos corporativos (GSO-GSI-MP-GSI).</t>
        </is>
      </c>
      <c r="J11" s="112">
        <f>"• Establecer lineamientos para " &amp; IFERROR(VLOOKUP(A11, 'ANEXO A'!$A$2:$L$94, 2, FALSE), "Este Control") &amp; CHAR(10) &amp; "• Definir roles para el control " &amp; A11 &amp; CHAR(10) &amp; "• Revisar efectividad de " &amp; IFERROR(VLOOKUP(A11, 'ANEXO A'!$A$2:$L$94, 2, FALSE), "Este Control")</f>
        <v/>
      </c>
      <c r="K11" s="112"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L11" s="112" t="inlineStr">
        <is>
          <t>La organización deberá implementar, registrar y monitorear operativamente todos los protocolos relacionados a Uso aceptable de la información y otros activos asociados, estableciendo políticas técnicas correspondientes.</t>
        </is>
      </c>
    </row>
    <row r="12" ht="56.25" customHeight="1" s="106">
      <c r="A12" s="38">
        <f>'ANEXO A'!A12</f>
        <v/>
      </c>
      <c r="B12" s="38">
        <f>IFERROR(VLOOKUP(A12, 'ANEXO A'!$A$2:$L$94, 2, FALSE), "")</f>
        <v/>
      </c>
      <c r="C12" s="38">
        <f>IF(LEFT(A12,1)="5", "5. Organizacionales", IF(LEFT(A12,1)="6", "6. Personas", IF(LEFT(A12,1)="7", "7. Físicos", "8. Tecnológicos")))</f>
        <v/>
      </c>
      <c r="D12" s="38">
        <f>IFERROR(VLOOKUP(A12, 'ANEXO A'!$A$2:$L$94, 11, FALSE), "")</f>
        <v/>
      </c>
      <c r="E12" s="38">
        <f>IFERROR(VLOOKUP(A12, 'ANEXO A'!$A$2:$L$94, 8, FALSE), "")</f>
        <v/>
      </c>
      <c r="F12" s="38">
        <f>IFERROR(VLOOKUP(A12, 'ANEXO A'!$A$2:$L$94, 9, FALSE), "")</f>
        <v/>
      </c>
      <c r="G12" s="38">
        <f>IFERROR(VLOOKUP(A12, 'ANEXO A'!$A$2:$L$94, 10, FALSE), "")</f>
        <v/>
      </c>
      <c r="H12" s="38">
        <f>IFERROR(VLOOKUP(A12, 'ANEXO A'!$A$2:$L$94, 12, FALSE), "")</f>
        <v/>
      </c>
      <c r="I12" s="38" t="inlineStr">
        <is>
          <t>6.5 Eliminación de usuarios: Recepción formal y descargo de equipos, accesos y credenciales ante terminación o rotación laboral (GSO-GSI-MP-GSI / GSO-GSI-ME-GAI Sec. 1).</t>
        </is>
      </c>
      <c r="J12" s="112">
        <f>"• Establecer lineamientos para " &amp; IFERROR(VLOOKUP(A12, 'ANEXO A'!$A$2:$L$94, 2, FALSE), "Este Control") &amp; CHAR(10) &amp; "• Definir roles para el control " &amp; A12 &amp; CHAR(10) &amp; "• Revisar efectividad de " &amp; IFERROR(VLOOKUP(A12, 'ANEXO A'!$A$2:$L$94, 2, FALSE), "Este Control")</f>
        <v/>
      </c>
      <c r="K12" s="112" t="inlineStr">
        <is>
          <t>Asegurar el cumplimiento, control y resguardo continuo de los procesos de Devolución de activos a fin de mitigar riesgos y mantener la alineación a los principios de confidencialidad, integridad y disponibilidad aplicables a este dominio.</t>
        </is>
      </c>
      <c r="L12" s="112" t="inlineStr">
        <is>
          <t>La organización deberá implementar, registrar y monitorear operativamente todos los protocolos relacionados a Devolución de activos, estableciendo políticas técnicas correspondientes.</t>
        </is>
      </c>
    </row>
    <row r="13" ht="56.25" customHeight="1" s="106">
      <c r="A13" s="38">
        <f>'ANEXO A'!A13</f>
        <v/>
      </c>
      <c r="B13" s="38">
        <f>IFERROR(VLOOKUP(A13, 'ANEXO A'!$A$2:$L$94, 2, FALSE), "")</f>
        <v/>
      </c>
      <c r="C13" s="38">
        <f>IF(LEFT(A13,1)="5", "5. Organizacionales", IF(LEFT(A13,1)="6", "6. Personas", IF(LEFT(A13,1)="7", "7. Físicos", "8. Tecnológicos")))</f>
        <v/>
      </c>
      <c r="D13" s="38">
        <f>IFERROR(VLOOKUP(A13, 'ANEXO A'!$A$2:$L$94, 11, FALSE), "")</f>
        <v/>
      </c>
      <c r="E13" s="38">
        <f>IFERROR(VLOOKUP(A13, 'ANEXO A'!$A$2:$L$94, 8, FALSE), "")</f>
        <v/>
      </c>
      <c r="F13" s="38">
        <f>IFERROR(VLOOKUP(A13, 'ANEXO A'!$A$2:$L$94, 9, FALSE), "")</f>
        <v/>
      </c>
      <c r="G13" s="38">
        <f>IFERROR(VLOOKUP(A13, 'ANEXO A'!$A$2:$L$94, 10, FALSE), "")</f>
        <v/>
      </c>
      <c r="H13" s="38">
        <f>IFERROR(VLOOKUP(A13, 'ANEXO A'!$A$2:$L$94, 12, FALSE), "")</f>
        <v/>
      </c>
      <c r="I13" s="38" t="inlineStr">
        <is>
          <t>Sec. 7 y 8 Metodología GAI: Clasificación y valoración de activos en Confidencialidad, Integridad y Disponibilidad (Pública, Uso Interno, Restringida) (GSO-GSI-ME-GAI).</t>
        </is>
      </c>
      <c r="J13" s="112">
        <f>"• Establecer lineamientos para " &amp; IFERROR(VLOOKUP(A13, 'ANEXO A'!$A$2:$L$94, 2, FALSE), "Este Control") &amp; CHAR(10) &amp; "• Definir roles para el control " &amp; A13 &amp; CHAR(10) &amp; "• Revisar efectividad de " &amp; IFERROR(VLOOKUP(A13, 'ANEXO A'!$A$2:$L$94, 2, FALSE), "Este Control")</f>
        <v/>
      </c>
      <c r="K13" s="112" t="inlineStr">
        <is>
          <t>Asegurar el cumplimiento, control y resguardo continuo de los procesos de Clasificación de la información a fin de mitigar riesgos y mantener la alineación a los principios de confidencialidad, integridad y disponibilidad aplicables a este dominio.</t>
        </is>
      </c>
      <c r="L13" s="112" t="inlineStr">
        <is>
          <t>La organización deberá implementar, registrar y monitorear operativamente todos los protocolos relacionados a Clasificación de la información, estableciendo políticas técnicas correspondientes.</t>
        </is>
      </c>
    </row>
    <row r="14" ht="56.25" customHeight="1" s="106">
      <c r="A14" s="38">
        <f>'ANEXO A'!A14</f>
        <v/>
      </c>
      <c r="B14" s="38">
        <f>IFERROR(VLOOKUP(A14, 'ANEXO A'!$A$2:$L$94, 2, FALSE), "")</f>
        <v/>
      </c>
      <c r="C14" s="38">
        <f>IF(LEFT(A14,1)="5", "5. Organizacionales", IF(LEFT(A14,1)="6", "6. Personas", IF(LEFT(A14,1)="7", "7. Físicos", "8. Tecnológicos")))</f>
        <v/>
      </c>
      <c r="D14" s="38">
        <f>IFERROR(VLOOKUP(A14, 'ANEXO A'!$A$2:$L$94, 11, FALSE), "")</f>
        <v/>
      </c>
      <c r="E14" s="38">
        <f>IFERROR(VLOOKUP(A14, 'ANEXO A'!$A$2:$L$94, 8, FALSE), "")</f>
        <v/>
      </c>
      <c r="F14" s="38">
        <f>IFERROR(VLOOKUP(A14, 'ANEXO A'!$A$2:$L$94, 9, FALSE), "")</f>
        <v/>
      </c>
      <c r="G14" s="38">
        <f>IFERROR(VLOOKUP(A14, 'ANEXO A'!$A$2:$L$94, 10, FALSE), "")</f>
        <v/>
      </c>
      <c r="H14" s="38">
        <f>IFERROR(VLOOKUP(A14, 'ANEXO A'!$A$2:$L$94, 12, FALSE), "")</f>
        <v/>
      </c>
      <c r="I14" s="38" t="inlineStr">
        <is>
          <t>Sec. 5 y 7 Metodología GAI: Aplicación de lineamientos para marcado y rotulado de información física y digital según su confidencialidad (GSO-GSI-ME-GAI).</t>
        </is>
      </c>
      <c r="J14" s="112">
        <f>"• Establecer lineamientos para " &amp; IFERROR(VLOOKUP(A14, 'ANEXO A'!$A$2:$L$94, 2, FALSE), "Este Control") &amp; CHAR(10) &amp; "• Definir roles para el control " &amp; A14 &amp; CHAR(10) &amp; "• Revisar efectividad de " &amp; IFERROR(VLOOKUP(A14, 'ANEXO A'!$A$2:$L$94, 2, FALSE), "Este Control")</f>
        <v/>
      </c>
      <c r="K14" s="112" t="inlineStr">
        <is>
          <t>Asegurar el cumplimiento, control y resguardo continuo de los procesos de Etiquetado de la información a fin de mitigar riesgos y mantener la alineación a los principios de confidencialidad, integridad y disponibilidad aplicables a este dominio.</t>
        </is>
      </c>
      <c r="L14" s="112" t="inlineStr">
        <is>
          <t>La organización deberá implementar, registrar y monitorear operativamente todos los protocolos relacionados a Etiquetado de la información, estableciendo políticas técnicas correspondientes.</t>
        </is>
      </c>
    </row>
    <row r="15" ht="67.5" customHeight="1" s="106">
      <c r="A15" s="38">
        <f>'ANEXO A'!A15</f>
        <v/>
      </c>
      <c r="B15" s="38">
        <f>IFERROR(VLOOKUP(A15, 'ANEXO A'!$A$2:$L$94, 2, FALSE), "")</f>
        <v/>
      </c>
      <c r="C15" s="38">
        <f>IF(LEFT(A15,1)="5", "5. Organizacionales", IF(LEFT(A15,1)="6", "6. Personas", IF(LEFT(A15,1)="7", "7. Físicos", "8. Tecnológicos")))</f>
        <v/>
      </c>
      <c r="D15" s="38">
        <f>IFERROR(VLOOKUP(A15, 'ANEXO A'!$A$2:$L$94, 11, FALSE), "")</f>
        <v/>
      </c>
      <c r="E15" s="38">
        <f>IFERROR(VLOOKUP(A15, 'ANEXO A'!$A$2:$L$94, 8, FALSE), "")</f>
        <v/>
      </c>
      <c r="F15" s="38">
        <f>IFERROR(VLOOKUP(A15, 'ANEXO A'!$A$2:$L$94, 9, FALSE), "")</f>
        <v/>
      </c>
      <c r="G15" s="38">
        <f>IFERROR(VLOOKUP(A15, 'ANEXO A'!$A$2:$L$94, 10, FALSE), "")</f>
        <v/>
      </c>
      <c r="H15" s="38">
        <f>IFERROR(VLOOKUP(A15, 'ANEXO A'!$A$2:$L$94, 12, FALSE), "")</f>
        <v/>
      </c>
      <c r="I15" s="38" t="inlineStr">
        <is>
          <t>6.9 Control de acceso FTP / Acuerdos: Procedimientos seguros de transmisión de datos cifrados interna y externamente vía canales autorizados (GSO-GSI-MP-GSI).</t>
        </is>
      </c>
      <c r="J15" s="112">
        <f>"• Establecer lineamientos para " &amp; IFERROR(VLOOKUP(A15, 'ANEXO A'!$A$2:$L$94, 2, FALSE), "Este Control") &amp; CHAR(10) &amp; "• Definir roles para el control " &amp; A15 &amp; CHAR(10) &amp; "• Revisar efectividad de " &amp; IFERROR(VLOOKUP(A15, 'ANEXO A'!$A$2:$L$94, 2, FALSE), "Este Control")</f>
        <v/>
      </c>
      <c r="K15" s="112" t="inlineStr">
        <is>
          <t>Asegurar el cumplimiento, control y resguardo continuo de los procesos de Transferencia de información a fin de mitigar riesgos y mantener la alineación a los principios de confidencialidad, integridad y disponibilidad aplicables a este dominio.</t>
        </is>
      </c>
      <c r="L15" s="112" t="inlineStr">
        <is>
          <t>La organización deberá implementar, registrar y monitorear operativamente todos los protocolos relacionados a Transferencia de información, estableciendo políticas técnicas correspondientes.</t>
        </is>
      </c>
    </row>
    <row r="16" ht="56.25" customHeight="1" s="106">
      <c r="A16" s="38">
        <f>'ANEXO A'!A16</f>
        <v/>
      </c>
      <c r="B16" s="38">
        <f>IFERROR(VLOOKUP(A16, 'ANEXO A'!$A$2:$L$94, 2, FALSE), "")</f>
        <v/>
      </c>
      <c r="C16" s="38">
        <f>IF(LEFT(A16,1)="5", "5. Organizacionales", IF(LEFT(A16,1)="6", "6. Personas", IF(LEFT(A16,1)="7", "7. Físicos", "8. Tecnológicos")))</f>
        <v/>
      </c>
      <c r="D16" s="38">
        <f>IFERROR(VLOOKUP(A16, 'ANEXO A'!$A$2:$L$94, 11, FALSE), "")</f>
        <v/>
      </c>
      <c r="E16" s="38">
        <f>IFERROR(VLOOKUP(A16, 'ANEXO A'!$A$2:$L$94, 8, FALSE), "")</f>
        <v/>
      </c>
      <c r="F16" s="38">
        <f>IFERROR(VLOOKUP(A16, 'ANEXO A'!$A$2:$L$94, 9, FALSE), "")</f>
        <v/>
      </c>
      <c r="G16" s="38">
        <f>IFERROR(VLOOKUP(A16, 'ANEXO A'!$A$2:$L$94, 10, FALSE), "")</f>
        <v/>
      </c>
      <c r="H16" s="38">
        <f>IFERROR(VLOOKUP(A16, 'ANEXO A'!$A$2:$L$94, 12, FALSE), "")</f>
        <v/>
      </c>
      <c r="I16" s="38" t="inlineStr">
        <is>
          <t>6.2. Creación de nuevos usuarios - Asignación de usuarios y roles según GSO-GSI-MP-GSI</t>
        </is>
      </c>
      <c r="J16" s="112">
        <f>"• Establecer lineamientos para " &amp; IFERROR(VLOOKUP(A16, 'ANEXO A'!$A$2:$L$94, 2, FALSE), "Este Control") &amp; CHAR(10) &amp; "• Definir roles para el control " &amp; A16 &amp; CHAR(10) &amp; "• Revisar efectividad de " &amp; IFERROR(VLOOKUP(A16, 'ANEXO A'!$A$2:$L$94, 2, FALSE), "Este Control")</f>
        <v/>
      </c>
      <c r="K16" s="112" t="inlineStr">
        <is>
          <t>Asegurar el cumplimiento, control y resguardo continuo de los procesos de Control de acceso a fin de mitigar riesgos y mantener la alineación a los principios de confidencialidad, integridad y disponibilidad aplicables a este dominio.</t>
        </is>
      </c>
      <c r="L16" s="112" t="inlineStr">
        <is>
          <t>La organización deberá implementar, registrar y monitorear operativamente todos los protocolos relacionados a Control de acceso, estableciendo políticas técnicas correspondientes.</t>
        </is>
      </c>
    </row>
    <row r="17" ht="56.25" customHeight="1" s="106">
      <c r="A17" s="38">
        <f>'ANEXO A'!A17</f>
        <v/>
      </c>
      <c r="B17" s="38">
        <f>IFERROR(VLOOKUP(A17, 'ANEXO A'!$A$2:$L$94, 2, FALSE), "")</f>
        <v/>
      </c>
      <c r="C17" s="38">
        <f>IF(LEFT(A17,1)="5", "5. Organizacionales", IF(LEFT(A17,1)="6", "6. Personas", IF(LEFT(A17,1)="7", "7. Físicos", "8. Tecnológicos")))</f>
        <v/>
      </c>
      <c r="D17" s="38">
        <f>IFERROR(VLOOKUP(A17, 'ANEXO A'!$A$2:$L$94, 11, FALSE), "")</f>
        <v/>
      </c>
      <c r="E17" s="38">
        <f>IFERROR(VLOOKUP(A17, 'ANEXO A'!$A$2:$L$94, 8, FALSE), "")</f>
        <v/>
      </c>
      <c r="F17" s="38">
        <f>IFERROR(VLOOKUP(A17, 'ANEXO A'!$A$2:$L$94, 9, FALSE), "")</f>
        <v/>
      </c>
      <c r="G17" s="38">
        <f>IFERROR(VLOOKUP(A17, 'ANEXO A'!$A$2:$L$94, 10, FALSE), "")</f>
        <v/>
      </c>
      <c r="H17" s="38">
        <f>IFERROR(VLOOKUP(A17, 'ANEXO A'!$A$2:$L$94, 12, FALSE), "")</f>
        <v/>
      </c>
      <c r="I17" s="38" t="inlineStr">
        <is>
          <t>6.2. Creación de nuevos usuarios - Asignación de usuarios y roles según GSO-GSI-MP-GSI</t>
        </is>
      </c>
      <c r="J17" s="112">
        <f>"• Establecer lineamientos para " &amp; IFERROR(VLOOKUP(A17, 'ANEXO A'!$A$2:$L$94, 2, FALSE), "Este Control") &amp; CHAR(10) &amp; "• Definir roles para el control " &amp; A17 &amp; CHAR(10) &amp; "• Revisar efectividad de " &amp; IFERROR(VLOOKUP(A17, 'ANEXO A'!$A$2:$L$94, 2, FALSE), "Este Control")</f>
        <v/>
      </c>
      <c r="K17" s="112" t="inlineStr">
        <is>
          <t>Asegurar el cumplimiento, control y resguardo continuo de los procesos de Gestión de identidades a fin de mitigar riesgos y mantener la alineación a los principios de confidencialidad, integridad y disponibilidad aplicables a este dominio.</t>
        </is>
      </c>
      <c r="L17" s="112" t="inlineStr">
        <is>
          <t>La organización deberá implementar, registrar y monitorear operativamente todos los protocolos relacionados a Gestión de identidades, estableciendo políticas técnicas correspondientes.</t>
        </is>
      </c>
    </row>
    <row r="18" ht="56.25" customHeight="1" s="106">
      <c r="A18" s="38">
        <f>'ANEXO A'!A18</f>
        <v/>
      </c>
      <c r="B18" s="38">
        <f>IFERROR(VLOOKUP(A18, 'ANEXO A'!$A$2:$L$94, 2, FALSE), "")</f>
        <v/>
      </c>
      <c r="C18" s="38">
        <f>IF(LEFT(A18,1)="5", "5. Organizacionales", IF(LEFT(A18,1)="6", "6. Personas", IF(LEFT(A18,1)="7", "7. Físicos", "8. Tecnológicos")))</f>
        <v/>
      </c>
      <c r="D18" s="38">
        <f>IFERROR(VLOOKUP(A18, 'ANEXO A'!$A$2:$L$94, 11, FALSE), "")</f>
        <v/>
      </c>
      <c r="E18" s="38">
        <f>IFERROR(VLOOKUP(A18, 'ANEXO A'!$A$2:$L$94, 8, FALSE), "")</f>
        <v/>
      </c>
      <c r="F18" s="38">
        <f>IFERROR(VLOOKUP(A18, 'ANEXO A'!$A$2:$L$94, 9, FALSE), "")</f>
        <v/>
      </c>
      <c r="G18" s="38">
        <f>IFERROR(VLOOKUP(A18, 'ANEXO A'!$A$2:$L$94, 10, FALSE), "")</f>
        <v/>
      </c>
      <c r="H18" s="38">
        <f>IFERROR(VLOOKUP(A18, 'ANEXO A'!$A$2:$L$94, 12, FALSE), "")</f>
        <v/>
      </c>
      <c r="I18" s="38" t="inlineStr">
        <is>
          <t>6.11. Cambio de claves de cuentas críticas - Renovar periódicamente las contraseñas (GSO-GSI-MP-GSI)</t>
        </is>
      </c>
      <c r="J18" s="112">
        <f>"• Establecer lineamientos para " &amp; IFERROR(VLOOKUP(A18, 'ANEXO A'!$A$2:$L$94, 2, FALSE), "Este Control") &amp; CHAR(10) &amp; "• Definir roles para el control " &amp; A18 &amp; CHAR(10) &amp; "• Revisar efectividad de " &amp; IFERROR(VLOOKUP(A18, 'ANEXO A'!$A$2:$L$94, 2, FALSE), "Este Control")</f>
        <v/>
      </c>
      <c r="K18" s="112" t="inlineStr">
        <is>
          <t>Asegurar el cumplimiento, control y resguardo continuo de los procesos de Información de autenticación a fin de mitigar riesgos y mantener la alineación a los principios de confidencialidad, integridad y disponibilidad aplicables a este dominio.</t>
        </is>
      </c>
      <c r="L18" s="112" t="inlineStr">
        <is>
          <t>La organización deberá implementar, registrar y monitorear operativamente todos los protocolos relacionados a Información de autenticación, estableciendo políticas técnicas correspondientes.</t>
        </is>
      </c>
    </row>
    <row r="19" ht="56.25" customHeight="1" s="106">
      <c r="A19" s="38">
        <f>'ANEXO A'!A19</f>
        <v/>
      </c>
      <c r="B19" s="38">
        <f>IFERROR(VLOOKUP(A19, 'ANEXO A'!$A$2:$L$94, 2, FALSE), "")</f>
        <v/>
      </c>
      <c r="C19" s="38">
        <f>IF(LEFT(A19,1)="5", "5. Organizacionales", IF(LEFT(A19,1)="6", "6. Personas", IF(LEFT(A19,1)="7", "7. Físicos", "8. Tecnológicos")))</f>
        <v/>
      </c>
      <c r="D19" s="38">
        <f>IFERROR(VLOOKUP(A19, 'ANEXO A'!$A$2:$L$94, 11, FALSE), "")</f>
        <v/>
      </c>
      <c r="E19" s="38">
        <f>IFERROR(VLOOKUP(A19, 'ANEXO A'!$A$2:$L$94, 8, FALSE), "")</f>
        <v/>
      </c>
      <c r="F19" s="38">
        <f>IFERROR(VLOOKUP(A19, 'ANEXO A'!$A$2:$L$94, 9, FALSE), "")</f>
        <v/>
      </c>
      <c r="G19" s="38">
        <f>IFERROR(VLOOKUP(A19, 'ANEXO A'!$A$2:$L$94, 10, FALSE), "")</f>
        <v/>
      </c>
      <c r="H19" s="38">
        <f>IFERROR(VLOOKUP(A19, 'ANEXO A'!$A$2:$L$94, 12, FALSE), "")</f>
        <v/>
      </c>
      <c r="I19" s="38" t="inlineStr">
        <is>
          <t>6.10. Revisión periódica de roles y usuarios - Control y auditoría de accesos (GSO-GSI-MP-GSI)</t>
        </is>
      </c>
      <c r="J19" s="112">
        <f>"• Establecer lineamientos para " &amp; IFERROR(VLOOKUP(A19, 'ANEXO A'!$A$2:$L$94, 2, FALSE), "Este Control") &amp; CHAR(10) &amp; "• Definir roles para el control " &amp; A19 &amp; CHAR(10) &amp; "• Revisar efectividad de " &amp; IFERROR(VLOOKUP(A19, 'ANEXO A'!$A$2:$L$94, 2, FALSE), "Este Control")</f>
        <v/>
      </c>
      <c r="K19" s="112" t="inlineStr">
        <is>
          <t>Asegurar el cumplimiento, control y resguardo continuo de los procesos de Derechos de acceso a fin de mitigar riesgos y mantener la alineación a los principios de confidencialidad, integridad y disponibilidad aplicables a este dominio.</t>
        </is>
      </c>
      <c r="L19" s="112" t="inlineStr">
        <is>
          <t>La organización deberá implementar, registrar y monitorear operativamente todos los protocolos relacionados a Derechos de acceso, estableciendo políticas técnicas correspondientes.</t>
        </is>
      </c>
    </row>
    <row r="20" ht="78.75" customHeight="1" s="106">
      <c r="A20" s="38">
        <f>'ANEXO A'!A20</f>
        <v/>
      </c>
      <c r="B20" s="38">
        <f>IFERROR(VLOOKUP(A20, 'ANEXO A'!$A$2:$L$94, 2, FALSE), "")</f>
        <v/>
      </c>
      <c r="C20" s="38">
        <f>IF(LEFT(A20,1)="5", "5. Organizacionales", IF(LEFT(A20,1)="6", "6. Personas", IF(LEFT(A20,1)="7", "7. Físicos", "8. Tecnológicos")))</f>
        <v/>
      </c>
      <c r="D20" s="38">
        <f>IFERROR(VLOOKUP(A20, 'ANEXO A'!$A$2:$L$94, 11, FALSE), "")</f>
        <v/>
      </c>
      <c r="E20" s="38">
        <f>IFERROR(VLOOKUP(A20, 'ANEXO A'!$A$2:$L$94, 8, FALSE), "")</f>
        <v/>
      </c>
      <c r="F20" s="38">
        <f>IFERROR(VLOOKUP(A20, 'ANEXO A'!$A$2:$L$94, 9, FALSE), "")</f>
        <v/>
      </c>
      <c r="G20" s="38">
        <f>IFERROR(VLOOKUP(A20, 'ANEXO A'!$A$2:$L$94, 10, FALSE), "")</f>
        <v/>
      </c>
      <c r="H20" s="38">
        <f>IFERROR(VLOOKUP(A20, 'ANEXO A'!$A$2:$L$94, 12, FALSE), "")</f>
        <v/>
      </c>
      <c r="I20" s="38" t="inlineStr">
        <is>
          <t>6.19 Escaneo / Disp. General 2da SEPS 002: Evaluación periódica de riesgos de seguridad y solicitud de auditorías a prestadores de servicios (SEPS-2022-002 / GSO-GSI-MP-GSI).</t>
        </is>
      </c>
      <c r="J20" s="112">
        <f>"• Establecer lineamientos para " &amp; IFERROR(VLOOKUP(A20, 'ANEXO A'!$A$2:$L$94, 2, FALSE), "Este Control") &amp; CHAR(10) &amp; "• Definir roles para el control " &amp; A20 &amp; CHAR(10) &amp; "• Revisar efectividad de " &amp; IFERROR(VLOOKUP(A20, 'ANEXO A'!$A$2:$L$94, 2, FALSE), "Este Control")</f>
        <v/>
      </c>
      <c r="K20" s="112"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L20" s="112" t="inlineStr">
        <is>
          <t>La organización deberá implementar, registrar y monitorear operativamente todos los protocolos relacionados a Seguridad de la información en las relaciones con los proveedores, estableciendo políticas técnicas correspondientes.</t>
        </is>
      </c>
    </row>
    <row r="21" ht="90" customHeight="1" s="106">
      <c r="A21" s="38">
        <f>'ANEXO A'!A21</f>
        <v/>
      </c>
      <c r="B21" s="38">
        <f>IFERROR(VLOOKUP(A21, 'ANEXO A'!$A$2:$L$94, 2, FALSE), "")</f>
        <v/>
      </c>
      <c r="C21" s="38">
        <f>IF(LEFT(A21,1)="5", "5. Organizacionales", IF(LEFT(A21,1)="6", "6. Personas", IF(LEFT(A21,1)="7", "7. Físicos", "8. Tecnológicos")))</f>
        <v/>
      </c>
      <c r="D21" s="38">
        <f>IFERROR(VLOOKUP(A21, 'ANEXO A'!$A$2:$L$94, 11, FALSE), "")</f>
        <v/>
      </c>
      <c r="E21" s="38">
        <f>IFERROR(VLOOKUP(A21, 'ANEXO A'!$A$2:$L$94, 8, FALSE), "")</f>
        <v/>
      </c>
      <c r="F21" s="38">
        <f>IFERROR(VLOOKUP(A21, 'ANEXO A'!$A$2:$L$94, 9, FALSE), "")</f>
        <v/>
      </c>
      <c r="G21" s="38">
        <f>IFERROR(VLOOKUP(A21, 'ANEXO A'!$A$2:$L$94, 10, FALSE), "")</f>
        <v/>
      </c>
      <c r="H21" s="38">
        <f>IFERROR(VLOOKUP(A21, 'ANEXO A'!$A$2:$L$94, 12, FALSE), "")</f>
        <v/>
      </c>
      <c r="I21" s="38" t="inlineStr">
        <is>
          <t>Disp. General 3era SEPS 002: Incorporación obligatoria de cláusulas de seguridad de la información, protección de datos y confidencialidad en contratos (SEPS-2022-002).</t>
        </is>
      </c>
      <c r="J21" s="112">
        <f>"• Establecer lineamientos para " &amp; IFERROR(VLOOKUP(A21, 'ANEXO A'!$A$2:$L$94, 2, FALSE), "Este Control") &amp; CHAR(10) &amp; "• Definir roles para el control " &amp; A21 &amp; CHAR(10) &amp; "• Revisar efectividad de " &amp; IFERROR(VLOOKUP(A21, 'ANEXO A'!$A$2:$L$94, 2, FALSE), "Este Control")</f>
        <v/>
      </c>
      <c r="K21" s="112"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L21" s="112" t="inlineStr">
        <is>
          <t>La organización deberá implementar, registrar y monitorear operativamente todos los protocolos relacionados a Tratamiento de la seguridad de la información en los acuerdos con los proveedores, estableciendo políticas técnicas correspondientes.</t>
        </is>
      </c>
    </row>
    <row r="22" ht="90" customHeight="1" s="106">
      <c r="A22" s="38">
        <f>'ANEXO A'!A22</f>
        <v/>
      </c>
      <c r="B22" s="38">
        <f>IFERROR(VLOOKUP(A22, 'ANEXO A'!$A$2:$L$94, 2, FALSE), "")</f>
        <v/>
      </c>
      <c r="C22" s="38">
        <f>IF(LEFT(A22,1)="5", "5. Organizacionales", IF(LEFT(A22,1)="6", "6. Personas", IF(LEFT(A22,1)="7", "7. Físicos", "8. Tecnológicos")))</f>
        <v/>
      </c>
      <c r="D22" s="38">
        <f>IFERROR(VLOOKUP(A22, 'ANEXO A'!$A$2:$L$94, 11, FALSE), "")</f>
        <v/>
      </c>
      <c r="E22" s="38">
        <f>IFERROR(VLOOKUP(A22, 'ANEXO A'!$A$2:$L$94, 8, FALSE), "")</f>
        <v/>
      </c>
      <c r="F22" s="38">
        <f>IFERROR(VLOOKUP(A22, 'ANEXO A'!$A$2:$L$94, 9, FALSE), "")</f>
        <v/>
      </c>
      <c r="G22" s="38">
        <f>IFERROR(VLOOKUP(A22, 'ANEXO A'!$A$2:$L$94, 10, FALSE), "")</f>
        <v/>
      </c>
      <c r="H22" s="38">
        <f>IFERROR(VLOOKUP(A22, 'ANEXO A'!$A$2:$L$94, 12, FALSE), "")</f>
        <v/>
      </c>
      <c r="I22" s="38" t="inlineStr">
        <is>
          <t>Anexo 1 SEPS 002: Evaluación de procedencia, confiabilidad y riesgos en la adquisición de hardware, software y suministros de TIC (SEPS-2022-002).</t>
        </is>
      </c>
      <c r="J22" s="112">
        <f>"• Establecer lineamientos para " &amp; IFERROR(VLOOKUP(A22, 'ANEXO A'!$A$2:$L$94, 2, FALSE), "Este Control") &amp; CHAR(10) &amp; "• Definir roles para el control " &amp; A22 &amp; CHAR(10) &amp; "• Revisar efectividad de " &amp; IFERROR(VLOOKUP(A22, 'ANEXO A'!$A$2:$L$94, 2, FALSE), "Este Control")</f>
        <v/>
      </c>
      <c r="K22" s="112"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L22" s="112" t="inlineStr">
        <is>
          <t>La organización deberá implementar, registrar y monitorear operativamente todos los protocolos relacionados a Gestión de la seguridad de la información en la cadena de suministro de TIC, estableciendo políticas técnicas correspondientes.</t>
        </is>
      </c>
    </row>
    <row r="23" ht="90" customHeight="1" s="106">
      <c r="A23" s="38">
        <f>'ANEXO A'!A23</f>
        <v/>
      </c>
      <c r="B23" s="38">
        <f>IFERROR(VLOOKUP(A23, 'ANEXO A'!$A$2:$L$94, 2, FALSE), "")</f>
        <v/>
      </c>
      <c r="C23" s="38">
        <f>IF(LEFT(A23,1)="5", "5. Organizacionales", IF(LEFT(A23,1)="6", "6. Personas", IF(LEFT(A23,1)="7", "7. Físicos", "8. Tecnológicos")))</f>
        <v/>
      </c>
      <c r="D23" s="38">
        <f>IFERROR(VLOOKUP(A23, 'ANEXO A'!$A$2:$L$94, 11, FALSE), "")</f>
        <v/>
      </c>
      <c r="E23" s="38">
        <f>IFERROR(VLOOKUP(A23, 'ANEXO A'!$A$2:$L$94, 8, FALSE), "")</f>
        <v/>
      </c>
      <c r="F23" s="38">
        <f>IFERROR(VLOOKUP(A23, 'ANEXO A'!$A$2:$L$94, 9, FALSE), "")</f>
        <v/>
      </c>
      <c r="G23" s="38">
        <f>IFERROR(VLOOKUP(A23, 'ANEXO A'!$A$2:$L$94, 10, FALSE), "")</f>
        <v/>
      </c>
      <c r="H23" s="38">
        <f>IFERROR(VLOOKUP(A23, 'ANEXO A'!$A$2:$L$94, 12, FALSE), "")</f>
        <v/>
      </c>
      <c r="I23" s="38" t="inlineStr">
        <is>
          <t>Anexo 1 SEPS 002 / Disp. General 2da: Supervisión continua de ANS (SLA) y auditoría a cambios técnicos en plataformas provistas por terceros (SEPS-2022-002).</t>
        </is>
      </c>
      <c r="J23" s="112">
        <f>"• Establecer lineamientos para " &amp; IFERROR(VLOOKUP(A23, 'ANEXO A'!$A$2:$L$94, 2, FALSE), "Este Control") &amp; CHAR(10) &amp; "• Definir roles para el control " &amp; A23 &amp; CHAR(10) &amp; "• Revisar efectividad de " &amp; IFERROR(VLOOKUP(A23, 'ANEXO A'!$A$2:$L$94, 2, FALSE), "Este Control")</f>
        <v/>
      </c>
      <c r="K23" s="112"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L23" s="112" t="inlineStr">
        <is>
          <t>La organización deberá implementar, registrar y monitorear operativamente todos los protocolos relacionados a Seguimiento, revisión y gestión de cambios en los servicios de los proveedores, estableciendo políticas técnicas correspondientes.</t>
        </is>
      </c>
    </row>
    <row r="24" ht="78.75" customHeight="1" s="106">
      <c r="A24" s="38">
        <f>'ANEXO A'!A24</f>
        <v/>
      </c>
      <c r="B24" s="38">
        <f>IFERROR(VLOOKUP(A24, 'ANEXO A'!$A$2:$L$94, 2, FALSE), "")</f>
        <v/>
      </c>
      <c r="C24" s="38">
        <f>IF(LEFT(A24,1)="5", "5. Organizacionales", IF(LEFT(A24,1)="6", "6. Personas", IF(LEFT(A24,1)="7", "7. Físicos", "8. Tecnológicos")))</f>
        <v/>
      </c>
      <c r="D24" s="38">
        <f>IFERROR(VLOOKUP(A24, 'ANEXO A'!$A$2:$L$94, 11, FALSE), "")</f>
        <v/>
      </c>
      <c r="E24" s="38">
        <f>IFERROR(VLOOKUP(A24, 'ANEXO A'!$A$2:$L$94, 8, FALSE), "")</f>
        <v/>
      </c>
      <c r="F24" s="38">
        <f>IFERROR(VLOOKUP(A24, 'ANEXO A'!$A$2:$L$94, 9, FALSE), "")</f>
        <v/>
      </c>
      <c r="G24" s="38">
        <f>IFERROR(VLOOKUP(A24, 'ANEXO A'!$A$2:$L$94, 10, FALSE), "")</f>
        <v/>
      </c>
      <c r="H24" s="38">
        <f>IFERROR(VLOOKUP(A24, 'ANEXO A'!$A$2:$L$94, 12, FALSE), "")</f>
        <v/>
      </c>
      <c r="I24" s="38" t="inlineStr">
        <is>
          <t>6.2 Azure / 6.12 MyHSM: Gestión de configuraciones, segregación y control de llaves y servicios en esquemas SaaS/PaaS (GSO-GSI-MP-GSI).</t>
        </is>
      </c>
      <c r="J24" s="112">
        <f>"• Establecer lineamientos para " &amp; IFERROR(VLOOKUP(A24, 'ANEXO A'!$A$2:$L$94, 2, FALSE), "Este Control") &amp; CHAR(10) &amp; "• Definir roles para el control " &amp; A24 &amp; CHAR(10) &amp; "• Revisar efectividad de " &amp; IFERROR(VLOOKUP(A24, 'ANEXO A'!$A$2:$L$94, 2, FALSE), "Este Control")</f>
        <v/>
      </c>
      <c r="K24" s="112"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L24" s="112" t="inlineStr">
        <is>
          <t>La organización deberá implementar, registrar y monitorear operativamente todos los protocolos relacionados a Seguridad de la información en el uso de servicios en la nube, estableciendo políticas técnicas correspondientes.</t>
        </is>
      </c>
    </row>
    <row r="25" ht="78.75" customHeight="1" s="106">
      <c r="A25" s="38">
        <f>'ANEXO A'!A25</f>
        <v/>
      </c>
      <c r="B25" s="38">
        <f>IFERROR(VLOOKUP(A25, 'ANEXO A'!$A$2:$L$94, 2, FALSE), "")</f>
        <v/>
      </c>
      <c r="C25" s="38">
        <f>IF(LEFT(A25,1)="5", "5. Organizacionales", IF(LEFT(A25,1)="6", "6. Personas", IF(LEFT(A25,1)="7", "7. Físicos", "8. Tecnológicos")))</f>
        <v/>
      </c>
      <c r="D25" s="38">
        <f>IFERROR(VLOOKUP(A25, 'ANEXO A'!$A$2:$L$94, 11, FALSE), "")</f>
        <v/>
      </c>
      <c r="E25" s="38">
        <f>IFERROR(VLOOKUP(A25, 'ANEXO A'!$A$2:$L$94, 8, FALSE), "")</f>
        <v/>
      </c>
      <c r="F25" s="38">
        <f>IFERROR(VLOOKUP(A25, 'ANEXO A'!$A$2:$L$94, 9, FALSE), "")</f>
        <v/>
      </c>
      <c r="G25" s="38">
        <f>IFERROR(VLOOKUP(A25, 'ANEXO A'!$A$2:$L$94, 10, FALSE), "")</f>
        <v/>
      </c>
      <c r="H25" s="38">
        <f>IFERROR(VLOOKUP(A25, 'ANEXO A'!$A$2:$L$94, 12, FALSE), "")</f>
        <v/>
      </c>
      <c r="I25" s="38" t="inlineStr">
        <is>
          <t>6.15. Gestión de incidentes de seguridad de la información - Planificación de respuesta (GSO-GSI-MP-GSI)</t>
        </is>
      </c>
      <c r="J25" s="112">
        <f>"• Establecer lineamientos para " &amp; IFERROR(VLOOKUP(A25, 'ANEXO A'!$A$2:$L$94, 2, FALSE), "Este Control") &amp; CHAR(10) &amp; "• Definir roles para el control " &amp; A25 &amp; CHAR(10) &amp; "• Revisar efectividad de " &amp; IFERROR(VLOOKUP(A25, 'ANEXO A'!$A$2:$L$94, 2, FALSE), "Este Control")</f>
        <v/>
      </c>
      <c r="K25" s="112"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L25" s="112" t="inlineStr">
        <is>
          <t>La organización deberá implementar, registrar y monitorear operativamente todos los protocolos relacionados a Planificación y preparación de la gestión de incidentes, estableciendo políticas técnicas correspondientes.</t>
        </is>
      </c>
    </row>
    <row r="26" ht="78.75" customHeight="1" s="106">
      <c r="A26" s="38">
        <f>'ANEXO A'!A26</f>
        <v/>
      </c>
      <c r="B26" s="38">
        <f>IFERROR(VLOOKUP(A26, 'ANEXO A'!$A$2:$L$94, 2, FALSE), "")</f>
        <v/>
      </c>
      <c r="C26" s="38">
        <f>IF(LEFT(A26,1)="5", "5. Organizacionales", IF(LEFT(A26,1)="6", "6. Personas", IF(LEFT(A26,1)="7", "7. Físicos", "8. Tecnológicos")))</f>
        <v/>
      </c>
      <c r="D26" s="38">
        <f>IFERROR(VLOOKUP(A26, 'ANEXO A'!$A$2:$L$94, 11, FALSE), "")</f>
        <v/>
      </c>
      <c r="E26" s="38">
        <f>IFERROR(VLOOKUP(A26, 'ANEXO A'!$A$2:$L$94, 8, FALSE), "")</f>
        <v/>
      </c>
      <c r="F26" s="38">
        <f>IFERROR(VLOOKUP(A26, 'ANEXO A'!$A$2:$L$94, 9, FALSE), "")</f>
        <v/>
      </c>
      <c r="G26" s="38">
        <f>IFERROR(VLOOKUP(A26, 'ANEXO A'!$A$2:$L$94, 10, FALSE), "")</f>
        <v/>
      </c>
      <c r="H26" s="38">
        <f>IFERROR(VLOOKUP(A26, 'ANEXO A'!$A$2:$L$94, 12, FALSE), "")</f>
        <v/>
      </c>
      <c r="I26" s="38" t="inlineStr">
        <is>
          <t>6.15 Gestión de incidentes (Act. 2 y 3): Análisis, categorización, clasificación y registro de eventos y riesgos en el sistema RDS (GSO-GSI-MP-GSI).</t>
        </is>
      </c>
      <c r="J26" s="112">
        <f>"• Establecer lineamientos para " &amp; IFERROR(VLOOKUP(A26, 'ANEXO A'!$A$2:$L$94, 2, FALSE), "Este Control") &amp; CHAR(10) &amp; "• Definir roles para el control " &amp; A26 &amp; CHAR(10) &amp; "• Revisar efectividad de " &amp; IFERROR(VLOOKUP(A26, 'ANEXO A'!$A$2:$L$94, 2, FALSE), "Este Control")</f>
        <v/>
      </c>
      <c r="K26" s="112"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L26" s="112" t="inlineStr">
        <is>
          <t>La organización deberá implementar, registrar y monitorear operativamente todos los protocolos relacionados a Evaluación y decisión sobre los eventos de seguridad, estableciendo políticas técnicas correspondientes.</t>
        </is>
      </c>
    </row>
    <row r="27" ht="78.75" customHeight="1" s="106">
      <c r="A27" s="38">
        <f>'ANEXO A'!A27</f>
        <v/>
      </c>
      <c r="B27" s="38">
        <f>IFERROR(VLOOKUP(A27, 'ANEXO A'!$A$2:$L$94, 2, FALSE), "")</f>
        <v/>
      </c>
      <c r="C27" s="38">
        <f>IF(LEFT(A27,1)="5", "5. Organizacionales", IF(LEFT(A27,1)="6", "6. Personas", IF(LEFT(A27,1)="7", "7. Físicos", "8. Tecnológicos")))</f>
        <v/>
      </c>
      <c r="D27" s="38">
        <f>IFERROR(VLOOKUP(A27, 'ANEXO A'!$A$2:$L$94, 11, FALSE), "")</f>
        <v/>
      </c>
      <c r="E27" s="38">
        <f>IFERROR(VLOOKUP(A27, 'ANEXO A'!$A$2:$L$94, 8, FALSE), "")</f>
        <v/>
      </c>
      <c r="F27" s="38">
        <f>IFERROR(VLOOKUP(A27, 'ANEXO A'!$A$2:$L$94, 9, FALSE), "")</f>
        <v/>
      </c>
      <c r="G27" s="38">
        <f>IFERROR(VLOOKUP(A27, 'ANEXO A'!$A$2:$L$94, 10, FALSE), "")</f>
        <v/>
      </c>
      <c r="H27" s="38">
        <f>IFERROR(VLOOKUP(A27, 'ANEXO A'!$A$2:$L$94, 12, FALSE), "")</f>
        <v/>
      </c>
      <c r="I27" s="38" t="inlineStr">
        <is>
          <t>6.15 Gestión de incidentes (Act. 3, 4 y 5): Ejecución de acciones de contención, mitigación y escalamiento a Gerencia y Comité de Seguridad (GSO-GSI-MP-GSI).</t>
        </is>
      </c>
      <c r="J27" s="112">
        <f>"• Establecer lineamientos para " &amp; IFERROR(VLOOKUP(A27, 'ANEXO A'!$A$2:$L$94, 2, FALSE), "Este Control") &amp; CHAR(10) &amp; "• Definir roles para el control " &amp; A27 &amp; CHAR(10) &amp; "• Revisar efectividad de " &amp; IFERROR(VLOOKUP(A27, 'ANEXO A'!$A$2:$L$94, 2, FALSE), "Este Control")</f>
        <v/>
      </c>
      <c r="K27" s="112"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L27" s="112" t="inlineStr">
        <is>
          <t>La organización deberá implementar, registrar y monitorear operativamente todos los protocolos relacionados a Respuesta a los incidentes de seguridad de la información, estableciendo políticas técnicas correspondientes.</t>
        </is>
      </c>
    </row>
    <row r="28" ht="78.75" customHeight="1" s="106">
      <c r="A28" s="38">
        <f>'ANEXO A'!A28</f>
        <v/>
      </c>
      <c r="B28" s="38">
        <f>IFERROR(VLOOKUP(A28, 'ANEXO A'!$A$2:$L$94, 2, FALSE), "")</f>
        <v/>
      </c>
      <c r="C28" s="38">
        <f>IF(LEFT(A28,1)="5", "5. Organizacionales", IF(LEFT(A28,1)="6", "6. Personas", IF(LEFT(A28,1)="7", "7. Físicos", "8. Tecnológicos")))</f>
        <v/>
      </c>
      <c r="D28" s="38">
        <f>IFERROR(VLOOKUP(A28, 'ANEXO A'!$A$2:$L$94, 11, FALSE), "")</f>
        <v/>
      </c>
      <c r="E28" s="38">
        <f>IFERROR(VLOOKUP(A28, 'ANEXO A'!$A$2:$L$94, 8, FALSE), "")</f>
        <v/>
      </c>
      <c r="F28" s="38">
        <f>IFERROR(VLOOKUP(A28, 'ANEXO A'!$A$2:$L$94, 9, FALSE), "")</f>
        <v/>
      </c>
      <c r="G28" s="38">
        <f>IFERROR(VLOOKUP(A28, 'ANEXO A'!$A$2:$L$94, 10, FALSE), "")</f>
        <v/>
      </c>
      <c r="H28" s="38">
        <f>IFERROR(VLOOKUP(A28, 'ANEXO A'!$A$2:$L$94, 12, FALSE), "")</f>
        <v/>
      </c>
      <c r="I28" s="38" t="inlineStr">
        <is>
          <t>6.15 Gestión de incidentes (Act. 7 y 8): Análisis de causa raíz, actualización de controles y enriquecimiento del Plan Anual de SI (GSO-GSI-MP-GSI).</t>
        </is>
      </c>
      <c r="J28" s="112">
        <f>"• Establecer lineamientos para " &amp; IFERROR(VLOOKUP(A28, 'ANEXO A'!$A$2:$L$94, 2, FALSE), "Este Control") &amp; CHAR(10) &amp; "• Definir roles para el control " &amp; A28 &amp; CHAR(10) &amp; "• Revisar efectividad de " &amp; IFERROR(VLOOKUP(A28, 'ANEXO A'!$A$2:$L$94, 2, FALSE), "Este Control")</f>
        <v/>
      </c>
      <c r="K28" s="112"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L28" s="112" t="inlineStr">
        <is>
          <t>La organización deberá implementar, registrar y monitorear operativamente todos los protocolos relacionados a Aprendizaje de los incidentes de seguridad de la información, estableciendo políticas técnicas correspondientes.</t>
        </is>
      </c>
    </row>
    <row r="29" ht="56.25" customHeight="1" s="106">
      <c r="A29" s="38">
        <f>'ANEXO A'!A29</f>
        <v/>
      </c>
      <c r="B29" s="38">
        <f>IFERROR(VLOOKUP(A29, 'ANEXO A'!$A$2:$L$94, 2, FALSE), "")</f>
        <v/>
      </c>
      <c r="C29" s="38">
        <f>IF(LEFT(A29,1)="5", "5. Organizacionales", IF(LEFT(A29,1)="6", "6. Personas", IF(LEFT(A29,1)="7", "7. Físicos", "8. Tecnológicos")))</f>
        <v/>
      </c>
      <c r="D29" s="38">
        <f>IFERROR(VLOOKUP(A29, 'ANEXO A'!$A$2:$L$94, 11, FALSE), "")</f>
        <v/>
      </c>
      <c r="E29" s="38">
        <f>IFERROR(VLOOKUP(A29, 'ANEXO A'!$A$2:$L$94, 8, FALSE), "")</f>
        <v/>
      </c>
      <c r="F29" s="38">
        <f>IFERROR(VLOOKUP(A29, 'ANEXO A'!$A$2:$L$94, 9, FALSE), "")</f>
        <v/>
      </c>
      <c r="G29" s="38">
        <f>IFERROR(VLOOKUP(A29, 'ANEXO A'!$A$2:$L$94, 10, FALSE), "")</f>
        <v/>
      </c>
      <c r="H29" s="38">
        <f>IFERROR(VLOOKUP(A29, 'ANEXO A'!$A$2:$L$94, 12, FALSE), "")</f>
        <v/>
      </c>
      <c r="I29" s="38" t="inlineStr">
        <is>
          <t>6.14 Auditoría BD / 6.15 Incidentes: Preservación de logs, pistas de auditoría y cadena de custodia técnica (GSO-GSI-MP-GSI / ISO 27002).</t>
        </is>
      </c>
      <c r="J29" s="112">
        <f>"• Establecer lineamientos para " &amp; IFERROR(VLOOKUP(A29, 'ANEXO A'!$A$2:$L$94, 2, FALSE), "Este Control") &amp; CHAR(10) &amp; "• Definir roles para el control " &amp; A29 &amp; CHAR(10) &amp; "• Revisar efectividad de " &amp; IFERROR(VLOOKUP(A29, 'ANEXO A'!$A$2:$L$94, 2, FALSE), "Este Control")</f>
        <v/>
      </c>
      <c r="K29" s="112" t="inlineStr">
        <is>
          <t>Asegurar el cumplimiento, control y resguardo continuo de los procesos de Recolección de evidencias a fin de mitigar riesgos y mantener la alineación a los principios de confidencialidad, integridad y disponibilidad aplicables a este dominio.</t>
        </is>
      </c>
      <c r="L29" s="112" t="inlineStr">
        <is>
          <t>La organización deberá implementar, registrar y monitorear operativamente todos los protocolos relacionados a Recolección de evidencias, estableciendo políticas técnicas correspondientes.</t>
        </is>
      </c>
    </row>
    <row r="30" ht="67.5" customHeight="1" s="106">
      <c r="A30" s="38">
        <f>'ANEXO A'!A30</f>
        <v/>
      </c>
      <c r="B30" s="38">
        <f>IFERROR(VLOOKUP(A30, 'ANEXO A'!$A$2:$L$94, 2, FALSE), "")</f>
        <v/>
      </c>
      <c r="C30" s="38">
        <f>IF(LEFT(A30,1)="5", "5. Organizacionales", IF(LEFT(A30,1)="6", "6. Personas", IF(LEFT(A30,1)="7", "7. Físicos", "8. Tecnológicos")))</f>
        <v/>
      </c>
      <c r="D30" s="38">
        <f>IFERROR(VLOOKUP(A30, 'ANEXO A'!$A$2:$L$94, 11, FALSE), "")</f>
        <v/>
      </c>
      <c r="E30" s="38">
        <f>IFERROR(VLOOKUP(A30, 'ANEXO A'!$A$2:$L$94, 8, FALSE), "")</f>
        <v/>
      </c>
      <c r="F30" s="38">
        <f>IFERROR(VLOOKUP(A30, 'ANEXO A'!$A$2:$L$94, 9, FALSE), "")</f>
        <v/>
      </c>
      <c r="G30" s="38">
        <f>IFERROR(VLOOKUP(A30, 'ANEXO A'!$A$2:$L$94, 10, FALSE), "")</f>
        <v/>
      </c>
      <c r="H30" s="38">
        <f>IFERROR(VLOOKUP(A30, 'ANEXO A'!$A$2:$L$94, 12, FALSE), "")</f>
        <v/>
      </c>
      <c r="I30" s="38" t="inlineStr">
        <is>
          <t>Anexo 1 SEPS / DRP: Mantenimiento de las salvaguardas de confidencialidad e integridad durante la activación de contingencias (SEPS-2022-002 / ISO 27001).</t>
        </is>
      </c>
      <c r="J30" s="112">
        <f>"• Establecer lineamientos para " &amp; IFERROR(VLOOKUP(A30, 'ANEXO A'!$A$2:$L$94, 2, FALSE), "Este Control") &amp; CHAR(10) &amp; "• Definir roles para el control " &amp; A30 &amp; CHAR(10) &amp; "• Revisar efectividad de " &amp; IFERROR(VLOOKUP(A30, 'ANEXO A'!$A$2:$L$94, 2, FALSE), "Este Control")</f>
        <v/>
      </c>
      <c r="K30" s="112"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L30" s="112" t="inlineStr">
        <is>
          <t>La organización deberá implementar, registrar y monitorear operativamente todos los protocolos relacionados a Seguridad de la información durante la interrupción, estableciendo políticas técnicas correspondientes.</t>
        </is>
      </c>
    </row>
    <row r="31" ht="78.75" customHeight="1" s="106">
      <c r="A31" s="38">
        <f>'ANEXO A'!A31</f>
        <v/>
      </c>
      <c r="B31" s="38">
        <f>IFERROR(VLOOKUP(A31, 'ANEXO A'!$A$2:$L$94, 2, FALSE), "")</f>
        <v/>
      </c>
      <c r="C31" s="38">
        <f>IF(LEFT(A31,1)="5", "5. Organizacionales", IF(LEFT(A31,1)="6", "6. Personas", IF(LEFT(A31,1)="7", "7. Físicos", "8. Tecnológicos")))</f>
        <v/>
      </c>
      <c r="D31" s="38">
        <f>IFERROR(VLOOKUP(A31, 'ANEXO A'!$A$2:$L$94, 11, FALSE), "")</f>
        <v/>
      </c>
      <c r="E31" s="38">
        <f>IFERROR(VLOOKUP(A31, 'ANEXO A'!$A$2:$L$94, 8, FALSE), "")</f>
        <v/>
      </c>
      <c r="F31" s="38">
        <f>IFERROR(VLOOKUP(A31, 'ANEXO A'!$A$2:$L$94, 9, FALSE), "")</f>
        <v/>
      </c>
      <c r="G31" s="38">
        <f>IFERROR(VLOOKUP(A31, 'ANEXO A'!$A$2:$L$94, 10, FALSE), "")</f>
        <v/>
      </c>
      <c r="H31" s="38">
        <f>IFERROR(VLOOKUP(A31, 'ANEXO A'!$A$2:$L$94, 12, FALSE), "")</f>
        <v/>
      </c>
      <c r="I31" s="38" t="inlineStr">
        <is>
          <t>Anexo 1 SEPS (Planes de Contingencia): Definición y pruebas periódicas de RTO/RPO y continuidad en infraestructura tecnológica (SEPS-2022-002).</t>
        </is>
      </c>
      <c r="J31" s="112">
        <f>"• Establecer lineamientos para " &amp; IFERROR(VLOOKUP(A31, 'ANEXO A'!$A$2:$L$94, 2, FALSE), "Este Control") &amp; CHAR(10) &amp; "• Definir roles para el control " &amp; A31 &amp; CHAR(10) &amp; "• Revisar efectividad de " &amp; IFERROR(VLOOKUP(A31, 'ANEXO A'!$A$2:$L$94, 2, FALSE), "Este Control")</f>
        <v/>
      </c>
      <c r="K31" s="112"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L31" s="112" t="inlineStr">
        <is>
          <t>La organización deberá implementar, registrar y monitorear operativamente todos los protocolos relacionados a Preparación de las TIC para la continuidad del negocio, estableciendo políticas técnicas correspondientes.</t>
        </is>
      </c>
    </row>
    <row r="32" ht="78.75" customHeight="1" s="106">
      <c r="A32" s="38">
        <f>'ANEXO A'!A32</f>
        <v/>
      </c>
      <c r="B32" s="38">
        <f>IFERROR(VLOOKUP(A32, 'ANEXO A'!$A$2:$L$94, 2, FALSE), "")</f>
        <v/>
      </c>
      <c r="C32" s="38">
        <f>IF(LEFT(A32,1)="5", "5. Organizacionales", IF(LEFT(A32,1)="6", "6. Personas", IF(LEFT(A32,1)="7", "7. Físicos", "8. Tecnológicos")))</f>
        <v/>
      </c>
      <c r="D32" s="38">
        <f>IFERROR(VLOOKUP(A32, 'ANEXO A'!$A$2:$L$94, 11, FALSE), "")</f>
        <v/>
      </c>
      <c r="E32" s="38">
        <f>IFERROR(VLOOKUP(A32, 'ANEXO A'!$A$2:$L$94, 8, FALSE), "")</f>
        <v/>
      </c>
      <c r="F32" s="38">
        <f>IFERROR(VLOOKUP(A32, 'ANEXO A'!$A$2:$L$94, 9, FALSE), "")</f>
        <v/>
      </c>
      <c r="G32" s="38">
        <f>IFERROR(VLOOKUP(A32, 'ANEXO A'!$A$2:$L$94, 10, FALSE), "")</f>
        <v/>
      </c>
      <c r="H32" s="38">
        <f>IFERROR(VLOOKUP(A32, 'ANEXO A'!$A$2:$L$94, 12, FALSE), "")</f>
        <v/>
      </c>
      <c r="I32" s="38" t="inlineStr">
        <is>
          <t>Sec. 3 Marco Normativo SEPS 002: Mapeo y cumplimiento sistemático del marco legal (SEPS, LOPDP, ISO 27001) (GSO-GSI-MP-GSI / SEPS-2022-002).</t>
        </is>
      </c>
      <c r="J32" s="112">
        <f>"• Establecer lineamientos para " &amp; IFERROR(VLOOKUP(A32, 'ANEXO A'!$A$2:$L$94, 2, FALSE), "Este Control") &amp; CHAR(10) &amp; "• Definir roles para el control " &amp; A32 &amp; CHAR(10) &amp; "• Revisar efectividad de " &amp; IFERROR(VLOOKUP(A32, 'ANEXO A'!$A$2:$L$94, 2, FALSE), "Este Control")</f>
        <v/>
      </c>
      <c r="K32" s="112"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L32" s="112" t="inlineStr">
        <is>
          <t>La organización deberá implementar, registrar y monitorear operativamente todos los protocolos relacionados a Requisitos legales, estatutarios, reglamentarios y contractuales, estableciendo políticas técnicas correspondientes.</t>
        </is>
      </c>
    </row>
    <row r="33" ht="56.25" customHeight="1" s="106">
      <c r="A33" s="38">
        <f>'ANEXO A'!A33</f>
        <v/>
      </c>
      <c r="B33" s="38">
        <f>IFERROR(VLOOKUP(A33, 'ANEXO A'!$A$2:$L$94, 2, FALSE), "")</f>
        <v/>
      </c>
      <c r="C33" s="38">
        <f>IF(LEFT(A33,1)="5", "5. Organizacionales", IF(LEFT(A33,1)="6", "6. Personas", IF(LEFT(A33,1)="7", "7. Físicos", "8. Tecnológicos")))</f>
        <v/>
      </c>
      <c r="D33" s="38">
        <f>IFERROR(VLOOKUP(A33, 'ANEXO A'!$A$2:$L$94, 11, FALSE), "")</f>
        <v/>
      </c>
      <c r="E33" s="38">
        <f>IFERROR(VLOOKUP(A33, 'ANEXO A'!$A$2:$L$94, 8, FALSE), "")</f>
        <v/>
      </c>
      <c r="F33" s="38">
        <f>IFERROR(VLOOKUP(A33, 'ANEXO A'!$A$2:$L$94, 9, FALSE), "")</f>
        <v/>
      </c>
      <c r="G33" s="38">
        <f>IFERROR(VLOOKUP(A33, 'ANEXO A'!$A$2:$L$94, 10, FALSE), "")</f>
        <v/>
      </c>
      <c r="H33" s="38">
        <f>IFERROR(VLOOKUP(A33, 'ANEXO A'!$A$2:$L$94, 12, FALSE), "")</f>
        <v/>
      </c>
      <c r="I33" s="38" t="inlineStr">
        <is>
          <t>6.13 Gestión de activos / Anexo 1 SEPS: Control y verificación de licenciamiento de software y restricción de uso no autorizado (GSO-GSI-ME-GAI / SEPS-2022-002).</t>
        </is>
      </c>
      <c r="J33" s="112">
        <f>"• Establecer lineamientos para " &amp; IFERROR(VLOOKUP(A33, 'ANEXO A'!$A$2:$L$94, 2, FALSE), "Este Control") &amp; CHAR(10) &amp; "• Definir roles para el control " &amp; A33 &amp; CHAR(10) &amp; "• Revisar efectividad de " &amp; IFERROR(VLOOKUP(A33, 'ANEXO A'!$A$2:$L$94, 2, FALSE), "Este Control")</f>
        <v/>
      </c>
      <c r="K33" s="112" t="inlineStr">
        <is>
          <t>Asegurar el cumplimiento, control y resguardo continuo de los procesos de Derechos de propiedad intelectual a fin de mitigar riesgos y mantener la alineación a los principios de confidencialidad, integridad y disponibilidad aplicables a este dominio.</t>
        </is>
      </c>
      <c r="L33" s="112" t="inlineStr">
        <is>
          <t>La organización deberá implementar, registrar y monitorear operativamente todos los protocolos relacionados a Derechos de propiedad intelectual, estableciendo políticas técnicas correspondientes.</t>
        </is>
      </c>
    </row>
    <row r="34" ht="56.25" customHeight="1" s="106">
      <c r="A34" s="38">
        <f>'ANEXO A'!A34</f>
        <v/>
      </c>
      <c r="B34" s="38">
        <f>IFERROR(VLOOKUP(A34, 'ANEXO A'!$A$2:$L$94, 2, FALSE), "")</f>
        <v/>
      </c>
      <c r="C34" s="38">
        <f>IF(LEFT(A34,1)="5", "5. Organizacionales", IF(LEFT(A34,1)="6", "6. Personas", IF(LEFT(A34,1)="7", "7. Físicos", "8. Tecnológicos")))</f>
        <v/>
      </c>
      <c r="D34" s="38">
        <f>IFERROR(VLOOKUP(A34, 'ANEXO A'!$A$2:$L$94, 11, FALSE), "")</f>
        <v/>
      </c>
      <c r="E34" s="38">
        <f>IFERROR(VLOOKUP(A34, 'ANEXO A'!$A$2:$L$94, 8, FALSE), "")</f>
        <v/>
      </c>
      <c r="F34" s="38">
        <f>IFERROR(VLOOKUP(A34, 'ANEXO A'!$A$2:$L$94, 9, FALSE), "")</f>
        <v/>
      </c>
      <c r="G34" s="38">
        <f>IFERROR(VLOOKUP(A34, 'ANEXO A'!$A$2:$L$94, 10, FALSE), "")</f>
        <v/>
      </c>
      <c r="H34" s="38">
        <f>IFERROR(VLOOKUP(A34, 'ANEXO A'!$A$2:$L$94, 12, FALSE), "")</f>
        <v/>
      </c>
      <c r="I34" s="38" t="inlineStr">
        <is>
          <t>6.1 Políticas / 6.14 Auditoría BD: Custodia, retención y protección física y lógica de bitácoras, actas y registros digitales (GSO-GSI-MP-GSI).</t>
        </is>
      </c>
      <c r="J34" s="112">
        <f>"• Establecer lineamientos para " &amp; IFERROR(VLOOKUP(A34, 'ANEXO A'!$A$2:$L$94, 2, FALSE), "Este Control") &amp; CHAR(10) &amp; "• Definir roles para el control " &amp; A34 &amp; CHAR(10) &amp; "• Revisar efectividad de " &amp; IFERROR(VLOOKUP(A34, 'ANEXO A'!$A$2:$L$94, 2, FALSE), "Este Control")</f>
        <v/>
      </c>
      <c r="K34" s="112" t="inlineStr">
        <is>
          <t>Asegurar el cumplimiento, control y resguardo continuo de los procesos de Protección de los registros a fin de mitigar riesgos y mantener la alineación a los principios de confidencialidad, integridad y disponibilidad aplicables a este dominio.</t>
        </is>
      </c>
      <c r="L34" s="112" t="inlineStr">
        <is>
          <t>La organización deberá implementar, registrar y monitorear operativamente todos los protocolos relacionados a Protección de los registros, estableciendo políticas técnicas correspondientes.</t>
        </is>
      </c>
    </row>
    <row r="35" ht="90" customHeight="1" s="106">
      <c r="A35" s="38">
        <f>'ANEXO A'!A35</f>
        <v/>
      </c>
      <c r="B35" s="38">
        <f>IFERROR(VLOOKUP(A35, 'ANEXO A'!$A$2:$L$94, 2, FALSE), "")</f>
        <v/>
      </c>
      <c r="C35" s="38">
        <f>IF(LEFT(A35,1)="5", "5. Organizacionales", IF(LEFT(A35,1)="6", "6. Personas", IF(LEFT(A35,1)="7", "7. Físicos", "8. Tecnológicos")))</f>
        <v/>
      </c>
      <c r="D35" s="38">
        <f>IFERROR(VLOOKUP(A35, 'ANEXO A'!$A$2:$L$94, 11, FALSE), "")</f>
        <v/>
      </c>
      <c r="E35" s="38">
        <f>IFERROR(VLOOKUP(A35, 'ANEXO A'!$A$2:$L$94, 8, FALSE), "")</f>
        <v/>
      </c>
      <c r="F35" s="38">
        <f>IFERROR(VLOOKUP(A35, 'ANEXO A'!$A$2:$L$94, 9, FALSE), "")</f>
        <v/>
      </c>
      <c r="G35" s="38">
        <f>IFERROR(VLOOKUP(A35, 'ANEXO A'!$A$2:$L$94, 10, FALSE), "")</f>
        <v/>
      </c>
      <c r="H35" s="38">
        <f>IFERROR(VLOOKUP(A35, 'ANEXO A'!$A$2:$L$94, 12, FALSE), "")</f>
        <v/>
      </c>
      <c r="I35" s="38" t="inlineStr">
        <is>
          <t>6.17 Escaneo PCI DSS / LOPDP: Tratamiento lícito, enmascaramiento y resguardo de datos personales y tarjetahabientes (GSO-GSI-MP-GSI / SEPS-2022-002).</t>
        </is>
      </c>
      <c r="J35" s="112">
        <f>"• Establecer lineamientos para " &amp; IFERROR(VLOOKUP(A35, 'ANEXO A'!$A$2:$L$94, 2, FALSE), "Este Control") &amp; CHAR(10) &amp; "• Definir roles para el control " &amp; A35 &amp; CHAR(10) &amp; "• Revisar efectividad de " &amp; IFERROR(VLOOKUP(A35, 'ANEXO A'!$A$2:$L$94, 2, FALSE), "Este Control")</f>
        <v/>
      </c>
      <c r="K35" s="112"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L35" s="112" t="inlineStr">
        <is>
          <t>La organización deberá implementar, registrar y monitorear operativamente todos los protocolos relacionados a Privacidad y protección de la información de identificación personal (PII), estableciendo políticas técnicas correspondientes.</t>
        </is>
      </c>
    </row>
    <row r="36" ht="78.75" customHeight="1" s="106">
      <c r="A36" s="38">
        <f>'ANEXO A'!A36</f>
        <v/>
      </c>
      <c r="B36" s="38">
        <f>IFERROR(VLOOKUP(A36, 'ANEXO A'!$A$2:$L$94, 2, FALSE), "")</f>
        <v/>
      </c>
      <c r="C36" s="38">
        <f>IF(LEFT(A36,1)="5", "5. Organizacionales", IF(LEFT(A36,1)="6", "6. Personas", IF(LEFT(A36,1)="7", "7. Físicos", "8. Tecnológicos")))</f>
        <v/>
      </c>
      <c r="D36" s="38">
        <f>IFERROR(VLOOKUP(A36, 'ANEXO A'!$A$2:$L$94, 11, FALSE), "")</f>
        <v/>
      </c>
      <c r="E36" s="38">
        <f>IFERROR(VLOOKUP(A36, 'ANEXO A'!$A$2:$L$94, 8, FALSE), "")</f>
        <v/>
      </c>
      <c r="F36" s="38">
        <f>IFERROR(VLOOKUP(A36, 'ANEXO A'!$A$2:$L$94, 9, FALSE), "")</f>
        <v/>
      </c>
      <c r="G36" s="38">
        <f>IFERROR(VLOOKUP(A36, 'ANEXO A'!$A$2:$L$94, 10, FALSE), "")</f>
        <v/>
      </c>
      <c r="H36" s="38">
        <f>IFERROR(VLOOKUP(A36, 'ANEXO A'!$A$2:$L$94, 12, FALSE), "")</f>
        <v/>
      </c>
      <c r="I36" s="38" t="inlineStr">
        <is>
          <t>6.2 Controles / Sec. 12 SEPS 002: Auditorías informáticas internas y externas anuales al SGSI (GSO-GSI-MP-GSI / SEPS-2022-002).</t>
        </is>
      </c>
      <c r="J36" s="112">
        <f>"• Establecer lineamientos para " &amp; IFERROR(VLOOKUP(A36, 'ANEXO A'!$A$2:$L$94, 2, FALSE), "Este Control") &amp; CHAR(10) &amp; "• Definir roles para el control " &amp; A36 &amp; CHAR(10) &amp; "• Revisar efectividad de " &amp; IFERROR(VLOOKUP(A36, 'ANEXO A'!$A$2:$L$94, 2, FALSE), "Este Control")</f>
        <v/>
      </c>
      <c r="K36" s="112"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L36" s="112" t="inlineStr">
        <is>
          <t>La organización deberá implementar, registrar y monitorear operativamente todos los protocolos relacionados a Revisión independiente de la seguridad de la información, estableciendo políticas técnicas correspondientes.</t>
        </is>
      </c>
    </row>
    <row r="37" ht="78.75" customHeight="1" s="106">
      <c r="A37" s="38">
        <f>'ANEXO A'!A37</f>
        <v/>
      </c>
      <c r="B37" s="38">
        <f>IFERROR(VLOOKUP(A37, 'ANEXO A'!$A$2:$L$94, 2, FALSE), "")</f>
        <v/>
      </c>
      <c r="C37" s="38">
        <f>IF(LEFT(A37,1)="5", "5. Organizacionales", IF(LEFT(A37,1)="6", "6. Personas", IF(LEFT(A37,1)="7", "7. Físicos", "8. Tecnológicos")))</f>
        <v/>
      </c>
      <c r="D37" s="38">
        <f>IFERROR(VLOOKUP(A37, 'ANEXO A'!$A$2:$L$94, 11, FALSE), "")</f>
        <v/>
      </c>
      <c r="E37" s="38">
        <f>IFERROR(VLOOKUP(A37, 'ANEXO A'!$A$2:$L$94, 8, FALSE), "")</f>
        <v/>
      </c>
      <c r="F37" s="38">
        <f>IFERROR(VLOOKUP(A37, 'ANEXO A'!$A$2:$L$94, 9, FALSE), "")</f>
        <v/>
      </c>
      <c r="G37" s="38">
        <f>IFERROR(VLOOKUP(A37, 'ANEXO A'!$A$2:$L$94, 10, FALSE), "")</f>
        <v/>
      </c>
      <c r="H37" s="38">
        <f>IFERROR(VLOOKUP(A37, 'ANEXO A'!$A$2:$L$94, 12, FALSE), "")</f>
        <v/>
      </c>
      <c r="I37" s="38" t="inlineStr">
        <is>
          <t>6.16 Revisión y monitoreo: Ejecución de checklist semestral y elaboración de informe de cumplimiento de políticas (GSO-GSI-MP-GSI).</t>
        </is>
      </c>
      <c r="J37" s="112">
        <f>"• Establecer lineamientos para " &amp; IFERROR(VLOOKUP(A37, 'ANEXO A'!$A$2:$L$94, 2, FALSE), "Este Control") &amp; CHAR(10) &amp; "• Definir roles para el control " &amp; A37 &amp; CHAR(10) &amp; "• Revisar efectividad de " &amp; IFERROR(VLOOKUP(A37, 'ANEXO A'!$A$2:$L$94, 2, FALSE), "Este Control")</f>
        <v/>
      </c>
      <c r="K37" s="112"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L37" s="112" t="inlineStr">
        <is>
          <t>La organización deberá implementar, registrar y monitorear operativamente todos los protocolos relacionados a Cumplimiento de las políticas, normas y estándares de seguridad, estableciendo políticas técnicas correspondientes.</t>
        </is>
      </c>
    </row>
    <row r="38" ht="78.75" customHeight="1" s="106">
      <c r="A38" s="38">
        <f>'ANEXO A'!A38</f>
        <v/>
      </c>
      <c r="B38" s="38">
        <f>IFERROR(VLOOKUP(A38, 'ANEXO A'!$A$2:$L$94, 2, FALSE), "")</f>
        <v/>
      </c>
      <c r="C38" s="38">
        <f>IF(LEFT(A38,1)="5", "5. Organizacionales", IF(LEFT(A38,1)="6", "6. Personas", IF(LEFT(A38,1)="7", "7. Físicos", "8. Tecnológicos")))</f>
        <v/>
      </c>
      <c r="D38" s="38">
        <f>IFERROR(VLOOKUP(A38, 'ANEXO A'!$A$2:$L$94, 11, FALSE), "")</f>
        <v/>
      </c>
      <c r="E38" s="38">
        <f>IFERROR(VLOOKUP(A38, 'ANEXO A'!$A$2:$L$94, 8, FALSE), "")</f>
        <v/>
      </c>
      <c r="F38" s="38">
        <f>IFERROR(VLOOKUP(A38, 'ANEXO A'!$A$2:$L$94, 9, FALSE), "")</f>
        <v/>
      </c>
      <c r="G38" s="38">
        <f>IFERROR(VLOOKUP(A38, 'ANEXO A'!$A$2:$L$94, 10, FALSE), "")</f>
        <v/>
      </c>
      <c r="H38" s="38">
        <f>IFERROR(VLOOKUP(A38, 'ANEXO A'!$A$2:$L$94, 12, FALSE), "")</f>
        <v/>
      </c>
      <c r="I38" s="38" t="inlineStr">
        <is>
          <t>Sec. 6 Procedimientos Operativos GSI: Elaboración, actualización y formalización de manuales e instructivos de seguridad (GSO-GSI-MP-GSI).</t>
        </is>
      </c>
      <c r="J38" s="112">
        <f>"• Establecer lineamientos para " &amp; IFERROR(VLOOKUP(A38, 'ANEXO A'!$A$2:$L$94, 2, FALSE), "Este Control") &amp; CHAR(10) &amp; "• Definir roles para el control " &amp; A38 &amp; CHAR(10) &amp; "• Revisar efectividad de " &amp; IFERROR(VLOOKUP(A38, 'ANEXO A'!$A$2:$L$94, 2, FALSE), "Este Control")</f>
        <v/>
      </c>
      <c r="K38" s="112" t="inlineStr">
        <is>
          <t>Asegurar el cumplimiento, control y resguardo continuo de los procesos de Procedimientos operativos documentados a fin de mitigar riesgos y mantener la alineación a los principios de confidencialidad, integridad y disponibilidad aplicables a este dominio.</t>
        </is>
      </c>
      <c r="L38" s="112" t="inlineStr">
        <is>
          <t>La organización deberá implementar, registrar y monitorear operativamente todos los protocolos relacionados a Procedimientos operativos documentados, estableciendo políticas técnicas correspondientes.</t>
        </is>
      </c>
    </row>
    <row r="39" ht="56.25" customHeight="1" s="106">
      <c r="A39" s="38">
        <f>'ANEXO A'!A39</f>
        <v/>
      </c>
      <c r="B39" s="38">
        <f>IFERROR(VLOOKUP(A39, 'ANEXO A'!$A$2:$L$94, 2, FALSE), "")</f>
        <v/>
      </c>
      <c r="C39" s="38">
        <f>IF(LEFT(A39,1)="5", "5. Organizacionales", IF(LEFT(A39,1)="6", "6. Personas", IF(LEFT(A39,1)="7", "7. Físicos", "8. Tecnológicos")))</f>
        <v/>
      </c>
      <c r="D39" s="38">
        <f>IFERROR(VLOOKUP(A39, 'ANEXO A'!$A$2:$L$94, 11, FALSE), "")</f>
        <v/>
      </c>
      <c r="E39" s="38">
        <f>IFERROR(VLOOKUP(A39, 'ANEXO A'!$A$2:$L$94, 8, FALSE), "")</f>
        <v/>
      </c>
      <c r="F39" s="38">
        <f>IFERROR(VLOOKUP(A39, 'ANEXO A'!$A$2:$L$94, 9, FALSE), "")</f>
        <v/>
      </c>
      <c r="G39" s="38">
        <f>IFERROR(VLOOKUP(A39, 'ANEXO A'!$A$2:$L$94, 10, FALSE), "")</f>
        <v/>
      </c>
      <c r="H39" s="38">
        <f>IFERROR(VLOOKUP(A39, 'ANEXO A'!$A$2:$L$94, 12, FALSE), "")</f>
        <v/>
      </c>
      <c r="I39" s="38" t="inlineStr">
        <is>
          <t>6.2 Creación de nuevos usuarios (GTH): Validación previa de antecedentes laborales, penales y académicos por Talento Humano (GSO-GSI-MP-GSI / GTH-IDP).</t>
        </is>
      </c>
      <c r="J39" s="112">
        <f>"• Establecer lineamientos para " &amp; IFERROR(VLOOKUP(A39, 'ANEXO A'!$A$2:$L$94, 2, FALSE), "Este Control") &amp; CHAR(10) &amp; "• Definir roles para el control " &amp; A39 &amp; CHAR(10) &amp; "• Revisar efectividad de " &amp; IFERROR(VLOOKUP(A39, 'ANEXO A'!$A$2:$L$94, 2, FALSE), "Este Control")</f>
        <v/>
      </c>
      <c r="K39" s="112" t="inlineStr">
        <is>
          <t>Asegurar el cumplimiento, control y resguardo continuo de los procesos de Investigación de antecedentes a fin de mitigar riesgos y mantener la alineación a los principios de confidencialidad, integridad y disponibilidad aplicables a este dominio.</t>
        </is>
      </c>
      <c r="L39" s="112" t="inlineStr">
        <is>
          <t>La organización deberá implementar, registrar y monitorear operativamente todos los protocolos relacionados a Investigación de antecedentes, estableciendo políticas técnicas correspondientes.</t>
        </is>
      </c>
    </row>
    <row r="40" ht="56.25" customHeight="1" s="106">
      <c r="A40" s="38">
        <f>'ANEXO A'!A40</f>
        <v/>
      </c>
      <c r="B40" s="38">
        <f>IFERROR(VLOOKUP(A40, 'ANEXO A'!$A$2:$L$94, 2, FALSE), "")</f>
        <v/>
      </c>
      <c r="C40" s="38">
        <f>IF(LEFT(A40,1)="5", "5. Organizacionales", IF(LEFT(A40,1)="6", "6. Personas", IF(LEFT(A40,1)="7", "7. Físicos", "8. Tecnológicos")))</f>
        <v/>
      </c>
      <c r="D40" s="38">
        <f>IFERROR(VLOOKUP(A40, 'ANEXO A'!$A$2:$L$94, 11, FALSE), "")</f>
        <v/>
      </c>
      <c r="E40" s="38">
        <f>IFERROR(VLOOKUP(A40, 'ANEXO A'!$A$2:$L$94, 8, FALSE), "")</f>
        <v/>
      </c>
      <c r="F40" s="38">
        <f>IFERROR(VLOOKUP(A40, 'ANEXO A'!$A$2:$L$94, 9, FALSE), "")</f>
        <v/>
      </c>
      <c r="G40" s="38">
        <f>IFERROR(VLOOKUP(A40, 'ANEXO A'!$A$2:$L$94, 10, FALSE), "")</f>
        <v/>
      </c>
      <c r="H40" s="38">
        <f>IFERROR(VLOOKUP(A40, 'ANEXO A'!$A$2:$L$94, 12, FALSE), "")</f>
        <v/>
      </c>
      <c r="I40" s="38" t="inlineStr">
        <is>
          <t>6.2 Políticas Específicas / GTH: Inclusión contractual de responsabilidades de seguridad y deber de sigilo institucional (GSO-GSI-MP-GSI / SEPS-2022-002).</t>
        </is>
      </c>
      <c r="J40" s="112">
        <f>"• Establecer lineamientos para " &amp; IFERROR(VLOOKUP(A40, 'ANEXO A'!$A$2:$L$94, 2, FALSE), "Este Control") &amp; CHAR(10) &amp; "• Definir roles para el control " &amp; A40 &amp; CHAR(10) &amp; "• Revisar efectividad de " &amp; IFERROR(VLOOKUP(A40, 'ANEXO A'!$A$2:$L$94, 2, FALSE), "Este Control")</f>
        <v/>
      </c>
      <c r="K40" s="112" t="inlineStr">
        <is>
          <t>Asegurar el cumplimiento, control y resguardo continuo de los procesos de Términos y condiciones de empleo a fin de mitigar riesgos y mantener la alineación a los principios de confidencialidad, integridad y disponibilidad aplicables a este dominio.</t>
        </is>
      </c>
      <c r="L40" s="112" t="inlineStr">
        <is>
          <t>La organización deberá implementar, registrar y monitorear operativamente todos los protocolos relacionados a Términos y condiciones de empleo, estableciendo políticas técnicas correspondientes.</t>
        </is>
      </c>
    </row>
    <row r="41" ht="78.75" customHeight="1" s="106">
      <c r="A41" s="38">
        <f>'ANEXO A'!A41</f>
        <v/>
      </c>
      <c r="B41" s="38">
        <f>IFERROR(VLOOKUP(A41, 'ANEXO A'!$A$2:$L$94, 2, FALSE), "")</f>
        <v/>
      </c>
      <c r="C41" s="38">
        <f>IF(LEFT(A41,1)="5", "5. Organizacionales", IF(LEFT(A41,1)="6", "6. Personas", IF(LEFT(A41,1)="7", "7. Físicos", "8. Tecnológicos")))</f>
        <v/>
      </c>
      <c r="D41" s="38">
        <f>IFERROR(VLOOKUP(A41, 'ANEXO A'!$A$2:$L$94, 11, FALSE), "")</f>
        <v/>
      </c>
      <c r="E41" s="38">
        <f>IFERROR(VLOOKUP(A41, 'ANEXO A'!$A$2:$L$94, 8, FALSE), "")</f>
        <v/>
      </c>
      <c r="F41" s="38">
        <f>IFERROR(VLOOKUP(A41, 'ANEXO A'!$A$2:$L$94, 9, FALSE), "")</f>
        <v/>
      </c>
      <c r="G41" s="38">
        <f>IFERROR(VLOOKUP(A41, 'ANEXO A'!$A$2:$L$94, 10, FALSE), "")</f>
        <v/>
      </c>
      <c r="H41" s="38">
        <f>IFERROR(VLOOKUP(A41, 'ANEXO A'!$A$2:$L$94, 12, FALSE), "")</f>
        <v/>
      </c>
      <c r="I41" s="38" t="inlineStr">
        <is>
          <t>Anexo 1 SEPS 002 (Cultura de SI): Ejecución del plan anual de capacitación y evaluación de efectividad/madurez en seguridad (SEPS-2022-002).</t>
        </is>
      </c>
      <c r="J41" s="112">
        <f>"• Establecer lineamientos para " &amp; IFERROR(VLOOKUP(A41, 'ANEXO A'!$A$2:$L$94, 2, FALSE), "Este Control") &amp; CHAR(10) &amp; "• Definir roles para el control " &amp; A41 &amp; CHAR(10) &amp; "• Revisar efectividad de " &amp; IFERROR(VLOOKUP(A41, 'ANEXO A'!$A$2:$L$94, 2, FALSE), "Este Control")</f>
        <v/>
      </c>
      <c r="K41" s="112"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L41" s="112" t="inlineStr">
        <is>
          <t>La organización deberá implementar, registrar y monitorear operativamente todos los protocolos relacionados a Concienciación, educación y capacitación, estableciendo políticas técnicas correspondientes.</t>
        </is>
      </c>
    </row>
    <row r="42" ht="56.25" customHeight="1" s="106">
      <c r="A42" s="38">
        <f>'ANEXO A'!A42</f>
        <v/>
      </c>
      <c r="B42" s="38">
        <f>IFERROR(VLOOKUP(A42, 'ANEXO A'!$A$2:$L$94, 2, FALSE), "")</f>
        <v/>
      </c>
      <c r="C42" s="38">
        <f>IF(LEFT(A42,1)="5", "5. Organizacionales", IF(LEFT(A42,1)="6", "6. Personas", IF(LEFT(A42,1)="7", "7. Físicos", "8. Tecnológicos")))</f>
        <v/>
      </c>
      <c r="D42" s="38">
        <f>IFERROR(VLOOKUP(A42, 'ANEXO A'!$A$2:$L$94, 11, FALSE), "")</f>
        <v/>
      </c>
      <c r="E42" s="38">
        <f>IFERROR(VLOOKUP(A42, 'ANEXO A'!$A$2:$L$94, 8, FALSE), "")</f>
        <v/>
      </c>
      <c r="F42" s="38">
        <f>IFERROR(VLOOKUP(A42, 'ANEXO A'!$A$2:$L$94, 9, FALSE), "")</f>
        <v/>
      </c>
      <c r="G42" s="38">
        <f>IFERROR(VLOOKUP(A42, 'ANEXO A'!$A$2:$L$94, 10, FALSE), "")</f>
        <v/>
      </c>
      <c r="H42" s="38">
        <f>IFERROR(VLOOKUP(A42, 'ANEXO A'!$A$2:$L$94, 12, FALSE), "")</f>
        <v/>
      </c>
      <c r="I42" s="38" t="inlineStr">
        <is>
          <t>6.4 Políticas / Reglamento Interno: Aplicación de sanciones ante reincidencia en bloqueos, negligencia o vulneración de políticas de SI (GSO-GSI-MP-GSI).</t>
        </is>
      </c>
      <c r="J42" s="112">
        <f>"• Establecer lineamientos para " &amp; IFERROR(VLOOKUP(A42, 'ANEXO A'!$A$2:$L$94, 2, FALSE), "Este Control") &amp; CHAR(10) &amp; "• Definir roles para el control " &amp; A42 &amp; CHAR(10) &amp; "• Revisar efectividad de " &amp; IFERROR(VLOOKUP(A42, 'ANEXO A'!$A$2:$L$94, 2, FALSE), "Este Control")</f>
        <v/>
      </c>
      <c r="K42" s="112" t="inlineStr">
        <is>
          <t>Asegurar el cumplimiento, control y resguardo continuo de los procesos de Proceso disciplinario a fin de mitigar riesgos y mantener la alineación a los principios de confidencialidad, integridad y disponibilidad aplicables a este dominio.</t>
        </is>
      </c>
      <c r="L42" s="112" t="inlineStr">
        <is>
          <t>La organización deberá implementar, registrar y monitorear operativamente todos los protocolos relacionados a Proceso disciplinario, estableciendo políticas técnicas correspondientes.</t>
        </is>
      </c>
    </row>
    <row r="43" ht="78.75" customHeight="1" s="106">
      <c r="A43" s="38">
        <f>'ANEXO A'!A43</f>
        <v/>
      </c>
      <c r="B43" s="38">
        <f>IFERROR(VLOOKUP(A43, 'ANEXO A'!$A$2:$L$94, 2, FALSE), "")</f>
        <v/>
      </c>
      <c r="C43" s="38">
        <f>IF(LEFT(A43,1)="5", "5. Organizacionales", IF(LEFT(A43,1)="6", "6. Personas", IF(LEFT(A43,1)="7", "7. Físicos", "8. Tecnológicos")))</f>
        <v/>
      </c>
      <c r="D43" s="38">
        <f>IFERROR(VLOOKUP(A43, 'ANEXO A'!$A$2:$L$94, 11, FALSE), "")</f>
        <v/>
      </c>
      <c r="E43" s="38">
        <f>IFERROR(VLOOKUP(A43, 'ANEXO A'!$A$2:$L$94, 8, FALSE), "")</f>
        <v/>
      </c>
      <c r="F43" s="38">
        <f>IFERROR(VLOOKUP(A43, 'ANEXO A'!$A$2:$L$94, 9, FALSE), "")</f>
        <v/>
      </c>
      <c r="G43" s="38">
        <f>IFERROR(VLOOKUP(A43, 'ANEXO A'!$A$2:$L$94, 10, FALSE), "")</f>
        <v/>
      </c>
      <c r="H43" s="38">
        <f>IFERROR(VLOOKUP(A43, 'ANEXO A'!$A$2:$L$94, 12, FALSE), "")</f>
        <v/>
      </c>
      <c r="I43" s="38" t="inlineStr">
        <is>
          <t>6.3 Modificación / 6.5 Eliminación de usuarios: Suscripción de acuerdos de confidencialidad permanentes y revocación de accesos al cesar funciones (GSO-GSI-MP-GSI).</t>
        </is>
      </c>
      <c r="J43" s="112">
        <f>"• Establecer lineamientos para " &amp; IFERROR(VLOOKUP(A43, 'ANEXO A'!$A$2:$L$94, 2, FALSE), "Este Control") &amp; CHAR(10) &amp; "• Definir roles para el control " &amp; A43 &amp; CHAR(10) &amp; "• Revisar efectividad de " &amp; IFERROR(VLOOKUP(A43, 'ANEXO A'!$A$2:$L$94, 2, FALSE), "Este Control")</f>
        <v/>
      </c>
      <c r="K43" s="112"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L43" s="112" t="inlineStr">
        <is>
          <t>La organización deberá implementar, registrar y monitorear operativamente todos los protocolos relacionados a Responsabilidades después de la terminación o cambio de empleo, estableciendo políticas técnicas correspondientes.</t>
        </is>
      </c>
    </row>
    <row r="44" ht="67.5" customHeight="1" s="106">
      <c r="A44" s="38">
        <f>'ANEXO A'!A44</f>
        <v/>
      </c>
      <c r="B44" s="38">
        <f>IFERROR(VLOOKUP(A44, 'ANEXO A'!$A$2:$L$94, 2, FALSE), "")</f>
        <v/>
      </c>
      <c r="C44" s="38">
        <f>IF(LEFT(A44,1)="5", "5. Organizacionales", IF(LEFT(A44,1)="6", "6. Personas", IF(LEFT(A44,1)="7", "7. Físicos", "8. Tecnológicos")))</f>
        <v/>
      </c>
      <c r="D44" s="38">
        <f>IFERROR(VLOOKUP(A44, 'ANEXO A'!$A$2:$L$94, 11, FALSE), "")</f>
        <v/>
      </c>
      <c r="E44" s="38">
        <f>IFERROR(VLOOKUP(A44, 'ANEXO A'!$A$2:$L$94, 8, FALSE), "")</f>
        <v/>
      </c>
      <c r="F44" s="38">
        <f>IFERROR(VLOOKUP(A44, 'ANEXO A'!$A$2:$L$94, 9, FALSE), "")</f>
        <v/>
      </c>
      <c r="G44" s="38">
        <f>IFERROR(VLOOKUP(A44, 'ANEXO A'!$A$2:$L$94, 10, FALSE), "")</f>
        <v/>
      </c>
      <c r="H44" s="38">
        <f>IFERROR(VLOOKUP(A44, 'ANEXO A'!$A$2:$L$94, 12, FALSE), "")</f>
        <v/>
      </c>
      <c r="I44" s="38" t="inlineStr">
        <is>
          <t>6.2 Creación (Equifax/Aval) / GTH: Firma obligatoria de convenios de confidencialidad por colaboradores y terceros (GSO-GSI-MP-GSI).</t>
        </is>
      </c>
      <c r="J44" s="112">
        <f>"• Establecer lineamientos para " &amp; IFERROR(VLOOKUP(A44, 'ANEXO A'!$A$2:$L$94, 2, FALSE), "Este Control") &amp; CHAR(10) &amp; "• Definir roles para el control " &amp; A44 &amp; CHAR(10) &amp; "• Revisar efectividad de " &amp; IFERROR(VLOOKUP(A44, 'ANEXO A'!$A$2:$L$94, 2, FALSE), "Este Control")</f>
        <v/>
      </c>
      <c r="K44" s="112"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L44" s="112" t="inlineStr">
        <is>
          <t>La organización deberá implementar, registrar y monitorear operativamente todos los protocolos relacionados a Acuerdos de confidencialidad o no divulgación, estableciendo políticas técnicas correspondientes.</t>
        </is>
      </c>
    </row>
    <row r="45" ht="56.25" customHeight="1" s="106">
      <c r="A45" s="38">
        <f>'ANEXO A'!A45</f>
        <v/>
      </c>
      <c r="B45" s="38">
        <f>IFERROR(VLOOKUP(A45, 'ANEXO A'!$A$2:$L$94, 2, FALSE), "")</f>
        <v/>
      </c>
      <c r="C45" s="38">
        <f>IF(LEFT(A45,1)="5", "5. Organizacionales", IF(LEFT(A45,1)="6", "6. Personas", IF(LEFT(A45,1)="7", "7. Físicos", "8. Tecnológicos")))</f>
        <v/>
      </c>
      <c r="D45" s="38">
        <f>IFERROR(VLOOKUP(A45, 'ANEXO A'!$A$2:$L$94, 11, FALSE), "")</f>
        <v/>
      </c>
      <c r="E45" s="38">
        <f>IFERROR(VLOOKUP(A45, 'ANEXO A'!$A$2:$L$94, 8, FALSE), "")</f>
        <v/>
      </c>
      <c r="F45" s="38">
        <f>IFERROR(VLOOKUP(A45, 'ANEXO A'!$A$2:$L$94, 9, FALSE), "")</f>
        <v/>
      </c>
      <c r="G45" s="38">
        <f>IFERROR(VLOOKUP(A45, 'ANEXO A'!$A$2:$L$94, 10, FALSE), "")</f>
        <v/>
      </c>
      <c r="H45" s="38">
        <f>IFERROR(VLOOKUP(A45, 'ANEXO A'!$A$2:$L$94, 12, FALSE), "")</f>
        <v/>
      </c>
      <c r="I45" s="38" t="inlineStr">
        <is>
          <t>6.2 VPN Directorio Activo: Uso obligatorio de VPN corporativa y autenticación multifactor para accesos remotos autorizados (GSO-GSI-MP-GSI)</t>
        </is>
      </c>
      <c r="J45" s="112">
        <f>"• Establecer lineamientos para " &amp; IFERROR(VLOOKUP(A45, 'ANEXO A'!$A$2:$L$94, 2, FALSE), "Este Control") &amp; CHAR(10) &amp; "• Definir roles para el control " &amp; A45 &amp; CHAR(10) &amp; "• Revisar efectividad de " &amp; IFERROR(VLOOKUP(A45, 'ANEXO A'!$A$2:$L$94, 2, FALSE), "Este Control")</f>
        <v/>
      </c>
      <c r="K45" s="112" t="inlineStr">
        <is>
          <t>Asegurar el cumplimiento, control y resguardo continuo de los procesos de Trabajo a distancia a fin de mitigar riesgos y mantener la alineación a los principios de confidencialidad, integridad y disponibilidad aplicables a este dominio.</t>
        </is>
      </c>
      <c r="L45" s="112" t="inlineStr">
        <is>
          <t>La organización deberá implementar, registrar y monitorear operativamente todos los protocolos relacionados a Trabajo a distancia, estableciendo políticas técnicas correspondientes.</t>
        </is>
      </c>
    </row>
    <row r="46" ht="78.75" customHeight="1" s="106">
      <c r="A46" s="38">
        <f>'ANEXO A'!A46</f>
        <v/>
      </c>
      <c r="B46" s="38">
        <f>IFERROR(VLOOKUP(A46, 'ANEXO A'!$A$2:$L$94, 2, FALSE), "")</f>
        <v/>
      </c>
      <c r="C46" s="38">
        <f>IF(LEFT(A46,1)="5", "5. Organizacionales", IF(LEFT(A46,1)="6", "6. Personas", IF(LEFT(A46,1)="7", "7. Físicos", "8. Tecnológicos")))</f>
        <v/>
      </c>
      <c r="D46" s="38">
        <f>IFERROR(VLOOKUP(A46, 'ANEXO A'!$A$2:$L$94, 11, FALSE), "")</f>
        <v/>
      </c>
      <c r="E46" s="38">
        <f>IFERROR(VLOOKUP(A46, 'ANEXO A'!$A$2:$L$94, 8, FALSE), "")</f>
        <v/>
      </c>
      <c r="F46" s="38">
        <f>IFERROR(VLOOKUP(A46, 'ANEXO A'!$A$2:$L$94, 9, FALSE), "")</f>
        <v/>
      </c>
      <c r="G46" s="38">
        <f>IFERROR(VLOOKUP(A46, 'ANEXO A'!$A$2:$L$94, 10, FALSE), "")</f>
        <v/>
      </c>
      <c r="H46" s="38">
        <f>IFERROR(VLOOKUP(A46, 'ANEXO A'!$A$2:$L$94, 12, FALSE), "")</f>
        <v/>
      </c>
      <c r="I46" s="38" t="inlineStr">
        <is>
          <t>6.15 Gestión de incidentes (Act. 1): Canalización formal vía Service Desk y correo de cualquier evento o anomalía detectada (GSO-GSI-MP-GSI).</t>
        </is>
      </c>
      <c r="J46" s="112">
        <f>"• Establecer lineamientos para " &amp; IFERROR(VLOOKUP(A46, 'ANEXO A'!$A$2:$L$94, 2, FALSE), "Este Control") &amp; CHAR(10) &amp; "• Definir roles para el control " &amp; A46 &amp; CHAR(10) &amp; "• Revisar efectividad de " &amp; IFERROR(VLOOKUP(A46, 'ANEXO A'!$A$2:$L$94, 2, FALSE), "Este Control")</f>
        <v/>
      </c>
      <c r="K46" s="112"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L46" s="112" t="inlineStr">
        <is>
          <t>La organización deberá implementar, registrar y monitorear operativamente todos los protocolos relacionados a Notificación de eventos de seguridad de la información, estableciendo políticas técnicas correspondientes.</t>
        </is>
      </c>
    </row>
    <row r="47" ht="56.25" customHeight="1" s="106">
      <c r="A47" s="38">
        <f>'ANEXO A'!A47</f>
        <v/>
      </c>
      <c r="B47" s="38">
        <f>IFERROR(VLOOKUP(A47, 'ANEXO A'!$A$2:$L$94, 2, FALSE), "")</f>
        <v/>
      </c>
      <c r="C47" s="38">
        <f>IF(LEFT(A47,1)="5", "5. Organizacionales", IF(LEFT(A47,1)="6", "6. Personas", IF(LEFT(A47,1)="7", "7. Físicos", "8. Tecnológicos")))</f>
        <v/>
      </c>
      <c r="D47" s="38">
        <f>IFERROR(VLOOKUP(A47, 'ANEXO A'!$A$2:$L$94, 11, FALSE), "")</f>
        <v/>
      </c>
      <c r="E47" s="38">
        <f>IFERROR(VLOOKUP(A47, 'ANEXO A'!$A$2:$L$94, 8, FALSE), "")</f>
        <v/>
      </c>
      <c r="F47" s="38">
        <f>IFERROR(VLOOKUP(A47, 'ANEXO A'!$A$2:$L$94, 9, FALSE), "")</f>
        <v/>
      </c>
      <c r="G47" s="38">
        <f>IFERROR(VLOOKUP(A47, 'ANEXO A'!$A$2:$L$94, 10, FALSE), "")</f>
        <v/>
      </c>
      <c r="H47" s="38">
        <f>IFERROR(VLOOKUP(A47, 'ANEXO A'!$A$2:$L$94, 12, FALSE), "")</f>
        <v/>
      </c>
      <c r="I47" s="38" t="inlineStr">
        <is>
          <t>Anexo 1 SEPS 002 (Seguridad Física): Delimitación perimetral, puertas de seguridad y áreas de data center con acceso restringido (SEPS-2022-002).</t>
        </is>
      </c>
      <c r="J47" s="112">
        <f>"• Establecer lineamientos para " &amp; IFERROR(VLOOKUP(A47, 'ANEXO A'!$A$2:$L$94, 2, FALSE), "Este Control") &amp; CHAR(10) &amp; "• Definir roles para el control " &amp; A47 &amp; CHAR(10) &amp; "• Revisar efectividad de " &amp; IFERROR(VLOOKUP(A47, 'ANEXO A'!$A$2:$L$94, 2, FALSE), "Este Control")</f>
        <v/>
      </c>
      <c r="K47" s="112" t="inlineStr">
        <is>
          <t>Asegurar el cumplimiento, control y resguardo continuo de los procesos de Perímetros de seguridad física a fin de mitigar riesgos y mantener la alineación a los principios de confidencialidad, integridad y disponibilidad aplicables a este dominio.</t>
        </is>
      </c>
      <c r="L47" s="112" t="inlineStr">
        <is>
          <t>La organización deberá implementar, registrar y monitorear operativamente todos los protocolos relacionados a Perímetros de seguridad física, estableciendo políticas técnicas correspondientes.</t>
        </is>
      </c>
    </row>
    <row r="48" ht="56.25" customHeight="1" s="106">
      <c r="A48" s="38">
        <f>'ANEXO A'!A48</f>
        <v/>
      </c>
      <c r="B48" s="38">
        <f>IFERROR(VLOOKUP(A48, 'ANEXO A'!$A$2:$L$94, 2, FALSE), "")</f>
        <v/>
      </c>
      <c r="C48" s="38">
        <f>IF(LEFT(A48,1)="5", "5. Organizacionales", IF(LEFT(A48,1)="6", "6. Personas", IF(LEFT(A48,1)="7", "7. Físicos", "8. Tecnológicos")))</f>
        <v/>
      </c>
      <c r="D48" s="38">
        <f>IFERROR(VLOOKUP(A48, 'ANEXO A'!$A$2:$L$94, 11, FALSE), "")</f>
        <v/>
      </c>
      <c r="E48" s="38">
        <f>IFERROR(VLOOKUP(A48, 'ANEXO A'!$A$2:$L$94, 8, FALSE), "")</f>
        <v/>
      </c>
      <c r="F48" s="38">
        <f>IFERROR(VLOOKUP(A48, 'ANEXO A'!$A$2:$L$94, 9, FALSE), "")</f>
        <v/>
      </c>
      <c r="G48" s="38">
        <f>IFERROR(VLOOKUP(A48, 'ANEXO A'!$A$2:$L$94, 10, FALSE), "")</f>
        <v/>
      </c>
      <c r="H48" s="38">
        <f>IFERROR(VLOOKUP(A48, 'ANEXO A'!$A$2:$L$94, 12, FALSE), "")</f>
        <v/>
      </c>
      <c r="I48" s="38" t="inlineStr">
        <is>
          <t>Anexo 1 SEPS 002 / GAD: Control biométrico, tarjetas de proximidad y registro bitacorizado de visitantes (SEPS-2022-002).</t>
        </is>
      </c>
      <c r="J48" s="112">
        <f>"• Establecer lineamientos para " &amp; IFERROR(VLOOKUP(A48, 'ANEXO A'!$A$2:$L$94, 2, FALSE), "Este Control") &amp; CHAR(10) &amp; "• Definir roles para el control " &amp; A48 &amp; CHAR(10) &amp; "• Revisar efectividad de " &amp; IFERROR(VLOOKUP(A48, 'ANEXO A'!$A$2:$L$94, 2, FALSE), "Este Control")</f>
        <v/>
      </c>
      <c r="K48" s="112" t="inlineStr">
        <is>
          <t>Asegurar el cumplimiento, control y resguardo continuo de los procesos de Controles de entrada física a fin de mitigar riesgos y mantener la alineación a los principios de confidencialidad, integridad y disponibilidad aplicables a este dominio.</t>
        </is>
      </c>
      <c r="L48" s="112" t="inlineStr">
        <is>
          <t>La organización deberá implementar, registrar y monitorear operativamente todos los protocolos relacionados a Controles de entrada física, estableciendo políticas técnicas correspondientes.</t>
        </is>
      </c>
    </row>
    <row r="49" ht="67.5" customHeight="1" s="106">
      <c r="A49" s="38">
        <f>'ANEXO A'!A49</f>
        <v/>
      </c>
      <c r="B49" s="38">
        <f>IFERROR(VLOOKUP(A49, 'ANEXO A'!$A$2:$L$94, 2, FALSE), "")</f>
        <v/>
      </c>
      <c r="C49" s="38">
        <f>IF(LEFT(A49,1)="5", "5. Organizacionales", IF(LEFT(A49,1)="6", "6. Personas", IF(LEFT(A49,1)="7", "7. Físicos", "8. Tecnológicos")))</f>
        <v/>
      </c>
      <c r="D49" s="38">
        <f>IFERROR(VLOOKUP(A49, 'ANEXO A'!$A$2:$L$94, 11, FALSE), "")</f>
        <v/>
      </c>
      <c r="E49" s="38">
        <f>IFERROR(VLOOKUP(A49, 'ANEXO A'!$A$2:$L$94, 8, FALSE), "")</f>
        <v/>
      </c>
      <c r="F49" s="38">
        <f>IFERROR(VLOOKUP(A49, 'ANEXO A'!$A$2:$L$94, 9, FALSE), "")</f>
        <v/>
      </c>
      <c r="G49" s="38">
        <f>IFERROR(VLOOKUP(A49, 'ANEXO A'!$A$2:$L$94, 10, FALSE), "")</f>
        <v/>
      </c>
      <c r="H49" s="38">
        <f>IFERROR(VLOOKUP(A49, 'ANEXO A'!$A$2:$L$94, 12, FALSE), "")</f>
        <v/>
      </c>
      <c r="I49" s="38" t="inlineStr">
        <is>
          <t>Anexo 1 SEPS 002: Protección de zonas sensibles y aislamiento físico de áreas de procesamiento crítico (SEPS-2022-002).</t>
        </is>
      </c>
      <c r="J49" s="112">
        <f>"• Establecer lineamientos para " &amp; IFERROR(VLOOKUP(A49, 'ANEXO A'!$A$2:$L$94, 2, FALSE), "Este Control") &amp; CHAR(10) &amp; "• Definir roles para el control " &amp; A49 &amp; CHAR(10) &amp; "• Revisar efectividad de " &amp; IFERROR(VLOOKUP(A49, 'ANEXO A'!$A$2:$L$94, 2, FALSE), "Este Control")</f>
        <v/>
      </c>
      <c r="K49" s="112"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L49" s="112" t="inlineStr">
        <is>
          <t>La organización deberá implementar, registrar y monitorear operativamente todos los protocolos relacionados a Seguridad de oficinas, despachos e instalaciones, estableciendo políticas técnicas correspondientes.</t>
        </is>
      </c>
    </row>
    <row r="50" ht="56.25" customHeight="1" s="106">
      <c r="A50" s="38">
        <f>'ANEXO A'!A50</f>
        <v/>
      </c>
      <c r="B50" s="38">
        <f>IFERROR(VLOOKUP(A50, 'ANEXO A'!$A$2:$L$94, 2, FALSE), "")</f>
        <v/>
      </c>
      <c r="C50" s="38">
        <f>IF(LEFT(A50,1)="5", "5. Organizacionales", IF(LEFT(A50,1)="6", "6. Personas", IF(LEFT(A50,1)="7", "7. Físicos", "8. Tecnológicos")))</f>
        <v/>
      </c>
      <c r="D50" s="38">
        <f>IFERROR(VLOOKUP(A50, 'ANEXO A'!$A$2:$L$94, 11, FALSE), "")</f>
        <v/>
      </c>
      <c r="E50" s="38">
        <f>IFERROR(VLOOKUP(A50, 'ANEXO A'!$A$2:$L$94, 8, FALSE), "")</f>
        <v/>
      </c>
      <c r="F50" s="38">
        <f>IFERROR(VLOOKUP(A50, 'ANEXO A'!$A$2:$L$94, 9, FALSE), "")</f>
        <v/>
      </c>
      <c r="G50" s="38">
        <f>IFERROR(VLOOKUP(A50, 'ANEXO A'!$A$2:$L$94, 10, FALSE), "")</f>
        <v/>
      </c>
      <c r="H50" s="38">
        <f>IFERROR(VLOOKUP(A50, 'ANEXO A'!$A$2:$L$94, 12, FALSE), "")</f>
        <v/>
      </c>
      <c r="I50" s="38" t="inlineStr">
        <is>
          <t>Anexo 1 SEPS 002 / CCTV: Monitoreo y grabación permanente mediante Circuito Cerrado de Televisión y sensores de alarma (SEPS-2022-002).</t>
        </is>
      </c>
      <c r="J50" s="112">
        <f>"• Establecer lineamientos para " &amp; IFERROR(VLOOKUP(A50, 'ANEXO A'!$A$2:$L$94, 2, FALSE), "Este Control") &amp; CHAR(10) &amp; "• Definir roles para el control " &amp; A50 &amp; CHAR(10) &amp; "• Revisar efectividad de " &amp; IFERROR(VLOOKUP(A50, 'ANEXO A'!$A$2:$L$94, 2, FALSE), "Este Control")</f>
        <v/>
      </c>
      <c r="K50" s="112" t="inlineStr">
        <is>
          <t>Asegurar el cumplimiento, control y resguardo continuo de los procesos de Supervisión de la seguridad física a fin de mitigar riesgos y mantener la alineación a los principios de confidencialidad, integridad y disponibilidad aplicables a este dominio.</t>
        </is>
      </c>
      <c r="L50" s="112" t="inlineStr">
        <is>
          <t>La organización deberá implementar, registrar y monitorear operativamente todos los protocolos relacionados a Supervisión de la seguridad física, estableciendo políticas técnicas correspondientes.</t>
        </is>
      </c>
    </row>
    <row r="51" ht="78.75" customHeight="1" s="106">
      <c r="A51" s="38">
        <f>'ANEXO A'!A51</f>
        <v/>
      </c>
      <c r="B51" s="38">
        <f>IFERROR(VLOOKUP(A51, 'ANEXO A'!$A$2:$L$94, 2, FALSE), "")</f>
        <v/>
      </c>
      <c r="C51" s="38">
        <f>IF(LEFT(A51,1)="5", "5. Organizacionales", IF(LEFT(A51,1)="6", "6. Personas", IF(LEFT(A51,1)="7", "7. Físicos", "8. Tecnológicos")))</f>
        <v/>
      </c>
      <c r="D51" s="38">
        <f>IFERROR(VLOOKUP(A51, 'ANEXO A'!$A$2:$L$94, 11, FALSE), "")</f>
        <v/>
      </c>
      <c r="E51" s="38">
        <f>IFERROR(VLOOKUP(A51, 'ANEXO A'!$A$2:$L$94, 8, FALSE), "")</f>
        <v/>
      </c>
      <c r="F51" s="38">
        <f>IFERROR(VLOOKUP(A51, 'ANEXO A'!$A$2:$L$94, 9, FALSE), "")</f>
        <v/>
      </c>
      <c r="G51" s="38">
        <f>IFERROR(VLOOKUP(A51, 'ANEXO A'!$A$2:$L$94, 10, FALSE), "")</f>
        <v/>
      </c>
      <c r="H51" s="38">
        <f>IFERROR(VLOOKUP(A51, 'ANEXO A'!$A$2:$L$94, 12, FALSE), "")</f>
        <v/>
      </c>
      <c r="I51" s="38" t="inlineStr">
        <is>
          <t>Sec. 10.2.1 Metodología GAI (S31-S40): Sistemas de detección y extinción de incendios (FM200/gas), sensores de inundación y pararrayos (GSO-GSI-ME-GAI / SEPS-2022-002).</t>
        </is>
      </c>
      <c r="J51" s="112">
        <f>"• Establecer lineamientos para " &amp; IFERROR(VLOOKUP(A51, 'ANEXO A'!$A$2:$L$94, 2, FALSE), "Este Control") &amp; CHAR(10) &amp; "• Definir roles para el control " &amp; A51 &amp; CHAR(10) &amp; "• Revisar efectividad de " &amp; IFERROR(VLOOKUP(A51, 'ANEXO A'!$A$2:$L$94, 2, FALSE), "Este Control")</f>
        <v/>
      </c>
      <c r="K51" s="112"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L51" s="112" t="inlineStr">
        <is>
          <t>La organización deberá implementar, registrar y monitorear operativamente todos los protocolos relacionados a Protección contra amenazas físicas y ambientales, estableciendo políticas técnicas correspondientes.</t>
        </is>
      </c>
    </row>
    <row r="52" ht="56.25" customHeight="1" s="106">
      <c r="A52" s="38">
        <f>'ANEXO A'!A52</f>
        <v/>
      </c>
      <c r="B52" s="38">
        <f>IFERROR(VLOOKUP(A52, 'ANEXO A'!$A$2:$L$94, 2, FALSE), "")</f>
        <v/>
      </c>
      <c r="C52" s="38">
        <f>IF(LEFT(A52,1)="5", "5. Organizacionales", IF(LEFT(A52,1)="6", "6. Personas", IF(LEFT(A52,1)="7", "7. Físicos", "8. Tecnológicos")))</f>
        <v/>
      </c>
      <c r="D52" s="38">
        <f>IFERROR(VLOOKUP(A52, 'ANEXO A'!$A$2:$L$94, 11, FALSE), "")</f>
        <v/>
      </c>
      <c r="E52" s="38">
        <f>IFERROR(VLOOKUP(A52, 'ANEXO A'!$A$2:$L$94, 8, FALSE), "")</f>
        <v/>
      </c>
      <c r="F52" s="38">
        <f>IFERROR(VLOOKUP(A52, 'ANEXO A'!$A$2:$L$94, 9, FALSE), "")</f>
        <v/>
      </c>
      <c r="G52" s="38">
        <f>IFERROR(VLOOKUP(A52, 'ANEXO A'!$A$2:$L$94, 10, FALSE), "")</f>
        <v/>
      </c>
      <c r="H52" s="38">
        <f>IFERROR(VLOOKUP(A52, 'ANEXO A'!$A$2:$L$94, 12, FALSE), "")</f>
        <v/>
      </c>
      <c r="I52" s="38" t="inlineStr">
        <is>
          <t>6.11 Claves críticas / 6.12 Llaves: Procedimientos restringidos para custodia de cajas fuertes y zonas de cifrado bajo estricto control (GSO-GSI-MP-GSI).</t>
        </is>
      </c>
      <c r="J52" s="112">
        <f>"• Establecer lineamientos para " &amp; IFERROR(VLOOKUP(A52, 'ANEXO A'!$A$2:$L$94, 2, FALSE), "Este Control") &amp; CHAR(10) &amp; "• Definir roles para el control " &amp; A52 &amp; CHAR(10) &amp; "• Revisar efectividad de " &amp; IFERROR(VLOOKUP(A52, 'ANEXO A'!$A$2:$L$94, 2, FALSE), "Este Control")</f>
        <v/>
      </c>
      <c r="K52" s="112" t="inlineStr">
        <is>
          <t>Asegurar el cumplimiento, control y resguardo continuo de los procesos de Trabajo en áreas seguras a fin de mitigar riesgos y mantener la alineación a los principios de confidencialidad, integridad y disponibilidad aplicables a este dominio.</t>
        </is>
      </c>
      <c r="L52" s="112" t="inlineStr">
        <is>
          <t>La organización deberá implementar, registrar y monitorear operativamente todos los protocolos relacionados a Trabajo en áreas seguras, estableciendo políticas técnicas correspondientes.</t>
        </is>
      </c>
    </row>
    <row r="53" ht="78.75" customHeight="1" s="106">
      <c r="A53" s="38">
        <f>'ANEXO A'!A53</f>
        <v/>
      </c>
      <c r="B53" s="38">
        <f>IFERROR(VLOOKUP(A53, 'ANEXO A'!$A$2:$L$94, 2, FALSE), "")</f>
        <v/>
      </c>
      <c r="C53" s="38">
        <f>IF(LEFT(A53,1)="5", "5. Organizacionales", IF(LEFT(A53,1)="6", "6. Personas", IF(LEFT(A53,1)="7", "7. Físicos", "8. Tecnológicos")))</f>
        <v/>
      </c>
      <c r="D53" s="38">
        <f>IFERROR(VLOOKUP(A53, 'ANEXO A'!$A$2:$L$94, 11, FALSE), "")</f>
        <v/>
      </c>
      <c r="E53" s="38">
        <f>IFERROR(VLOOKUP(A53, 'ANEXO A'!$A$2:$L$94, 8, FALSE), "")</f>
        <v/>
      </c>
      <c r="F53" s="38">
        <f>IFERROR(VLOOKUP(A53, 'ANEXO A'!$A$2:$L$94, 9, FALSE), "")</f>
        <v/>
      </c>
      <c r="G53" s="38">
        <f>IFERROR(VLOOKUP(A53, 'ANEXO A'!$A$2:$L$94, 10, FALSE), "")</f>
        <v/>
      </c>
      <c r="H53" s="38">
        <f>IFERROR(VLOOKUP(A53, 'ANEXO A'!$A$2:$L$94, 12, FALSE), "")</f>
        <v/>
      </c>
      <c r="I53" s="38" t="inlineStr">
        <is>
          <t>6.16 Revisión y monitoreo de políticas: Bloqueo automático de estación por inactividad y resguardo bajo llave de documentos físicos (GSO-GSI-MP-GSI).</t>
        </is>
      </c>
      <c r="J53" s="112">
        <f>"• Establecer lineamientos para " &amp; IFERROR(VLOOKUP(A53, 'ANEXO A'!$A$2:$L$94, 2, FALSE), "Este Control") &amp; CHAR(10) &amp; "• Definir roles para el control " &amp; A53 &amp; CHAR(10) &amp; "• Revisar efectividad de " &amp; IFERROR(VLOOKUP(A53, 'ANEXO A'!$A$2:$L$94, 2, FALSE), "Este Control")</f>
        <v/>
      </c>
      <c r="K53" s="112"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L53" s="112" t="inlineStr">
        <is>
          <t>La organización deberá implementar, registrar y monitorear operativamente todos los protocolos relacionados a Política de escritorio despejado y pantalla despejada, estableciendo políticas técnicas correspondientes.</t>
        </is>
      </c>
    </row>
    <row r="54" ht="78.75" customHeight="1" s="106">
      <c r="A54" s="38">
        <f>'ANEXO A'!A54</f>
        <v/>
      </c>
      <c r="B54" s="38">
        <f>IFERROR(VLOOKUP(A54, 'ANEXO A'!$A$2:$L$94, 2, FALSE), "")</f>
        <v/>
      </c>
      <c r="C54" s="38">
        <f>IF(LEFT(A54,1)="5", "5. Organizacionales", IF(LEFT(A54,1)="6", "6. Personas", IF(LEFT(A54,1)="7", "7. Físicos", "8. Tecnológicos")))</f>
        <v/>
      </c>
      <c r="D54" s="38">
        <f>IFERROR(VLOOKUP(A54, 'ANEXO A'!$A$2:$L$94, 11, FALSE), "")</f>
        <v/>
      </c>
      <c r="E54" s="38">
        <f>IFERROR(VLOOKUP(A54, 'ANEXO A'!$A$2:$L$94, 8, FALSE), "")</f>
        <v/>
      </c>
      <c r="F54" s="38">
        <f>IFERROR(VLOOKUP(A54, 'ANEXO A'!$A$2:$L$94, 9, FALSE), "")</f>
        <v/>
      </c>
      <c r="G54" s="38">
        <f>IFERROR(VLOOKUP(A54, 'ANEXO A'!$A$2:$L$94, 10, FALSE), "")</f>
        <v/>
      </c>
      <c r="H54" s="38">
        <f>IFERROR(VLOOKUP(A54, 'ANEXO A'!$A$2:$L$94, 12, FALSE), "")</f>
        <v/>
      </c>
      <c r="I54" s="38" t="inlineStr">
        <is>
          <t>6.13 Gestión de activos / TI: Ubicación de servidores y racks en centros de datos con control de clima y energía (GSO-GSI-ME-GAI / SEPS-2022-002).</t>
        </is>
      </c>
      <c r="J54" s="112">
        <f>"• Establecer lineamientos para " &amp; IFERROR(VLOOKUP(A54, 'ANEXO A'!$A$2:$L$94, 2, FALSE), "Este Control") &amp; CHAR(10) &amp; "• Definir roles para el control " &amp; A54 &amp; CHAR(10) &amp; "• Revisar efectividad de " &amp; IFERROR(VLOOKUP(A54, 'ANEXO A'!$A$2:$L$94, 2, FALSE), "Este Control")</f>
        <v/>
      </c>
      <c r="K54" s="112" t="inlineStr">
        <is>
          <t>Asegurar el cumplimiento, control y resguardo continuo de los procesos de Emplazamiento y protección de equipos a fin de mitigar riesgos y mantener la alineación a los principios de confidencialidad, integridad y disponibilidad aplicables a este dominio.</t>
        </is>
      </c>
      <c r="L54" s="112" t="inlineStr">
        <is>
          <t>La organización deberá implementar, registrar y monitorear operativamente todos los protocolos relacionados a Emplazamiento y protección de equipos, estableciendo políticas técnicas correspondientes.</t>
        </is>
      </c>
    </row>
    <row r="55" ht="67.5" customHeight="1" s="106">
      <c r="A55" s="38">
        <f>'ANEXO A'!A55</f>
        <v/>
      </c>
      <c r="B55" s="38">
        <f>IFERROR(VLOOKUP(A55, 'ANEXO A'!$A$2:$L$94, 2, FALSE), "")</f>
        <v/>
      </c>
      <c r="C55" s="38">
        <f>IF(LEFT(A55,1)="5", "5. Organizacionales", IF(LEFT(A55,1)="6", "6. Personas", IF(LEFT(A55,1)="7", "7. Físicos", "8. Tecnológicos")))</f>
        <v/>
      </c>
      <c r="D55" s="38">
        <f>IFERROR(VLOOKUP(A55, 'ANEXO A'!$A$2:$L$94, 11, FALSE), "")</f>
        <v/>
      </c>
      <c r="E55" s="38">
        <f>IFERROR(VLOOKUP(A55, 'ANEXO A'!$A$2:$L$94, 8, FALSE), "")</f>
        <v/>
      </c>
      <c r="F55" s="38">
        <f>IFERROR(VLOOKUP(A55, 'ANEXO A'!$A$2:$L$94, 9, FALSE), "")</f>
        <v/>
      </c>
      <c r="G55" s="38">
        <f>IFERROR(VLOOKUP(A55, 'ANEXO A'!$A$2:$L$94, 10, FALSE), "")</f>
        <v/>
      </c>
      <c r="H55" s="38">
        <f>IFERROR(VLOOKUP(A55, 'ANEXO A'!$A$2:$L$94, 12, FALSE), "")</f>
        <v/>
      </c>
      <c r="I55" s="38" t="inlineStr">
        <is>
          <t>6.1 Políticas Generales (Item 4): Equipos portátiles integrados al Directorio Activo, antivirus y cifrado de disco (GSO-GSI-MP-GSI).</t>
        </is>
      </c>
      <c r="J55" s="112">
        <f>"• Establecer lineamientos para " &amp; IFERROR(VLOOKUP(A55, 'ANEXO A'!$A$2:$L$94, 2, FALSE), "Este Control") &amp; CHAR(10) &amp; "• Definir roles para el control " &amp; A55 &amp; CHAR(10) &amp; "• Revisar efectividad de " &amp; IFERROR(VLOOKUP(A55, 'ANEXO A'!$A$2:$L$94, 2, FALSE), "Este Control")</f>
        <v/>
      </c>
      <c r="K55" s="112"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L55" s="112" t="inlineStr">
        <is>
          <t>La organización deberá implementar, registrar y monitorear operativamente todos los protocolos relacionados a Seguridad de los activos fuera de las instalaciones, estableciendo políticas técnicas correspondientes.</t>
        </is>
      </c>
    </row>
    <row r="56" ht="56.25" customHeight="1" s="106">
      <c r="A56" s="38">
        <f>'ANEXO A'!A56</f>
        <v/>
      </c>
      <c r="B56" s="38">
        <f>IFERROR(VLOOKUP(A56, 'ANEXO A'!$A$2:$L$94, 2, FALSE), "")</f>
        <v/>
      </c>
      <c r="C56" s="38">
        <f>IF(LEFT(A56,1)="5", "5. Organizacionales", IF(LEFT(A56,1)="6", "6. Personas", IF(LEFT(A56,1)="7", "7. Físicos", "8. Tecnológicos")))</f>
        <v/>
      </c>
      <c r="D56" s="38">
        <f>IFERROR(VLOOKUP(A56, 'ANEXO A'!$A$2:$L$94, 11, FALSE), "")</f>
        <v/>
      </c>
      <c r="E56" s="38">
        <f>IFERROR(VLOOKUP(A56, 'ANEXO A'!$A$2:$L$94, 8, FALSE), "")</f>
        <v/>
      </c>
      <c r="F56" s="38">
        <f>IFERROR(VLOOKUP(A56, 'ANEXO A'!$A$2:$L$94, 9, FALSE), "")</f>
        <v/>
      </c>
      <c r="G56" s="38">
        <f>IFERROR(VLOOKUP(A56, 'ANEXO A'!$A$2:$L$94, 10, FALSE), "")</f>
        <v/>
      </c>
      <c r="H56" s="38">
        <f>IFERROR(VLOOKUP(A56, 'ANEXO A'!$A$2:$L$94, 12, FALSE), "")</f>
        <v/>
      </c>
      <c r="I56" s="38" t="inlineStr">
        <is>
          <t>6.9 FTP / 6.13 Activos: Control y restricción de medios extraíbles (USB/discos) y almacenamiento de backups (GSO-GSI-MP-GSI / GSO-GSI-ME-GAI).</t>
        </is>
      </c>
      <c r="J56" s="112">
        <f>"• Establecer lineamientos para " &amp; IFERROR(VLOOKUP(A56, 'ANEXO A'!$A$2:$L$94, 2, FALSE), "Este Control") &amp; CHAR(10) &amp; "• Definir roles para el control " &amp; A56 &amp; CHAR(10) &amp; "• Revisar efectividad de " &amp; IFERROR(VLOOKUP(A56, 'ANEXO A'!$A$2:$L$94, 2, FALSE), "Este Control")</f>
        <v/>
      </c>
      <c r="K56" s="112" t="inlineStr">
        <is>
          <t>Asegurar el cumplimiento, control y resguardo continuo de los procesos de Soportes de almacenamiento a fin de mitigar riesgos y mantener la alineación a los principios de confidencialidad, integridad y disponibilidad aplicables a este dominio.</t>
        </is>
      </c>
      <c r="L56" s="112" t="inlineStr">
        <is>
          <t>La organización deberá implementar, registrar y monitorear operativamente todos los protocolos relacionados a Soportes de almacenamiento, estableciendo políticas técnicas correspondientes.</t>
        </is>
      </c>
    </row>
    <row r="57" ht="56.25" customHeight="1" s="106">
      <c r="A57" s="38">
        <f>'ANEXO A'!A57</f>
        <v/>
      </c>
      <c r="B57" s="38">
        <f>IFERROR(VLOOKUP(A57, 'ANEXO A'!$A$2:$L$94, 2, FALSE), "")</f>
        <v/>
      </c>
      <c r="C57" s="38">
        <f>IF(LEFT(A57,1)="5", "5. Organizacionales", IF(LEFT(A57,1)="6", "6. Personas", IF(LEFT(A57,1)="7", "7. Físicos", "8. Tecnológicos")))</f>
        <v/>
      </c>
      <c r="D57" s="38">
        <f>IFERROR(VLOOKUP(A57, 'ANEXO A'!$A$2:$L$94, 11, FALSE), "")</f>
        <v/>
      </c>
      <c r="E57" s="38">
        <f>IFERROR(VLOOKUP(A57, 'ANEXO A'!$A$2:$L$94, 8, FALSE), "")</f>
        <v/>
      </c>
      <c r="F57" s="38">
        <f>IFERROR(VLOOKUP(A57, 'ANEXO A'!$A$2:$L$94, 9, FALSE), "")</f>
        <v/>
      </c>
      <c r="G57" s="38">
        <f>IFERROR(VLOOKUP(A57, 'ANEXO A'!$A$2:$L$94, 10, FALSE), "")</f>
        <v/>
      </c>
      <c r="H57" s="38">
        <f>IFERROR(VLOOKUP(A57, 'ANEXO A'!$A$2:$L$94, 12, FALSE), "")</f>
        <v/>
      </c>
      <c r="I57" s="38" t="inlineStr">
        <is>
          <t>Sec. 10.2.1 Metodología GAI (S32-S33): Respaldo eléctrico mediante UPS redundantes y generador eléctrico (GSO-GSI-ME-GAI / SEPS-2022-002).</t>
        </is>
      </c>
      <c r="J57" s="112">
        <f>"• Establecer lineamientos para " &amp; IFERROR(VLOOKUP(A57, 'ANEXO A'!$A$2:$L$94, 2, FALSE), "Este Control") &amp; CHAR(10) &amp; "• Definir roles para el control " &amp; A57 &amp; CHAR(10) &amp; "• Revisar efectividad de " &amp; IFERROR(VLOOKUP(A57, 'ANEXO A'!$A$2:$L$94, 2, FALSE), "Este Control")</f>
        <v/>
      </c>
      <c r="K57" s="112" t="inlineStr">
        <is>
          <t>Asegurar el cumplimiento, control y resguardo continuo de los procesos de Servicios públicos a fin de mitigar riesgos y mantener la alineación a los principios de confidencialidad, integridad y disponibilidad aplicables a este dominio.</t>
        </is>
      </c>
      <c r="L57" s="112" t="inlineStr">
        <is>
          <t>La organización deberá implementar, registrar y monitorear operativamente todos los protocolos relacionados a Servicios públicos, estableciendo políticas técnicas correspondientes.</t>
        </is>
      </c>
    </row>
    <row r="58" ht="56.25" customHeight="1" s="106">
      <c r="A58" s="38">
        <f>'ANEXO A'!A58</f>
        <v/>
      </c>
      <c r="B58" s="38">
        <f>IFERROR(VLOOKUP(A58, 'ANEXO A'!$A$2:$L$94, 2, FALSE), "")</f>
        <v/>
      </c>
      <c r="C58" s="38">
        <f>IF(LEFT(A58,1)="5", "5. Organizacionales", IF(LEFT(A58,1)="6", "6. Personas", IF(LEFT(A58,1)="7", "7. Físicos", "8. Tecnológicos")))</f>
        <v/>
      </c>
      <c r="D58" s="38">
        <f>IFERROR(VLOOKUP(A58, 'ANEXO A'!$A$2:$L$94, 11, FALSE), "")</f>
        <v/>
      </c>
      <c r="E58" s="38">
        <f>IFERROR(VLOOKUP(A58, 'ANEXO A'!$A$2:$L$94, 8, FALSE), "")</f>
        <v/>
      </c>
      <c r="F58" s="38">
        <f>IFERROR(VLOOKUP(A58, 'ANEXO A'!$A$2:$L$94, 9, FALSE), "")</f>
        <v/>
      </c>
      <c r="G58" s="38">
        <f>IFERROR(VLOOKUP(A58, 'ANEXO A'!$A$2:$L$94, 10, FALSE), "")</f>
        <v/>
      </c>
      <c r="H58" s="38">
        <f>IFERROR(VLOOKUP(A58, 'ANEXO A'!$A$2:$L$94, 12, FALSE), "")</f>
        <v/>
      </c>
      <c r="I58" s="38" t="inlineStr">
        <is>
          <t>Anexo 1 SEPS (Infraestructura): Cableado estructurado canalizado, ordenado y protegido en ductos cerrados (SEPS-2022-002).</t>
        </is>
      </c>
      <c r="J58" s="112">
        <f>"• Establecer lineamientos para " &amp; IFERROR(VLOOKUP(A58, 'ANEXO A'!$A$2:$L$94, 2, FALSE), "Este Control") &amp; CHAR(10) &amp; "• Definir roles para el control " &amp; A58 &amp; CHAR(10) &amp; "• Revisar efectividad de " &amp; IFERROR(VLOOKUP(A58, 'ANEXO A'!$A$2:$L$94, 2, FALSE), "Este Control")</f>
        <v/>
      </c>
      <c r="K58" s="112" t="inlineStr">
        <is>
          <t>Asegurar el cumplimiento, control y resguardo continuo de los procesos de Seguridad del cableado a fin de mitigar riesgos y mantener la alineación a los principios de confidencialidad, integridad y disponibilidad aplicables a este dominio.</t>
        </is>
      </c>
      <c r="L58" s="112" t="inlineStr">
        <is>
          <t>La organización deberá implementar, registrar y monitorear operativamente todos los protocolos relacionados a Seguridad del cableado, estableciendo políticas técnicas correspondientes.</t>
        </is>
      </c>
    </row>
    <row r="59" ht="56.25" customHeight="1" s="106">
      <c r="A59" s="38">
        <f>'ANEXO A'!A59</f>
        <v/>
      </c>
      <c r="B59" s="38">
        <f>IFERROR(VLOOKUP(A59, 'ANEXO A'!$A$2:$L$94, 2, FALSE), "")</f>
        <v/>
      </c>
      <c r="C59" s="38">
        <f>IF(LEFT(A59,1)="5", "5. Organizacionales", IF(LEFT(A59,1)="6", "6. Personas", IF(LEFT(A59,1)="7", "7. Físicos", "8. Tecnológicos")))</f>
        <v/>
      </c>
      <c r="D59" s="38">
        <f>IFERROR(VLOOKUP(A59, 'ANEXO A'!$A$2:$L$94, 11, FALSE), "")</f>
        <v/>
      </c>
      <c r="E59" s="38">
        <f>IFERROR(VLOOKUP(A59, 'ANEXO A'!$A$2:$L$94, 8, FALSE), "")</f>
        <v/>
      </c>
      <c r="F59" s="38">
        <f>IFERROR(VLOOKUP(A59, 'ANEXO A'!$A$2:$L$94, 9, FALSE), "")</f>
        <v/>
      </c>
      <c r="G59" s="38">
        <f>IFERROR(VLOOKUP(A59, 'ANEXO A'!$A$2:$L$94, 10, FALSE), "")</f>
        <v/>
      </c>
      <c r="H59" s="38">
        <f>IFERROR(VLOOKUP(A59, 'ANEXO A'!$A$2:$L$94, 12, FALSE), "")</f>
        <v/>
      </c>
      <c r="I59" s="38" t="inlineStr">
        <is>
          <t>6.19 Escaneo / Plan TI: Mantenimiento preventivo y correctivo periódico a infraestructura bajo bitácora y supervisión (GSO-GSI-MP-GSI / SEPS-2022-002).</t>
        </is>
      </c>
      <c r="J59" s="112">
        <f>"• Establecer lineamientos para " &amp; IFERROR(VLOOKUP(A59, 'ANEXO A'!$A$2:$L$94, 2, FALSE), "Este Control") &amp; CHAR(10) &amp; "• Definir roles para el control " &amp; A59 &amp; CHAR(10) &amp; "• Revisar efectividad de " &amp; IFERROR(VLOOKUP(A59, 'ANEXO A'!$A$2:$L$94, 2, FALSE), "Este Control")</f>
        <v/>
      </c>
      <c r="K59" s="112" t="inlineStr">
        <is>
          <t>Asegurar el cumplimiento, control y resguardo continuo de los procesos de Mantenimiento de equipos a fin de mitigar riesgos y mantener la alineación a los principios de confidencialidad, integridad y disponibilidad aplicables a este dominio.</t>
        </is>
      </c>
      <c r="L59" s="112" t="inlineStr">
        <is>
          <t>La organización deberá implementar, registrar y monitorear operativamente todos los protocolos relacionados a Mantenimiento de equipos, estableciendo políticas técnicas correspondientes.</t>
        </is>
      </c>
    </row>
    <row r="60" ht="67.5" customHeight="1" s="106">
      <c r="A60" s="38">
        <f>'ANEXO A'!A60</f>
        <v/>
      </c>
      <c r="B60" s="38">
        <f>IFERROR(VLOOKUP(A60, 'ANEXO A'!$A$2:$L$94, 2, FALSE), "")</f>
        <v/>
      </c>
      <c r="C60" s="38">
        <f>IF(LEFT(A60,1)="5", "5. Organizacionales", IF(LEFT(A60,1)="6", "6. Personas", IF(LEFT(A60,1)="7", "7. Físicos", "8. Tecnológicos")))</f>
        <v/>
      </c>
      <c r="D60" s="38">
        <f>IFERROR(VLOOKUP(A60, 'ANEXO A'!$A$2:$L$94, 11, FALSE), "")</f>
        <v/>
      </c>
      <c r="E60" s="38">
        <f>IFERROR(VLOOKUP(A60, 'ANEXO A'!$A$2:$L$94, 8, FALSE), "")</f>
        <v/>
      </c>
      <c r="F60" s="38">
        <f>IFERROR(VLOOKUP(A60, 'ANEXO A'!$A$2:$L$94, 9, FALSE), "")</f>
        <v/>
      </c>
      <c r="G60" s="38">
        <f>IFERROR(VLOOKUP(A60, 'ANEXO A'!$A$2:$L$94, 10, FALSE), "")</f>
        <v/>
      </c>
      <c r="H60" s="38">
        <f>IFERROR(VLOOKUP(A60, 'ANEXO A'!$A$2:$L$94, 12, FALSE), "")</f>
        <v/>
      </c>
      <c r="I60" s="38" t="inlineStr">
        <is>
          <t>Sec. 1 Metodología GAI / Bajas TI: Borrado seguro de medios de almacenamiento y desmagnetización/destrucción de discos dados de baja (GSO-GSI-ME-GAI / ISO 27002).</t>
        </is>
      </c>
      <c r="J60" s="112">
        <f>"• Establecer lineamientos para " &amp; IFERROR(VLOOKUP(A60, 'ANEXO A'!$A$2:$L$94, 2, FALSE), "Este Control") &amp; CHAR(10) &amp; "• Definir roles para el control " &amp; A60 &amp; CHAR(10) &amp; "• Revisar efectividad de " &amp; IFERROR(VLOOKUP(A60, 'ANEXO A'!$A$2:$L$94, 2, FALSE), "Este Control")</f>
        <v/>
      </c>
      <c r="K60" s="112"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L60" s="112" t="inlineStr">
        <is>
          <t>La organización deberá implementar, registrar y monitorear operativamente todos los protocolos relacionados a Eliminación segura o reutilización de equipos, estableciendo políticas técnicas correspondientes.</t>
        </is>
      </c>
    </row>
    <row r="61" ht="56.25" customHeight="1" s="106">
      <c r="A61" s="38">
        <f>'ANEXO A'!A61</f>
        <v/>
      </c>
      <c r="B61" s="38">
        <f>IFERROR(VLOOKUP(A61, 'ANEXO A'!$A$2:$L$94, 2, FALSE), "")</f>
        <v/>
      </c>
      <c r="C61" s="38">
        <f>IF(LEFT(A61,1)="5", "5. Organizacionales", IF(LEFT(A61,1)="6", "6. Personas", IF(LEFT(A61,1)="7", "7. Físicos", "8. Tecnológicos")))</f>
        <v/>
      </c>
      <c r="D61" s="38">
        <f>IFERROR(VLOOKUP(A61, 'ANEXO A'!$A$2:$L$94, 11, FALSE), "")</f>
        <v/>
      </c>
      <c r="E61" s="38">
        <f>IFERROR(VLOOKUP(A61, 'ANEXO A'!$A$2:$L$94, 8, FALSE), "")</f>
        <v/>
      </c>
      <c r="F61" s="38">
        <f>IFERROR(VLOOKUP(A61, 'ANEXO A'!$A$2:$L$94, 9, FALSE), "")</f>
        <v/>
      </c>
      <c r="G61" s="38">
        <f>IFERROR(VLOOKUP(A61, 'ANEXO A'!$A$2:$L$94, 10, FALSE), "")</f>
        <v/>
      </c>
      <c r="H61" s="38">
        <f>IFERROR(VLOOKUP(A61, 'ANEXO A'!$A$2:$L$94, 12, FALSE), "")</f>
        <v/>
      </c>
      <c r="I61" s="38" t="inlineStr">
        <is>
          <t>6.1 Políticas Generales (Item 4) / 6.16: Gestión unificada por Directorio Activo, políticas GPO y monitoreo de terminales (GSO-GSI-MP-GSI).</t>
        </is>
      </c>
      <c r="J61" s="112">
        <f>"• Establecer lineamientos para " &amp; IFERROR(VLOOKUP(A61, 'ANEXO A'!$A$2:$L$94, 2, FALSE), "Este Control") &amp; CHAR(10) &amp; "• Definir roles para el control " &amp; A61 &amp; CHAR(10) &amp; "• Revisar efectividad de " &amp; IFERROR(VLOOKUP(A61, 'ANEXO A'!$A$2:$L$94, 2, FALSE), "Este Control")</f>
        <v/>
      </c>
      <c r="K61" s="112" t="inlineStr">
        <is>
          <t>Asegurar el cumplimiento, control y resguardo continuo de los procesos de Dispositivos de punto final de usuario a fin de mitigar riesgos y mantener la alineación a los principios de confidencialidad, integridad y disponibilidad aplicables a este dominio.</t>
        </is>
      </c>
      <c r="L61" s="112" t="inlineStr">
        <is>
          <t>La organización deberá implementar, registrar y monitorear operativamente todos los protocolos relacionados a Dispositivos de punto final de usuario, estableciendo políticas técnicas correspondientes.</t>
        </is>
      </c>
    </row>
    <row r="62" ht="56.25" customHeight="1" s="106">
      <c r="A62" s="38">
        <f>'ANEXO A'!A62</f>
        <v/>
      </c>
      <c r="B62" s="38">
        <f>IFERROR(VLOOKUP(A62, 'ANEXO A'!$A$2:$L$94, 2, FALSE), "")</f>
        <v/>
      </c>
      <c r="C62" s="38">
        <f>IF(LEFT(A62,1)="5", "5. Organizacionales", IF(LEFT(A62,1)="6", "6. Personas", IF(LEFT(A62,1)="7", "7. Físicos", "8. Tecnológicos")))</f>
        <v/>
      </c>
      <c r="D62" s="38">
        <f>IFERROR(VLOOKUP(A62, 'ANEXO A'!$A$2:$L$94, 11, FALSE), "")</f>
        <v/>
      </c>
      <c r="E62" s="38">
        <f>IFERROR(VLOOKUP(A62, 'ANEXO A'!$A$2:$L$94, 8, FALSE), "")</f>
        <v/>
      </c>
      <c r="F62" s="38">
        <f>IFERROR(VLOOKUP(A62, 'ANEXO A'!$A$2:$L$94, 9, FALSE), "")</f>
        <v/>
      </c>
      <c r="G62" s="38">
        <f>IFERROR(VLOOKUP(A62, 'ANEXO A'!$A$2:$L$94, 10, FALSE), "")</f>
        <v/>
      </c>
      <c r="H62" s="38">
        <f>IFERROR(VLOOKUP(A62, 'ANEXO A'!$A$2:$L$94, 12, FALSE), "")</f>
        <v/>
      </c>
      <c r="I62" s="38" t="inlineStr">
        <is>
          <t>6.7. Administración de roles y perfiles - Control de acceso privilegiado (GSO-GSI-MP-GSI)</t>
        </is>
      </c>
      <c r="J62" s="112">
        <f>"• Establecer lineamientos para " &amp; IFERROR(VLOOKUP(A62, 'ANEXO A'!$A$2:$L$94, 2, FALSE), "Este Control") &amp; CHAR(10) &amp; "• Definir roles para el control " &amp; A62 &amp; CHAR(10) &amp; "• Revisar efectividad de " &amp; IFERROR(VLOOKUP(A62, 'ANEXO A'!$A$2:$L$94, 2, FALSE), "Este Control")</f>
        <v/>
      </c>
      <c r="K62" s="112" t="inlineStr">
        <is>
          <t>Asegurar el cumplimiento, control y resguardo continuo de los procesos de Derechos de acceso privilegiado a fin de mitigar riesgos y mantener la alineación a los principios de confidencialidad, integridad y disponibilidad aplicables a este dominio.</t>
        </is>
      </c>
      <c r="L62" s="112" t="inlineStr">
        <is>
          <t>La organización deberá implementar, registrar y monitorear operativamente todos los protocolos relacionados a Derechos de acceso privilegiado, estableciendo políticas técnicas correspondientes.</t>
        </is>
      </c>
    </row>
    <row r="63" ht="67.5" customHeight="1" s="106">
      <c r="A63" s="38">
        <f>'ANEXO A'!A63</f>
        <v/>
      </c>
      <c r="B63" s="38">
        <f>IFERROR(VLOOKUP(A63, 'ANEXO A'!$A$2:$L$94, 2, FALSE), "")</f>
        <v/>
      </c>
      <c r="C63" s="38">
        <f>IF(LEFT(A63,1)="5", "5. Organizacionales", IF(LEFT(A63,1)="6", "6. Personas", IF(LEFT(A63,1)="7", "7. Físicos", "8. Tecnológicos")))</f>
        <v/>
      </c>
      <c r="D63" s="38">
        <f>IFERROR(VLOOKUP(A63, 'ANEXO A'!$A$2:$L$94, 11, FALSE), "")</f>
        <v/>
      </c>
      <c r="E63" s="38">
        <f>IFERROR(VLOOKUP(A63, 'ANEXO A'!$A$2:$L$94, 8, FALSE), "")</f>
        <v/>
      </c>
      <c r="F63" s="38">
        <f>IFERROR(VLOOKUP(A63, 'ANEXO A'!$A$2:$L$94, 9, FALSE), "")</f>
        <v/>
      </c>
      <c r="G63" s="38">
        <f>IFERROR(VLOOKUP(A63, 'ANEXO A'!$A$2:$L$94, 10, FALSE), "")</f>
        <v/>
      </c>
      <c r="H63" s="38">
        <f>IFERROR(VLOOKUP(A63, 'ANEXO A'!$A$2:$L$94, 12, FALSE), "")</f>
        <v/>
      </c>
      <c r="I63" s="38" t="inlineStr">
        <is>
          <t>6.4. Bloqueo y Desbloqueo de usuarios / 6.5 Eliminación de usuarios (GSO-GSI-MP-GSI)</t>
        </is>
      </c>
      <c r="J63" s="112">
        <f>"• Establecer lineamientos para " &amp; IFERROR(VLOOKUP(A63, 'ANEXO A'!$A$2:$L$94, 2, FALSE), "Este Control") &amp; CHAR(10) &amp; "• Definir roles para el control " &amp; A63 &amp; CHAR(10) &amp; "• Revisar efectividad de " &amp; IFERROR(VLOOKUP(A63, 'ANEXO A'!$A$2:$L$94, 2, FALSE), "Este Control")</f>
        <v/>
      </c>
      <c r="K63" s="112"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L63" s="112" t="inlineStr">
        <is>
          <t>La organización deberá implementar, registrar y monitorear operativamente todos los protocolos relacionados a Restricción del acceso a la información, estableciendo políticas técnicas correspondientes.</t>
        </is>
      </c>
    </row>
    <row r="64" ht="56.25" customHeight="1" s="106">
      <c r="A64" s="38">
        <f>'ANEXO A'!A64</f>
        <v/>
      </c>
      <c r="B64" s="38">
        <f>IFERROR(VLOOKUP(A64, 'ANEXO A'!$A$2:$L$94, 2, FALSE), "")</f>
        <v/>
      </c>
      <c r="C64" s="38">
        <f>IF(LEFT(A64,1)="5", "5. Organizacionales", IF(LEFT(A64,1)="6", "6. Personas", IF(LEFT(A64,1)="7", "7. Físicos", "8. Tecnológicos")))</f>
        <v/>
      </c>
      <c r="D64" s="38">
        <f>IFERROR(VLOOKUP(A64, 'ANEXO A'!$A$2:$L$94, 11, FALSE), "")</f>
        <v/>
      </c>
      <c r="E64" s="38">
        <f>IFERROR(VLOOKUP(A64, 'ANEXO A'!$A$2:$L$94, 8, FALSE), "")</f>
        <v/>
      </c>
      <c r="F64" s="38">
        <f>IFERROR(VLOOKUP(A64, 'ANEXO A'!$A$2:$L$94, 9, FALSE), "")</f>
        <v/>
      </c>
      <c r="G64" s="38">
        <f>IFERROR(VLOOKUP(A64, 'ANEXO A'!$A$2:$L$94, 10, FALSE), "")</f>
        <v/>
      </c>
      <c r="H64" s="38">
        <f>IFERROR(VLOOKUP(A64, 'ANEXO A'!$A$2:$L$94, 12, FALSE), "")</f>
        <v/>
      </c>
      <c r="I64" s="38" t="inlineStr">
        <is>
          <t>Anexo 1 SEPS (Desarrollo): Restricción y control de repositorios de software y herramientas de desarrollo bajo mínima asignación de privilegios (SEPS-2022-002 / ISO 27002).</t>
        </is>
      </c>
      <c r="J64" s="112">
        <f>"• Establecer lineamientos para " &amp; IFERROR(VLOOKUP(A64, 'ANEXO A'!$A$2:$L$94, 2, FALSE), "Este Control") &amp; CHAR(10) &amp; "• Definir roles para el control " &amp; A64 &amp; CHAR(10) &amp; "• Revisar efectividad de " &amp; IFERROR(VLOOKUP(A64, 'ANEXO A'!$A$2:$L$94, 2, FALSE), "Este Control")</f>
        <v/>
      </c>
      <c r="K64" s="112" t="inlineStr">
        <is>
          <t>Asegurar el cumplimiento, control y resguardo continuo de los procesos de Acceso al código fuente a fin de mitigar riesgos y mantener la alineación a los principios de confidencialidad, integridad y disponibilidad aplicables a este dominio.</t>
        </is>
      </c>
      <c r="L64" s="112" t="inlineStr">
        <is>
          <t>La organización deberá implementar, registrar y monitorear operativamente todos los protocolos relacionados a Acceso al código fuente, estableciendo políticas técnicas correspondientes.</t>
        </is>
      </c>
    </row>
    <row r="65" ht="56.25" customHeight="1" s="106">
      <c r="A65" s="38">
        <f>'ANEXO A'!A65</f>
        <v/>
      </c>
      <c r="B65" s="38">
        <f>IFERROR(VLOOKUP(A65, 'ANEXO A'!$A$2:$L$94, 2, FALSE), "")</f>
        <v/>
      </c>
      <c r="C65" s="38">
        <f>IF(LEFT(A65,1)="5", "5. Organizacionales", IF(LEFT(A65,1)="6", "6. Personas", IF(LEFT(A65,1)="7", "7. Físicos", "8. Tecnológicos")))</f>
        <v/>
      </c>
      <c r="D65" s="38">
        <f>IFERROR(VLOOKUP(A65, 'ANEXO A'!$A$2:$L$94, 11, FALSE), "")</f>
        <v/>
      </c>
      <c r="E65" s="38">
        <f>IFERROR(VLOOKUP(A65, 'ANEXO A'!$A$2:$L$94, 8, FALSE), "")</f>
        <v/>
      </c>
      <c r="F65" s="38">
        <f>IFERROR(VLOOKUP(A65, 'ANEXO A'!$A$2:$L$94, 9, FALSE), "")</f>
        <v/>
      </c>
      <c r="G65" s="38">
        <f>IFERROR(VLOOKUP(A65, 'ANEXO A'!$A$2:$L$94, 10, FALSE), "")</f>
        <v/>
      </c>
      <c r="H65" s="38">
        <f>IFERROR(VLOOKUP(A65, 'ANEXO A'!$A$2:$L$94, 12, FALSE), "")</f>
        <v/>
      </c>
      <c r="I65" s="38" t="inlineStr">
        <is>
          <t>6.4 Bloqueo / 6.2 MFA Azure: Implementación de contraseñas robustas, bloqueo por intentos fallidos y autenticación multifactor (GSO-GSI-MP-GSI).</t>
        </is>
      </c>
      <c r="J65" s="112">
        <f>"• Establecer lineamientos para " &amp; IFERROR(VLOOKUP(A65, 'ANEXO A'!$A$2:$L$94, 2, FALSE), "Este Control") &amp; CHAR(10) &amp; "• Definir roles para el control " &amp; A65 &amp; CHAR(10) &amp; "• Revisar efectividad de " &amp; IFERROR(VLOOKUP(A65, 'ANEXO A'!$A$2:$L$94, 2, FALSE), "Este Control")</f>
        <v/>
      </c>
      <c r="K65" s="112" t="inlineStr">
        <is>
          <t>Asegurar el cumplimiento, control y resguardo continuo de los procesos de Autenticación segura a fin de mitigar riesgos y mantener la alineación a los principios de confidencialidad, integridad y disponibilidad aplicables a este dominio.</t>
        </is>
      </c>
      <c r="L65" s="112" t="inlineStr">
        <is>
          <t>La organización deberá implementar, registrar y monitorear operativamente todos los protocolos relacionados a Autenticación segura, estableciendo políticas técnicas correspondientes.</t>
        </is>
      </c>
    </row>
    <row r="66" ht="56.25" customHeight="1" s="106">
      <c r="A66" s="38">
        <f>'ANEXO A'!A66</f>
        <v/>
      </c>
      <c r="B66" s="38">
        <f>IFERROR(VLOOKUP(A66, 'ANEXO A'!$A$2:$L$94, 2, FALSE), "")</f>
        <v/>
      </c>
      <c r="C66" s="38">
        <f>IF(LEFT(A66,1)="5", "5. Organizacionales", IF(LEFT(A66,1)="6", "6. Personas", IF(LEFT(A66,1)="7", "7. Físicos", "8. Tecnológicos")))</f>
        <v/>
      </c>
      <c r="D66" s="38">
        <f>IFERROR(VLOOKUP(A66, 'ANEXO A'!$A$2:$L$94, 11, FALSE), "")</f>
        <v/>
      </c>
      <c r="E66" s="38">
        <f>IFERROR(VLOOKUP(A66, 'ANEXO A'!$A$2:$L$94, 8, FALSE), "")</f>
        <v/>
      </c>
      <c r="F66" s="38">
        <f>IFERROR(VLOOKUP(A66, 'ANEXO A'!$A$2:$L$94, 9, FALSE), "")</f>
        <v/>
      </c>
      <c r="G66" s="38">
        <f>IFERROR(VLOOKUP(A66, 'ANEXO A'!$A$2:$L$94, 10, FALSE), "")</f>
        <v/>
      </c>
      <c r="H66" s="38">
        <f>IFERROR(VLOOKUP(A66, 'ANEXO A'!$A$2:$L$94, 12, FALSE), "")</f>
        <v/>
      </c>
      <c r="I66" s="38" t="inlineStr">
        <is>
          <t>6.14 Auditoría BD (Pol. 5): Monitoreo semestral del consumo de recursos, almacenamiento y rendimiento de base de datos y Core (GSO-GSI-MP-GSI).</t>
        </is>
      </c>
      <c r="J66" s="112">
        <f>"• Establecer lineamientos para " &amp; IFERROR(VLOOKUP(A66, 'ANEXO A'!$A$2:$L$94, 2, FALSE), "Este Control") &amp; CHAR(10) &amp; "• Definir roles para el control " &amp; A66 &amp; CHAR(10) &amp; "• Revisar efectividad de " &amp; IFERROR(VLOOKUP(A66, 'ANEXO A'!$A$2:$L$94, 2, FALSE), "Este Control")</f>
        <v/>
      </c>
      <c r="K66" s="112" t="inlineStr">
        <is>
          <t>Asegurar el cumplimiento, control y resguardo continuo de los procesos de Gestión de capacidad a fin de mitigar riesgos y mantener la alineación a los principios de confidencialidad, integridad y disponibilidad aplicables a este dominio.</t>
        </is>
      </c>
      <c r="L66" s="112" t="inlineStr">
        <is>
          <t>La organización deberá implementar, registrar y monitorear operativamente todos los protocolos relacionados a Gestión de capacidad, estableciendo políticas técnicas correspondientes.</t>
        </is>
      </c>
    </row>
    <row r="67" ht="56.25" customHeight="1" s="106">
      <c r="A67" s="38">
        <f>'ANEXO A'!A67</f>
        <v/>
      </c>
      <c r="B67" s="38">
        <f>IFERROR(VLOOKUP(A67, 'ANEXO A'!$A$2:$L$94, 2, FALSE), "")</f>
        <v/>
      </c>
      <c r="C67" s="38">
        <f>IF(LEFT(A67,1)="5", "5. Organizacionales", IF(LEFT(A67,1)="6", "6. Personas", IF(LEFT(A67,1)="7", "7. Físicos", "8. Tecnológicos")))</f>
        <v/>
      </c>
      <c r="D67" s="38">
        <f>IFERROR(VLOOKUP(A67, 'ANEXO A'!$A$2:$L$94, 11, FALSE), "")</f>
        <v/>
      </c>
      <c r="E67" s="38">
        <f>IFERROR(VLOOKUP(A67, 'ANEXO A'!$A$2:$L$94, 8, FALSE), "")</f>
        <v/>
      </c>
      <c r="F67" s="38">
        <f>IFERROR(VLOOKUP(A67, 'ANEXO A'!$A$2:$L$94, 9, FALSE), "")</f>
        <v/>
      </c>
      <c r="G67" s="38">
        <f>IFERROR(VLOOKUP(A67, 'ANEXO A'!$A$2:$L$94, 10, FALSE), "")</f>
        <v/>
      </c>
      <c r="H67" s="38">
        <f>IFERROR(VLOOKUP(A67, 'ANEXO A'!$A$2:$L$94, 12, FALSE), "")</f>
        <v/>
      </c>
      <c r="I67" s="38" t="inlineStr">
        <is>
          <t>6.11 Cuentas Críticas (Antivirus/AntiSpam): Administración centralizada de consola antivirus, filtros antispam y actualización de firmas (GSO-GSI-MP-GSI).</t>
        </is>
      </c>
      <c r="J67" s="112">
        <f>"• Establecer lineamientos para " &amp; IFERROR(VLOOKUP(A67, 'ANEXO A'!$A$2:$L$94, 2, FALSE), "Este Control") &amp; CHAR(10) &amp; "• Definir roles para el control " &amp; A67 &amp; CHAR(10) &amp; "• Revisar efectividad de " &amp; IFERROR(VLOOKUP(A67, 'ANEXO A'!$A$2:$L$94, 2, FALSE), "Este Control")</f>
        <v/>
      </c>
      <c r="K67" s="112" t="inlineStr">
        <is>
          <t>Asegurar el cumplimiento, control y resguardo continuo de los procesos de Protección contra malware a fin de mitigar riesgos y mantener la alineación a los principios de confidencialidad, integridad y disponibilidad aplicables a este dominio.</t>
        </is>
      </c>
      <c r="L67" s="112" t="inlineStr">
        <is>
          <t>La organización deberá implementar, registrar y monitorear operativamente todos los protocolos relacionados a Protección contra malware, estableciendo políticas técnicas correspondientes.</t>
        </is>
      </c>
    </row>
    <row r="68" ht="56.25" customHeight="1" s="106">
      <c r="A68" s="38">
        <f>'ANEXO A'!A68</f>
        <v/>
      </c>
      <c r="B68" s="38">
        <f>IFERROR(VLOOKUP(A68, 'ANEXO A'!$A$2:$L$94, 2, FALSE), "")</f>
        <v/>
      </c>
      <c r="C68" s="38">
        <f>IF(LEFT(A68,1)="5", "5. Organizacionales", IF(LEFT(A68,1)="6", "6. Personas", IF(LEFT(A68,1)="7", "7. Físicos", "8. Tecnológicos")))</f>
        <v/>
      </c>
      <c r="D68" s="38">
        <f>IFERROR(VLOOKUP(A68, 'ANEXO A'!$A$2:$L$94, 11, FALSE), "")</f>
        <v/>
      </c>
      <c r="E68" s="38">
        <f>IFERROR(VLOOKUP(A68, 'ANEXO A'!$A$2:$L$94, 8, FALSE), "")</f>
        <v/>
      </c>
      <c r="F68" s="38">
        <f>IFERROR(VLOOKUP(A68, 'ANEXO A'!$A$2:$L$94, 9, FALSE), "")</f>
        <v/>
      </c>
      <c r="G68" s="38">
        <f>IFERROR(VLOOKUP(A68, 'ANEXO A'!$A$2:$L$94, 10, FALSE), "")</f>
        <v/>
      </c>
      <c r="H68" s="38">
        <f>IFERROR(VLOOKUP(A68, 'ANEXO A'!$A$2:$L$94, 12, FALSE), "")</f>
        <v/>
      </c>
      <c r="I68" s="38" t="inlineStr">
        <is>
          <t>6.19. Escaneo de vulnerabilidades internas y externas - Mantenimiento de software (GSO-GSI-MP-GSI)</t>
        </is>
      </c>
      <c r="J68" s="112">
        <f>"• Establecer lineamientos para " &amp; IFERROR(VLOOKUP(A68, 'ANEXO A'!$A$2:$L$94, 2, FALSE), "Este Control") &amp; CHAR(10) &amp; "• Definir roles para el control " &amp; A68 &amp; CHAR(10) &amp; "• Revisar efectividad de " &amp; IFERROR(VLOOKUP(A68, 'ANEXO A'!$A$2:$L$94, 2, FALSE), "Este Control")</f>
        <v/>
      </c>
      <c r="K68" s="112" t="inlineStr">
        <is>
          <t>Asegurar el cumplimiento, control y resguardo continuo de los procesos de Gestión de vulnerabilidades técnicas a fin de mitigar riesgos y mantener la alineación a los principios de confidencialidad, integridad y disponibilidad aplicables a este dominio.</t>
        </is>
      </c>
      <c r="L68" s="112" t="inlineStr">
        <is>
          <t>La organización deberá implementar, registrar y monitorear operativamente todos los protocolos relacionados a Gestión de vulnerabilidades técnicas, estableciendo políticas técnicas correspondientes.</t>
        </is>
      </c>
    </row>
    <row r="69" ht="56.25" customHeight="1" s="106">
      <c r="A69" s="38">
        <f>'ANEXO A'!A69</f>
        <v/>
      </c>
      <c r="B69" s="38">
        <f>IFERROR(VLOOKUP(A69, 'ANEXO A'!$A$2:$L$94, 2, FALSE), "")</f>
        <v/>
      </c>
      <c r="C69" s="38">
        <f>IF(LEFT(A69,1)="5", "5. Organizacionales", IF(LEFT(A69,1)="6", "6. Personas", IF(LEFT(A69,1)="7", "7. Físicos", "8. Tecnológicos")))</f>
        <v/>
      </c>
      <c r="D69" s="38">
        <f>IFERROR(VLOOKUP(A69, 'ANEXO A'!$A$2:$L$94, 11, FALSE), "")</f>
        <v/>
      </c>
      <c r="E69" s="38">
        <f>IFERROR(VLOOKUP(A69, 'ANEXO A'!$A$2:$L$94, 8, FALSE), "")</f>
        <v/>
      </c>
      <c r="F69" s="38">
        <f>IFERROR(VLOOKUP(A69, 'ANEXO A'!$A$2:$L$94, 9, FALSE), "")</f>
        <v/>
      </c>
      <c r="G69" s="38">
        <f>IFERROR(VLOOKUP(A69, 'ANEXO A'!$A$2:$L$94, 10, FALSE), "")</f>
        <v/>
      </c>
      <c r="H69" s="38">
        <f>IFERROR(VLOOKUP(A69, 'ANEXO A'!$A$2:$L$94, 12, FALSE), "")</f>
        <v/>
      </c>
      <c r="I69" s="38" t="inlineStr">
        <is>
          <t>Anexo 1 SEPS 002 (Configuración): Establecimiento y auditoría de líneas base seguras (Hardening) en servidores, BD y comunicaciones (SEPS-2022-002).</t>
        </is>
      </c>
      <c r="J69" s="112">
        <f>"• Establecer lineamientos para " &amp; IFERROR(VLOOKUP(A69, 'ANEXO A'!$A$2:$L$94, 2, FALSE), "Este Control") &amp; CHAR(10) &amp; "• Definir roles para el control " &amp; A69 &amp; CHAR(10) &amp; "• Revisar efectividad de " &amp; IFERROR(VLOOKUP(A69, 'ANEXO A'!$A$2:$L$94, 2, FALSE), "Este Control")</f>
        <v/>
      </c>
      <c r="K69" s="112" t="inlineStr">
        <is>
          <t>Asegurar el cumplimiento, control y resguardo continuo de los procesos de Gestión de la configuración a fin de mitigar riesgos y mantener la alineación a los principios de confidencialidad, integridad y disponibilidad aplicables a este dominio.</t>
        </is>
      </c>
      <c r="L69" s="112" t="inlineStr">
        <is>
          <t>La organización deberá implementar, registrar y monitorear operativamente todos los protocolos relacionados a Gestión de la configuración, estableciendo políticas técnicas correspondientes.</t>
        </is>
      </c>
    </row>
    <row r="70" ht="56.25" customHeight="1" s="106">
      <c r="A70" s="38">
        <f>'ANEXO A'!A70</f>
        <v/>
      </c>
      <c r="B70" s="38">
        <f>IFERROR(VLOOKUP(A70, 'ANEXO A'!$A$2:$L$94, 2, FALSE), "")</f>
        <v/>
      </c>
      <c r="C70" s="38">
        <f>IF(LEFT(A70,1)="5", "5. Organizacionales", IF(LEFT(A70,1)="6", "6. Personas", IF(LEFT(A70,1)="7", "7. Físicos", "8. Tecnológicos")))</f>
        <v/>
      </c>
      <c r="D70" s="38">
        <f>IFERROR(VLOOKUP(A70, 'ANEXO A'!$A$2:$L$94, 11, FALSE), "")</f>
        <v/>
      </c>
      <c r="E70" s="38">
        <f>IFERROR(VLOOKUP(A70, 'ANEXO A'!$A$2:$L$94, 8, FALSE), "")</f>
        <v/>
      </c>
      <c r="F70" s="38">
        <f>IFERROR(VLOOKUP(A70, 'ANEXO A'!$A$2:$L$94, 9, FALSE), "")</f>
        <v/>
      </c>
      <c r="G70" s="38">
        <f>IFERROR(VLOOKUP(A70, 'ANEXO A'!$A$2:$L$94, 10, FALSE), "")</f>
        <v/>
      </c>
      <c r="H70" s="38">
        <f>IFERROR(VLOOKUP(A70, 'ANEXO A'!$A$2:$L$94, 12, FALSE), "")</f>
        <v/>
      </c>
      <c r="I70" s="38" t="inlineStr">
        <is>
          <t>6.5 Eliminación de usuarios / Retención: Expiración de productos/roles y purga segura de archivos temporales (GSO-GSI-MP-GSI / ISO 27002).</t>
        </is>
      </c>
      <c r="J70" s="112">
        <f>"• Establecer lineamientos para " &amp; IFERROR(VLOOKUP(A70, 'ANEXO A'!$A$2:$L$94, 2, FALSE), "Este Control") &amp; CHAR(10) &amp; "• Definir roles para el control " &amp; A70 &amp; CHAR(10) &amp; "• Revisar efectividad de " &amp; IFERROR(VLOOKUP(A70, 'ANEXO A'!$A$2:$L$94, 2, FALSE), "Este Control")</f>
        <v/>
      </c>
      <c r="K70" s="112" t="inlineStr">
        <is>
          <t>Asegurar el cumplimiento, control y resguardo continuo de los procesos de Eliminación de información a fin de mitigar riesgos y mantener la alineación a los principios de confidencialidad, integridad y disponibilidad aplicables a este dominio.</t>
        </is>
      </c>
      <c r="L70" s="112" t="inlineStr">
        <is>
          <t>La organización deberá implementar, registrar y monitorear operativamente todos los protocolos relacionados a Eliminación de información, estableciendo políticas técnicas correspondientes.</t>
        </is>
      </c>
    </row>
    <row r="71" ht="56.25" customHeight="1" s="106">
      <c r="A71" s="38">
        <f>'ANEXO A'!A71</f>
        <v/>
      </c>
      <c r="B71" s="38">
        <f>IFERROR(VLOOKUP(A71, 'ANEXO A'!$A$2:$L$94, 2, FALSE), "")</f>
        <v/>
      </c>
      <c r="C71" s="38">
        <f>IF(LEFT(A71,1)="5", "5. Organizacionales", IF(LEFT(A71,1)="6", "6. Personas", IF(LEFT(A71,1)="7", "7. Físicos", "8. Tecnológicos")))</f>
        <v/>
      </c>
      <c r="D71" s="38">
        <f>IFERROR(VLOOKUP(A71, 'ANEXO A'!$A$2:$L$94, 11, FALSE), "")</f>
        <v/>
      </c>
      <c r="E71" s="38">
        <f>IFERROR(VLOOKUP(A71, 'ANEXO A'!$A$2:$L$94, 8, FALSE), "")</f>
        <v/>
      </c>
      <c r="F71" s="38">
        <f>IFERROR(VLOOKUP(A71, 'ANEXO A'!$A$2:$L$94, 9, FALSE), "")</f>
        <v/>
      </c>
      <c r="G71" s="38">
        <f>IFERROR(VLOOKUP(A71, 'ANEXO A'!$A$2:$L$94, 10, FALSE), "")</f>
        <v/>
      </c>
      <c r="H71" s="38">
        <f>IFERROR(VLOOKUP(A71, 'ANEXO A'!$A$2:$L$94, 12, FALSE), "")</f>
        <v/>
      </c>
      <c r="I71" s="38" t="inlineStr">
        <is>
          <t>6.17 Escaneo PCI DSS (Pol. 3-6): Truncamiento y ofuscación del PAN (visibilidad máx. primeros 6 y últimos 4 dígitos) (GSO-GSI-MP-GSI).</t>
        </is>
      </c>
      <c r="J71" s="112">
        <f>"• Establecer lineamientos para " &amp; IFERROR(VLOOKUP(A71, 'ANEXO A'!$A$2:$L$94, 2, FALSE), "Este Control") &amp; CHAR(10) &amp; "• Definir roles para el control " &amp; A71 &amp; CHAR(10) &amp; "• Revisar efectividad de " &amp; IFERROR(VLOOKUP(A71, 'ANEXO A'!$A$2:$L$94, 2, FALSE), "Este Control")</f>
        <v/>
      </c>
      <c r="K71" s="112" t="inlineStr">
        <is>
          <t>Asegurar el cumplimiento, control y resguardo continuo de los procesos de Enmascaramiento de datos a fin de mitigar riesgos y mantener la alineación a los principios de confidencialidad, integridad y disponibilidad aplicables a este dominio.</t>
        </is>
      </c>
      <c r="L71" s="112" t="inlineStr">
        <is>
          <t>La organización deberá implementar, registrar y monitorear operativamente todos los protocolos relacionados a Enmascaramiento de datos, estableciendo políticas técnicas correspondientes.</t>
        </is>
      </c>
    </row>
    <row r="72" ht="56.25" customHeight="1" s="106">
      <c r="A72" s="38">
        <f>'ANEXO A'!A72</f>
        <v/>
      </c>
      <c r="B72" s="38">
        <f>IFERROR(VLOOKUP(A72, 'ANEXO A'!$A$2:$L$94, 2, FALSE), "")</f>
        <v/>
      </c>
      <c r="C72" s="38">
        <f>IF(LEFT(A72,1)="5", "5. Organizacionales", IF(LEFT(A72,1)="6", "6. Personas", IF(LEFT(A72,1)="7", "7. Físicos", "8. Tecnológicos")))</f>
        <v/>
      </c>
      <c r="D72" s="38">
        <f>IFERROR(VLOOKUP(A72, 'ANEXO A'!$A$2:$L$94, 11, FALSE), "")</f>
        <v/>
      </c>
      <c r="E72" s="38">
        <f>IFERROR(VLOOKUP(A72, 'ANEXO A'!$A$2:$L$94, 8, FALSE), "")</f>
        <v/>
      </c>
      <c r="F72" s="38">
        <f>IFERROR(VLOOKUP(A72, 'ANEXO A'!$A$2:$L$94, 9, FALSE), "")</f>
        <v/>
      </c>
      <c r="G72" s="38">
        <f>IFERROR(VLOOKUP(A72, 'ANEXO A'!$A$2:$L$94, 10, FALSE), "")</f>
        <v/>
      </c>
      <c r="H72" s="38">
        <f>IFERROR(VLOOKUP(A72, 'ANEXO A'!$A$2:$L$94, 12, FALSE), "")</f>
        <v/>
      </c>
      <c r="I72" s="38" t="inlineStr">
        <is>
          <t>6.9 Control FTP / 6.17 PCI DSS: Restricción de descargas masivas, monitoreo de canales de salida y bloqueo de fuga de información crítica (GSO-GSI-MP-GSI).</t>
        </is>
      </c>
      <c r="J72" s="112">
        <f>"• Establecer lineamientos para " &amp; IFERROR(VLOOKUP(A72, 'ANEXO A'!$A$2:$L$94, 2, FALSE), "Este Control") &amp; CHAR(10) &amp; "• Definir roles para el control " &amp; A72 &amp; CHAR(10) &amp; "• Revisar efectividad de " &amp; IFERROR(VLOOKUP(A72, 'ANEXO A'!$A$2:$L$94, 2, FALSE), "Este Control")</f>
        <v/>
      </c>
      <c r="K72" s="112" t="inlineStr">
        <is>
          <t>Asegurar el cumplimiento, control y resguardo continuo de los procesos de Prevención de fuga de datos a fin de mitigar riesgos y mantener la alineación a los principios de confidencialidad, integridad y disponibilidad aplicables a este dominio.</t>
        </is>
      </c>
      <c r="L72" s="112" t="inlineStr">
        <is>
          <t>La organización deberá implementar, registrar y monitorear operativamente todos los protocolos relacionados a Prevención de fuga de datos, estableciendo políticas técnicas correspondientes.</t>
        </is>
      </c>
    </row>
    <row r="73" ht="56.25" customHeight="1" s="106">
      <c r="A73" s="38">
        <f>'ANEXO A'!A73</f>
        <v/>
      </c>
      <c r="B73" s="38">
        <f>IFERROR(VLOOKUP(A73, 'ANEXO A'!$A$2:$L$94, 2, FALSE), "")</f>
        <v/>
      </c>
      <c r="C73" s="38">
        <f>IF(LEFT(A73,1)="5", "5. Organizacionales", IF(LEFT(A73,1)="6", "6. Personas", IF(LEFT(A73,1)="7", "7. Físicos", "8. Tecnológicos")))</f>
        <v/>
      </c>
      <c r="D73" s="38">
        <f>IFERROR(VLOOKUP(A73, 'ANEXO A'!$A$2:$L$94, 11, FALSE), "")</f>
        <v/>
      </c>
      <c r="E73" s="38">
        <f>IFERROR(VLOOKUP(A73, 'ANEXO A'!$A$2:$L$94, 8, FALSE), "")</f>
        <v/>
      </c>
      <c r="F73" s="38">
        <f>IFERROR(VLOOKUP(A73, 'ANEXO A'!$A$2:$L$94, 9, FALSE), "")</f>
        <v/>
      </c>
      <c r="G73" s="38">
        <f>IFERROR(VLOOKUP(A73, 'ANEXO A'!$A$2:$L$94, 10, FALSE), "")</f>
        <v/>
      </c>
      <c r="H73" s="38">
        <f>IFERROR(VLOOKUP(A73, 'ANEXO A'!$A$2:$L$94, 12, FALSE), "")</f>
        <v/>
      </c>
      <c r="I73" s="38" t="inlineStr">
        <is>
          <t>Anexo 1 SEPS 002 (Respaldos): Resguardo periódico automatizado de BD y aplicativos, y pruebas semestrales de restauración (SEPS-2022-002).</t>
        </is>
      </c>
      <c r="J73" s="112">
        <f>"• Establecer lineamientos para " &amp; IFERROR(VLOOKUP(A73, 'ANEXO A'!$A$2:$L$94, 2, FALSE), "Este Control") &amp; CHAR(10) &amp; "• Definir roles para el control " &amp; A73 &amp; CHAR(10) &amp; "• Revisar efectividad de " &amp; IFERROR(VLOOKUP(A73, 'ANEXO A'!$A$2:$L$94, 2, FALSE), "Este Control")</f>
        <v/>
      </c>
      <c r="K73" s="112" t="inlineStr">
        <is>
          <t>Asegurar el cumplimiento, control y resguardo continuo de los procesos de Copias de seguridad de la información a fin de mitigar riesgos y mantener la alineación a los principios de confidencialidad, integridad y disponibilidad aplicables a este dominio.</t>
        </is>
      </c>
      <c r="L73" s="112" t="inlineStr">
        <is>
          <t>La organización deberá implementar, registrar y monitorear operativamente todos los protocolos relacionados a Copias de seguridad de la información, estableciendo políticas técnicas correspondientes.</t>
        </is>
      </c>
    </row>
    <row r="74" ht="78.75" customHeight="1" s="106">
      <c r="A74" s="38">
        <f>'ANEXO A'!A74</f>
        <v/>
      </c>
      <c r="B74" s="38">
        <f>IFERROR(VLOOKUP(A74, 'ANEXO A'!$A$2:$L$94, 2, FALSE), "")</f>
        <v/>
      </c>
      <c r="C74" s="38">
        <f>IF(LEFT(A74,1)="5", "5. Organizacionales", IF(LEFT(A74,1)="6", "6. Personas", IF(LEFT(A74,1)="7", "7. Físicos", "8. Tecnológicos")))</f>
        <v/>
      </c>
      <c r="D74" s="38">
        <f>IFERROR(VLOOKUP(A74, 'ANEXO A'!$A$2:$L$94, 11, FALSE), "")</f>
        <v/>
      </c>
      <c r="E74" s="38">
        <f>IFERROR(VLOOKUP(A74, 'ANEXO A'!$A$2:$L$94, 8, FALSE), "")</f>
        <v/>
      </c>
      <c r="F74" s="38">
        <f>IFERROR(VLOOKUP(A74, 'ANEXO A'!$A$2:$L$94, 9, FALSE), "")</f>
        <v/>
      </c>
      <c r="G74" s="38">
        <f>IFERROR(VLOOKUP(A74, 'ANEXO A'!$A$2:$L$94, 10, FALSE), "")</f>
        <v/>
      </c>
      <c r="H74" s="38">
        <f>IFERROR(VLOOKUP(A74, 'ANEXO A'!$A$2:$L$94, 12, FALSE), "")</f>
        <v/>
      </c>
      <c r="I74" s="38" t="inlineStr">
        <is>
          <t>Anexo 1 SEPS (Arquitectura): Implementación de clúster de servidores, alta disponibilidad de BD y enlaces de comunicación alternos (SEPS-2022-002).</t>
        </is>
      </c>
      <c r="J74" s="112">
        <f>"• Establecer lineamientos para " &amp; IFERROR(VLOOKUP(A74, 'ANEXO A'!$A$2:$L$94, 2, FALSE), "Este Control") &amp; CHAR(10) &amp; "• Definir roles para el control " &amp; A74 &amp; CHAR(10) &amp; "• Revisar efectividad de " &amp; IFERROR(VLOOKUP(A74, 'ANEXO A'!$A$2:$L$94, 2, FALSE), "Este Control")</f>
        <v/>
      </c>
      <c r="K74" s="112"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L74" s="112" t="inlineStr">
        <is>
          <t>La organización deberá implementar, registrar y monitorear operativamente todos los protocolos relacionados a Redundancia de las instalaciones de procesamiento de información, estableciendo políticas técnicas correspondientes.</t>
        </is>
      </c>
    </row>
    <row r="75" ht="56.25" customHeight="1" s="106">
      <c r="A75" s="38">
        <f>'ANEXO A'!A75</f>
        <v/>
      </c>
      <c r="B75" s="38">
        <f>IFERROR(VLOOKUP(A75, 'ANEXO A'!$A$2:$L$94, 2, FALSE), "")</f>
        <v/>
      </c>
      <c r="C75" s="38">
        <f>IF(LEFT(A75,1)="5", "5. Organizacionales", IF(LEFT(A75,1)="6", "6. Personas", IF(LEFT(A75,1)="7", "7. Físicos", "8. Tecnológicos")))</f>
        <v/>
      </c>
      <c r="D75" s="38">
        <f>IFERROR(VLOOKUP(A75, 'ANEXO A'!$A$2:$L$94, 11, FALSE), "")</f>
        <v/>
      </c>
      <c r="E75" s="38">
        <f>IFERROR(VLOOKUP(A75, 'ANEXO A'!$A$2:$L$94, 8, FALSE), "")</f>
        <v/>
      </c>
      <c r="F75" s="38">
        <f>IFERROR(VLOOKUP(A75, 'ANEXO A'!$A$2:$L$94, 9, FALSE), "")</f>
        <v/>
      </c>
      <c r="G75" s="38">
        <f>IFERROR(VLOOKUP(A75, 'ANEXO A'!$A$2:$L$94, 10, FALSE), "")</f>
        <v/>
      </c>
      <c r="H75" s="38">
        <f>IFERROR(VLOOKUP(A75, 'ANEXO A'!$A$2:$L$94, 12, FALSE), "")</f>
        <v/>
      </c>
      <c r="I75" s="38" t="inlineStr">
        <is>
          <t>6.14. Administración de la auditoría de la base de datos - Registro y monitoreo de eventos (GSO-GSI-MP-GSI)</t>
        </is>
      </c>
      <c r="J75" s="112">
        <f>"• Establecer lineamientos para " &amp; IFERROR(VLOOKUP(A75, 'ANEXO A'!$A$2:$L$94, 2, FALSE), "Este Control") &amp; CHAR(10) &amp; "• Definir roles para el control " &amp; A75 &amp; CHAR(10) &amp; "• Revisar efectividad de " &amp; IFERROR(VLOOKUP(A75, 'ANEXO A'!$A$2:$L$94, 2, FALSE), "Este Control")</f>
        <v/>
      </c>
      <c r="K75" s="112" t="inlineStr">
        <is>
          <t>Asegurar el cumplimiento, control y resguardo continuo de los procesos de Registro de eventos (Logging) a fin de mitigar riesgos y mantener la alineación a los principios de confidencialidad, integridad y disponibilidad aplicables a este dominio.</t>
        </is>
      </c>
      <c r="L75" s="112" t="inlineStr">
        <is>
          <t>La organización deberá implementar, registrar y monitorear operativamente todos los protocolos relacionados a Registro de eventos (Logging), estableciendo políticas técnicas correspondientes.</t>
        </is>
      </c>
    </row>
    <row r="76" ht="67.5" customHeight="1" s="106">
      <c r="A76" s="38">
        <f>'ANEXO A'!A76</f>
        <v/>
      </c>
      <c r="B76" s="38">
        <f>IFERROR(VLOOKUP(A76, 'ANEXO A'!$A$2:$L$94, 2, FALSE), "")</f>
        <v/>
      </c>
      <c r="C76" s="38">
        <f>IF(LEFT(A76,1)="5", "5. Organizacionales", IF(LEFT(A76,1)="6", "6. Personas", IF(LEFT(A76,1)="7", "7. Físicos", "8. Tecnológicos")))</f>
        <v/>
      </c>
      <c r="D76" s="38">
        <f>IFERROR(VLOOKUP(A76, 'ANEXO A'!$A$2:$L$94, 11, FALSE), "")</f>
        <v/>
      </c>
      <c r="E76" s="38">
        <f>IFERROR(VLOOKUP(A76, 'ANEXO A'!$A$2:$L$94, 8, FALSE), "")</f>
        <v/>
      </c>
      <c r="F76" s="38">
        <f>IFERROR(VLOOKUP(A76, 'ANEXO A'!$A$2:$L$94, 9, FALSE), "")</f>
        <v/>
      </c>
      <c r="G76" s="38">
        <f>IFERROR(VLOOKUP(A76, 'ANEXO A'!$A$2:$L$94, 10, FALSE), "")</f>
        <v/>
      </c>
      <c r="H76" s="38">
        <f>IFERROR(VLOOKUP(A76, 'ANEXO A'!$A$2:$L$94, 12, FALSE), "")</f>
        <v/>
      </c>
      <c r="I76" s="38" t="inlineStr">
        <is>
          <t>6.14 Auditoría BD / 6.16 Monitoreo: Supervisión continua mediante scripts, logs de base de datos y herramientas de red (GSO-GSI-MP-GSI).</t>
        </is>
      </c>
      <c r="J76" s="112">
        <f>"• Establecer lineamientos para " &amp; IFERROR(VLOOKUP(A76, 'ANEXO A'!$A$2:$L$94, 2, FALSE), "Este Control") &amp; CHAR(10) &amp; "• Definir roles para el control " &amp; A76 &amp; CHAR(10) &amp; "• Revisar efectividad de " &amp; IFERROR(VLOOKUP(A76, 'ANEXO A'!$A$2:$L$94, 2, FALSE), "Este Control")</f>
        <v/>
      </c>
      <c r="K76" s="112" t="inlineStr">
        <is>
          <t>Asegurar el cumplimiento, control y resguardo continuo de los procesos de Actividades de seguimiento (Monitoring) a fin de mitigar riesgos y mantener la alineación a los principios de confidencialidad, integridad y disponibilidad aplicables a este dominio.</t>
        </is>
      </c>
      <c r="L76" s="112" t="inlineStr">
        <is>
          <t>La organización deberá implementar, registrar y monitorear operativamente todos los protocolos relacionados a Actividades de seguimiento (Monitoring), estableciendo políticas técnicas correspondientes.</t>
        </is>
      </c>
    </row>
    <row r="77" ht="56.25" customHeight="1" s="106">
      <c r="A77" s="38">
        <f>'ANEXO A'!A77</f>
        <v/>
      </c>
      <c r="B77" s="38">
        <f>IFERROR(VLOOKUP(A77, 'ANEXO A'!$A$2:$L$94, 2, FALSE), "")</f>
        <v/>
      </c>
      <c r="C77" s="38">
        <f>IF(LEFT(A77,1)="5", "5. Organizacionales", IF(LEFT(A77,1)="6", "6. Personas", IF(LEFT(A77,1)="7", "7. Físicos", "8. Tecnológicos")))</f>
        <v/>
      </c>
      <c r="D77" s="38">
        <f>IFERROR(VLOOKUP(A77, 'ANEXO A'!$A$2:$L$94, 11, FALSE), "")</f>
        <v/>
      </c>
      <c r="E77" s="38">
        <f>IFERROR(VLOOKUP(A77, 'ANEXO A'!$A$2:$L$94, 8, FALSE), "")</f>
        <v/>
      </c>
      <c r="F77" s="38">
        <f>IFERROR(VLOOKUP(A77, 'ANEXO A'!$A$2:$L$94, 9, FALSE), "")</f>
        <v/>
      </c>
      <c r="G77" s="38">
        <f>IFERROR(VLOOKUP(A77, 'ANEXO A'!$A$2:$L$94, 10, FALSE), "")</f>
        <v/>
      </c>
      <c r="H77" s="38">
        <f>IFERROR(VLOOKUP(A77, 'ANEXO A'!$A$2:$L$94, 12, FALSE), "")</f>
        <v/>
      </c>
      <c r="I77" s="38" t="inlineStr">
        <is>
          <t>Anexo 1 SEPS (Logs y Detección): Sincronización automática de todos los servidores y estaciones a fuentes horarias oficiales (NTP) (SEPS-2022-002 / ISO 27002).</t>
        </is>
      </c>
      <c r="J77" s="112">
        <f>"• Establecer lineamientos para " &amp; IFERROR(VLOOKUP(A77, 'ANEXO A'!$A$2:$L$94, 2, FALSE), "Este Control") &amp; CHAR(10) &amp; "• Definir roles para el control " &amp; A77 &amp; CHAR(10) &amp; "• Revisar efectividad de " &amp; IFERROR(VLOOKUP(A77, 'ANEXO A'!$A$2:$L$94, 2, FALSE), "Este Control")</f>
        <v/>
      </c>
      <c r="K77" s="112" t="inlineStr">
        <is>
          <t>Asegurar el cumplimiento, control y resguardo continuo de los procesos de Sincronización de relojes a fin de mitigar riesgos y mantener la alineación a los principios de confidencialidad, integridad y disponibilidad aplicables a este dominio.</t>
        </is>
      </c>
      <c r="L77" s="112" t="inlineStr">
        <is>
          <t>La organización deberá implementar, registrar y monitorear operativamente todos los protocolos relacionados a Sincronización de relojes, estableciendo políticas técnicas correspondientes.</t>
        </is>
      </c>
    </row>
    <row r="78" ht="67.5" customHeight="1" s="106">
      <c r="A78" s="38">
        <f>'ANEXO A'!A78</f>
        <v/>
      </c>
      <c r="B78" s="38">
        <f>IFERROR(VLOOKUP(A78, 'ANEXO A'!$A$2:$L$94, 2, FALSE), "")</f>
        <v/>
      </c>
      <c r="C78" s="38">
        <f>IF(LEFT(A78,1)="5", "5. Organizacionales", IF(LEFT(A78,1)="6", "6. Personas", IF(LEFT(A78,1)="7", "7. Físicos", "8. Tecnológicos")))</f>
        <v/>
      </c>
      <c r="D78" s="38">
        <f>IFERROR(VLOOKUP(A78, 'ANEXO A'!$A$2:$L$94, 11, FALSE), "")</f>
        <v/>
      </c>
      <c r="E78" s="38">
        <f>IFERROR(VLOOKUP(A78, 'ANEXO A'!$A$2:$L$94, 8, FALSE), "")</f>
        <v/>
      </c>
      <c r="F78" s="38">
        <f>IFERROR(VLOOKUP(A78, 'ANEXO A'!$A$2:$L$94, 9, FALSE), "")</f>
        <v/>
      </c>
      <c r="G78" s="38">
        <f>IFERROR(VLOOKUP(A78, 'ANEXO A'!$A$2:$L$94, 10, FALSE), "")</f>
        <v/>
      </c>
      <c r="H78" s="38">
        <f>IFERROR(VLOOKUP(A78, 'ANEXO A'!$A$2:$L$94, 12, FALSE), "")</f>
        <v/>
      </c>
      <c r="I78" s="38" t="inlineStr">
        <is>
          <t>6.11 Cuentas Críticas / 6.14 BD: Restricción estricta de ejecución de scripts DDL/DML directos y herramientas de bajo nivel (GSO-GSI-MP-GSI).</t>
        </is>
      </c>
      <c r="J78" s="112">
        <f>"• Establecer lineamientos para " &amp; IFERROR(VLOOKUP(A78, 'ANEXO A'!$A$2:$L$94, 2, FALSE), "Este Control") &amp; CHAR(10) &amp; "• Definir roles para el control " &amp; A78 &amp; CHAR(10) &amp; "• Revisar efectividad de " &amp; IFERROR(VLOOKUP(A78, 'ANEXO A'!$A$2:$L$94, 2, FALSE), "Este Control")</f>
        <v/>
      </c>
      <c r="K78" s="112"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L78" s="112" t="inlineStr">
        <is>
          <t>La organización deberá implementar, registrar y monitorear operativamente todos los protocolos relacionados a Uso de programas de utilidad privilegiados, estableciendo políticas técnicas correspondientes.</t>
        </is>
      </c>
    </row>
    <row r="79" ht="67.5" customHeight="1" s="106">
      <c r="A79" s="38">
        <f>'ANEXO A'!A79</f>
        <v/>
      </c>
      <c r="B79" s="38">
        <f>IFERROR(VLOOKUP(A79, 'ANEXO A'!$A$2:$L$94, 2, FALSE), "")</f>
        <v/>
      </c>
      <c r="C79" s="38">
        <f>IF(LEFT(A79,1)="5", "5. Organizacionales", IF(LEFT(A79,1)="6", "6. Personas", IF(LEFT(A79,1)="7", "7. Físicos", "8. Tecnológicos")))</f>
        <v/>
      </c>
      <c r="D79" s="38">
        <f>IFERROR(VLOOKUP(A79, 'ANEXO A'!$A$2:$L$94, 11, FALSE), "")</f>
        <v/>
      </c>
      <c r="E79" s="38">
        <f>IFERROR(VLOOKUP(A79, 'ANEXO A'!$A$2:$L$94, 8, FALSE), "")</f>
        <v/>
      </c>
      <c r="F79" s="38">
        <f>IFERROR(VLOOKUP(A79, 'ANEXO A'!$A$2:$L$94, 9, FALSE), "")</f>
        <v/>
      </c>
      <c r="G79" s="38">
        <f>IFERROR(VLOOKUP(A79, 'ANEXO A'!$A$2:$L$94, 10, FALSE), "")</f>
        <v/>
      </c>
      <c r="H79" s="38">
        <f>IFERROR(VLOOKUP(A79, 'ANEXO A'!$A$2:$L$94, 12, FALSE), "")</f>
        <v/>
      </c>
      <c r="I79" s="38" t="inlineStr">
        <is>
          <t>6.1 Políticas (Item 4) / GPO: Bloqueo de permisos de instalación a usuarios finales; software desplegado centralmente por TI (GSO-GSI-MP-GSI).</t>
        </is>
      </c>
      <c r="J79" s="112">
        <f>"• Establecer lineamientos para " &amp; IFERROR(VLOOKUP(A79, 'ANEXO A'!$A$2:$L$94, 2, FALSE), "Este Control") &amp; CHAR(10) &amp; "• Definir roles para el control " &amp; A79 &amp; CHAR(10) &amp; "• Revisar efectividad de " &amp; IFERROR(VLOOKUP(A79, 'ANEXO A'!$A$2:$L$94, 2, FALSE), "Este Control")</f>
        <v/>
      </c>
      <c r="K79" s="112"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L79" s="112" t="inlineStr">
        <is>
          <t>La organización deberá implementar, registrar y monitorear operativamente todos los protocolos relacionados a Instalación de software en sistemas operativos, estableciendo políticas técnicas correspondientes.</t>
        </is>
      </c>
    </row>
    <row r="80" ht="56.25" customHeight="1" s="106">
      <c r="A80" s="38">
        <f>'ANEXO A'!A80</f>
        <v/>
      </c>
      <c r="B80" s="38">
        <f>IFERROR(VLOOKUP(A80, 'ANEXO A'!$A$2:$L$94, 2, FALSE), "")</f>
        <v/>
      </c>
      <c r="C80" s="38">
        <f>IF(LEFT(A80,1)="5", "5. Organizacionales", IF(LEFT(A80,1)="6", "6. Personas", IF(LEFT(A80,1)="7", "7. Físicos", "8. Tecnológicos")))</f>
        <v/>
      </c>
      <c r="D80" s="38">
        <f>IFERROR(VLOOKUP(A80, 'ANEXO A'!$A$2:$L$94, 11, FALSE), "")</f>
        <v/>
      </c>
      <c r="E80" s="38">
        <f>IFERROR(VLOOKUP(A80, 'ANEXO A'!$A$2:$L$94, 8, FALSE), "")</f>
        <v/>
      </c>
      <c r="F80" s="38">
        <f>IFERROR(VLOOKUP(A80, 'ANEXO A'!$A$2:$L$94, 9, FALSE), "")</f>
        <v/>
      </c>
      <c r="G80" s="38">
        <f>IFERROR(VLOOKUP(A80, 'ANEXO A'!$A$2:$L$94, 10, FALSE), "")</f>
        <v/>
      </c>
      <c r="H80" s="38">
        <f>IFERROR(VLOOKUP(A80, 'ANEXO A'!$A$2:$L$94, 12, FALSE), "")</f>
        <v/>
      </c>
      <c r="I80" s="38" t="inlineStr">
        <is>
          <t>6.11 Firewalls / Enrutadores: Administración de firewalls de borde, políticas de enrutamiento y reglas de filtrado perimetral (GSO-GSI-MP-GSI).</t>
        </is>
      </c>
      <c r="J80" s="112">
        <f>"• Establecer lineamientos para " &amp; IFERROR(VLOOKUP(A80, 'ANEXO A'!$A$2:$L$94, 2, FALSE), "Este Control") &amp; CHAR(10) &amp; "• Definir roles para el control " &amp; A80 &amp; CHAR(10) &amp; "• Revisar efectividad de " &amp; IFERROR(VLOOKUP(A80, 'ANEXO A'!$A$2:$L$94, 2, FALSE), "Este Control")</f>
        <v/>
      </c>
      <c r="K80" s="112" t="inlineStr">
        <is>
          <t>Asegurar el cumplimiento, control y resguardo continuo de los procesos de Seguridad de las redes a fin de mitigar riesgos y mantener la alineación a los principios de confidencialidad, integridad y disponibilidad aplicables a este dominio.</t>
        </is>
      </c>
      <c r="L80" s="112" t="inlineStr">
        <is>
          <t>La organización deberá implementar, registrar y monitorear operativamente todos los protocolos relacionados a Seguridad de las redes, estableciendo políticas técnicas correspondientes.</t>
        </is>
      </c>
    </row>
    <row r="81" ht="56.25" customHeight="1" s="106">
      <c r="A81" s="38">
        <f>'ANEXO A'!A81</f>
        <v/>
      </c>
      <c r="B81" s="38">
        <f>IFERROR(VLOOKUP(A81, 'ANEXO A'!$A$2:$L$94, 2, FALSE), "")</f>
        <v/>
      </c>
      <c r="C81" s="38">
        <f>IF(LEFT(A81,1)="5", "5. Organizacionales", IF(LEFT(A81,1)="6", "6. Personas", IF(LEFT(A81,1)="7", "7. Físicos", "8. Tecnológicos")))</f>
        <v/>
      </c>
      <c r="D81" s="38">
        <f>IFERROR(VLOOKUP(A81, 'ANEXO A'!$A$2:$L$94, 11, FALSE), "")</f>
        <v/>
      </c>
      <c r="E81" s="38">
        <f>IFERROR(VLOOKUP(A81, 'ANEXO A'!$A$2:$L$94, 8, FALSE), "")</f>
        <v/>
      </c>
      <c r="F81" s="38">
        <f>IFERROR(VLOOKUP(A81, 'ANEXO A'!$A$2:$L$94, 9, FALSE), "")</f>
        <v/>
      </c>
      <c r="G81" s="38">
        <f>IFERROR(VLOOKUP(A81, 'ANEXO A'!$A$2:$L$94, 10, FALSE), "")</f>
        <v/>
      </c>
      <c r="H81" s="38">
        <f>IFERROR(VLOOKUP(A81, 'ANEXO A'!$A$2:$L$94, 12, FALSE), "")</f>
        <v/>
      </c>
      <c r="I81" s="38" t="inlineStr">
        <is>
          <t>6.11 FiltraWeb / AntiSpam: Gestión de seguridad y niveles de servicio en DNS, navegación y correo electrónico (GSO-GSI-MP-GSI).</t>
        </is>
      </c>
      <c r="J81" s="112">
        <f>"• Establecer lineamientos para " &amp; IFERROR(VLOOKUP(A81, 'ANEXO A'!$A$2:$L$94, 2, FALSE), "Este Control") &amp; CHAR(10) &amp; "• Definir roles para el control " &amp; A81 &amp; CHAR(10) &amp; "• Revisar efectividad de " &amp; IFERROR(VLOOKUP(A81, 'ANEXO A'!$A$2:$L$94, 2, FALSE), "Este Control")</f>
        <v/>
      </c>
      <c r="K81" s="112" t="inlineStr">
        <is>
          <t>Asegurar el cumplimiento, control y resguardo continuo de los procesos de Seguridad de los servicios de red a fin de mitigar riesgos y mantener la alineación a los principios de confidencialidad, integridad y disponibilidad aplicables a este dominio.</t>
        </is>
      </c>
      <c r="L81" s="112" t="inlineStr">
        <is>
          <t>La organización deberá implementar, registrar y monitorear operativamente todos los protocolos relacionados a Seguridad de los servicios de red, estableciendo políticas técnicas correspondientes.</t>
        </is>
      </c>
    </row>
    <row r="82" ht="56.25" customHeight="1" s="106">
      <c r="A82" s="38">
        <f>'ANEXO A'!A82</f>
        <v/>
      </c>
      <c r="B82" s="38">
        <f>IFERROR(VLOOKUP(A82, 'ANEXO A'!$A$2:$L$94, 2, FALSE), "")</f>
        <v/>
      </c>
      <c r="C82" s="38">
        <f>IF(LEFT(A82,1)="5", "5. Organizacionales", IF(LEFT(A82,1)="6", "6. Personas", IF(LEFT(A82,1)="7", "7. Físicos", "8. Tecnológicos")))</f>
        <v/>
      </c>
      <c r="D82" s="38">
        <f>IFERROR(VLOOKUP(A82, 'ANEXO A'!$A$2:$L$94, 11, FALSE), "")</f>
        <v/>
      </c>
      <c r="E82" s="38">
        <f>IFERROR(VLOOKUP(A82, 'ANEXO A'!$A$2:$L$94, 8, FALSE), "")</f>
        <v/>
      </c>
      <c r="F82" s="38">
        <f>IFERROR(VLOOKUP(A82, 'ANEXO A'!$A$2:$L$94, 9, FALSE), "")</f>
        <v/>
      </c>
      <c r="G82" s="38">
        <f>IFERROR(VLOOKUP(A82, 'ANEXO A'!$A$2:$L$94, 10, FALSE), "")</f>
        <v/>
      </c>
      <c r="H82" s="38">
        <f>IFERROR(VLOOKUP(A82, 'ANEXO A'!$A$2:$L$94, 12, FALSE), "")</f>
        <v/>
      </c>
      <c r="I82" s="38" t="inlineStr">
        <is>
          <t>6.17 Ambiente PCI / 6.18 Wireless: Aislamiento de VLANs operativas, red de ambiente de tarjetas (PCI) y red Wi-Fi de clientes (GSO-GSI-MP-GSI).</t>
        </is>
      </c>
      <c r="J82" s="112">
        <f>"• Establecer lineamientos para " &amp; IFERROR(VLOOKUP(A82, 'ANEXO A'!$A$2:$L$94, 2, FALSE), "Este Control") &amp; CHAR(10) &amp; "• Definir roles para el control " &amp; A82 &amp; CHAR(10) &amp; "• Revisar efectividad de " &amp; IFERROR(VLOOKUP(A82, 'ANEXO A'!$A$2:$L$94, 2, FALSE), "Este Control")</f>
        <v/>
      </c>
      <c r="K82" s="112" t="inlineStr">
        <is>
          <t>Asegurar el cumplimiento, control y resguardo continuo de los procesos de Segregación de redes a fin de mitigar riesgos y mantener la alineación a los principios de confidencialidad, integridad y disponibilidad aplicables a este dominio.</t>
        </is>
      </c>
      <c r="L82" s="112" t="inlineStr">
        <is>
          <t>La organización deberá implementar, registrar y monitorear operativamente todos los protocolos relacionados a Segregación de redes, estableciendo políticas técnicas correspondientes.</t>
        </is>
      </c>
    </row>
    <row r="83" ht="56.25" customHeight="1" s="106">
      <c r="A83" s="38">
        <f>'ANEXO A'!A83</f>
        <v/>
      </c>
      <c r="B83" s="38">
        <f>IFERROR(VLOOKUP(A83, 'ANEXO A'!$A$2:$L$94, 2, FALSE), "")</f>
        <v/>
      </c>
      <c r="C83" s="38">
        <f>IF(LEFT(A83,1)="5", "5. Organizacionales", IF(LEFT(A83,1)="6", "6. Personas", IF(LEFT(A83,1)="7", "7. Físicos", "8. Tecnológicos")))</f>
        <v/>
      </c>
      <c r="D83" s="38">
        <f>IFERROR(VLOOKUP(A83, 'ANEXO A'!$A$2:$L$94, 11, FALSE), "")</f>
        <v/>
      </c>
      <c r="E83" s="38">
        <f>IFERROR(VLOOKUP(A83, 'ANEXO A'!$A$2:$L$94, 8, FALSE), "")</f>
        <v/>
      </c>
      <c r="F83" s="38">
        <f>IFERROR(VLOOKUP(A83, 'ANEXO A'!$A$2:$L$94, 9, FALSE), "")</f>
        <v/>
      </c>
      <c r="G83" s="38">
        <f>IFERROR(VLOOKUP(A83, 'ANEXO A'!$A$2:$L$94, 10, FALSE), "")</f>
        <v/>
      </c>
      <c r="H83" s="38">
        <f>IFERROR(VLOOKUP(A83, 'ANEXO A'!$A$2:$L$94, 12, FALSE), "")</f>
        <v/>
      </c>
      <c r="I83" s="38" t="inlineStr">
        <is>
          <t>6.11 Cuentas Críticas (FiltraWeb): Bloqueo de sitios web maliciosos, redes no laborales y categorías de riesgo (GSO-GSI-MP-GSI).</t>
        </is>
      </c>
      <c r="J83" s="112">
        <f>"• Establecer lineamientos para " &amp; IFERROR(VLOOKUP(A83, 'ANEXO A'!$A$2:$L$94, 2, FALSE), "Este Control") &amp; CHAR(10) &amp; "• Definir roles para el control " &amp; A83 &amp; CHAR(10) &amp; "• Revisar efectividad de " &amp; IFERROR(VLOOKUP(A83, 'ANEXO A'!$A$2:$L$94, 2, FALSE), "Este Control")</f>
        <v/>
      </c>
      <c r="K83" s="112" t="inlineStr">
        <is>
          <t>Asegurar el cumplimiento, control y resguardo continuo de los procesos de Filtrado web a fin de mitigar riesgos y mantener la alineación a los principios de confidencialidad, integridad y disponibilidad aplicables a este dominio.</t>
        </is>
      </c>
      <c r="L83" s="112" t="inlineStr">
        <is>
          <t>La organización deberá implementar, registrar y monitorear operativamente todos los protocolos relacionados a Filtrado web, estableciendo políticas técnicas correspondientes.</t>
        </is>
      </c>
    </row>
    <row r="84" ht="56.25" customHeight="1" s="106">
      <c r="A84" s="38">
        <f>'ANEXO A'!A84</f>
        <v/>
      </c>
      <c r="B84" s="38">
        <f>IFERROR(VLOOKUP(A84, 'ANEXO A'!$A$2:$L$94, 2, FALSE), "")</f>
        <v/>
      </c>
      <c r="C84" s="38">
        <f>IF(LEFT(A84,1)="5", "5. Organizacionales", IF(LEFT(A84,1)="6", "6. Personas", IF(LEFT(A84,1)="7", "7. Físicos", "8. Tecnológicos")))</f>
        <v/>
      </c>
      <c r="D84" s="38">
        <f>IFERROR(VLOOKUP(A84, 'ANEXO A'!$A$2:$L$94, 11, FALSE), "")</f>
        <v/>
      </c>
      <c r="E84" s="38">
        <f>IFERROR(VLOOKUP(A84, 'ANEXO A'!$A$2:$L$94, 8, FALSE), "")</f>
        <v/>
      </c>
      <c r="F84" s="38">
        <f>IFERROR(VLOOKUP(A84, 'ANEXO A'!$A$2:$L$94, 9, FALSE), "")</f>
        <v/>
      </c>
      <c r="G84" s="38">
        <f>IFERROR(VLOOKUP(A84, 'ANEXO A'!$A$2:$L$94, 10, FALSE), "")</f>
        <v/>
      </c>
      <c r="H84" s="38">
        <f>IFERROR(VLOOKUP(A84, 'ANEXO A'!$A$2:$L$94, 12, FALSE), "")</f>
        <v/>
      </c>
      <c r="I84" s="38" t="inlineStr">
        <is>
          <t>6.12. Creación, ingreso y custodia de llaves criptográficas - Cifrado (GSO-GSI-MP-GSI)</t>
        </is>
      </c>
      <c r="J84" s="112">
        <f>"• Establecer lineamientos para " &amp; IFERROR(VLOOKUP(A84, 'ANEXO A'!$A$2:$L$94, 2, FALSE), "Este Control") &amp; CHAR(10) &amp; "• Definir roles para el control " &amp; A84 &amp; CHAR(10) &amp; "• Revisar efectividad de " &amp; IFERROR(VLOOKUP(A84, 'ANEXO A'!$A$2:$L$94, 2, FALSE), "Este Control")</f>
        <v/>
      </c>
      <c r="K84" s="112" t="inlineStr">
        <is>
          <t>Asegurar el cumplimiento, control y resguardo continuo de los procesos de Uso de criptografía a fin de mitigar riesgos y mantener la alineación a los principios de confidencialidad, integridad y disponibilidad aplicables a este dominio.</t>
        </is>
      </c>
      <c r="L84" s="112" t="inlineStr">
        <is>
          <t>La organización deberá implementar, registrar y monitorear operativamente todos los protocolos relacionados a Uso de criptografía, estableciendo políticas técnicas correspondientes.</t>
        </is>
      </c>
    </row>
    <row r="85" ht="56.25" customHeight="1" s="106">
      <c r="A85" s="38">
        <f>'ANEXO A'!A85</f>
        <v/>
      </c>
      <c r="B85" s="38">
        <f>IFERROR(VLOOKUP(A85, 'ANEXO A'!$A$2:$L$94, 2, FALSE), "")</f>
        <v/>
      </c>
      <c r="C85" s="38">
        <f>IF(LEFT(A85,1)="5", "5. Organizacionales", IF(LEFT(A85,1)="6", "6. Personas", IF(LEFT(A85,1)="7", "7. Físicos", "8. Tecnológicos")))</f>
        <v/>
      </c>
      <c r="D85" s="38">
        <f>IFERROR(VLOOKUP(A85, 'ANEXO A'!$A$2:$L$94, 11, FALSE), "")</f>
        <v/>
      </c>
      <c r="E85" s="38">
        <f>IFERROR(VLOOKUP(A85, 'ANEXO A'!$A$2:$L$94, 8, FALSE), "")</f>
        <v/>
      </c>
      <c r="F85" s="38">
        <f>IFERROR(VLOOKUP(A85, 'ANEXO A'!$A$2:$L$94, 9, FALSE), "")</f>
        <v/>
      </c>
      <c r="G85" s="38">
        <f>IFERROR(VLOOKUP(A85, 'ANEXO A'!$A$2:$L$94, 10, FALSE), "")</f>
        <v/>
      </c>
      <c r="H85" s="38">
        <f>IFERROR(VLOOKUP(A85, 'ANEXO A'!$A$2:$L$94, 12, FALSE), "")</f>
        <v/>
      </c>
      <c r="I85" s="38" t="inlineStr">
        <is>
          <t>6.11 Cuentas Críticas (FiltraWeb): Bloqueo de sitios web maliciosos, redes no laborales y categorías de riesgo (GSO-GSI-MP-GSI).</t>
        </is>
      </c>
      <c r="J85" s="112">
        <f>"• Establecer lineamientos para " &amp; IFERROR(VLOOKUP(A85, 'ANEXO A'!$A$2:$L$94, 2, FALSE), "Este Control") &amp; CHAR(10) &amp; "• Definir roles para el control " &amp; A85 &amp; CHAR(10) &amp; "• Revisar efectividad de " &amp; IFERROR(VLOOKUP(A85, 'ANEXO A'!$A$2:$L$94, 2, FALSE), "Este Control")</f>
        <v/>
      </c>
      <c r="K85" s="112" t="inlineStr">
        <is>
          <t>Asegurar el cumplimiento, control y resguardo continuo de los procesos de Ciclo de vida del desarrollo seguro a fin de mitigar riesgos y mantener la alineación a los principios de confidencialidad, integridad y disponibilidad aplicables a este dominio.</t>
        </is>
      </c>
      <c r="L85" s="112" t="inlineStr">
        <is>
          <t>La organización deberá implementar, registrar y monitorear operativamente todos los protocolos relacionados a Ciclo de vida del desarrollo seguro, estableciendo políticas técnicas correspondientes.</t>
        </is>
      </c>
    </row>
    <row r="86" ht="67.5" customHeight="1" s="106">
      <c r="A86" s="38">
        <f>'ANEXO A'!A86</f>
        <v/>
      </c>
      <c r="B86" s="38">
        <f>IFERROR(VLOOKUP(A86, 'ANEXO A'!$A$2:$L$94, 2, FALSE), "")</f>
        <v/>
      </c>
      <c r="C86" s="38">
        <f>IF(LEFT(A86,1)="5", "5. Organizacionales", IF(LEFT(A86,1)="6", "6. Personas", IF(LEFT(A86,1)="7", "7. Físicos", "8. Tecnológicos")))</f>
        <v/>
      </c>
      <c r="D86" s="38">
        <f>IFERROR(VLOOKUP(A86, 'ANEXO A'!$A$2:$L$94, 11, FALSE), "")</f>
        <v/>
      </c>
      <c r="E86" s="38">
        <f>IFERROR(VLOOKUP(A86, 'ANEXO A'!$A$2:$L$94, 8, FALSE), "")</f>
        <v/>
      </c>
      <c r="F86" s="38">
        <f>IFERROR(VLOOKUP(A86, 'ANEXO A'!$A$2:$L$94, 9, FALSE), "")</f>
        <v/>
      </c>
      <c r="G86" s="38">
        <f>IFERROR(VLOOKUP(A86, 'ANEXO A'!$A$2:$L$94, 10, FALSE), "")</f>
        <v/>
      </c>
      <c r="H86" s="38">
        <f>IFERROR(VLOOKUP(A86, 'ANEXO A'!$A$2:$L$94, 12, FALSE), "")</f>
        <v/>
      </c>
      <c r="I86" s="38" t="inlineStr">
        <is>
          <t>Anexo 1 SEPS 002 (Gestión de software): Definición de requisitos de autenticación, transaccionalidad y cifrado en nuevas soluciones (SEPS-2022-002).</t>
        </is>
      </c>
      <c r="J86" s="112">
        <f>"• Establecer lineamientos para " &amp; IFERROR(VLOOKUP(A86, 'ANEXO A'!$A$2:$L$94, 2, FALSE), "Este Control") &amp; CHAR(10) &amp; "• Definir roles para el control " &amp; A86 &amp; CHAR(10) &amp; "• Revisar efectividad de " &amp; IFERROR(VLOOKUP(A86, 'ANEXO A'!$A$2:$L$94, 2, FALSE), "Este Control")</f>
        <v/>
      </c>
      <c r="K86" s="112"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L86" s="112" t="inlineStr">
        <is>
          <t>La organización deberá implementar, registrar y monitorear operativamente todos los protocolos relacionados a Requisitos de seguridad de las aplicaciones, estableciendo políticas técnicas correspondientes.</t>
        </is>
      </c>
    </row>
    <row r="87" ht="78.75" customHeight="1" s="106">
      <c r="A87" s="38">
        <f>'ANEXO A'!A87</f>
        <v/>
      </c>
      <c r="B87" s="38">
        <f>IFERROR(VLOOKUP(A87, 'ANEXO A'!$A$2:$L$94, 2, FALSE), "")</f>
        <v/>
      </c>
      <c r="C87" s="38">
        <f>IF(LEFT(A87,1)="5", "5. Organizacionales", IF(LEFT(A87,1)="6", "6. Personas", IF(LEFT(A87,1)="7", "7. Físicos", "8. Tecnológicos")))</f>
        <v/>
      </c>
      <c r="D87" s="38">
        <f>IFERROR(VLOOKUP(A87, 'ANEXO A'!$A$2:$L$94, 11, FALSE), "")</f>
        <v/>
      </c>
      <c r="E87" s="38">
        <f>IFERROR(VLOOKUP(A87, 'ANEXO A'!$A$2:$L$94, 8, FALSE), "")</f>
        <v/>
      </c>
      <c r="F87" s="38">
        <f>IFERROR(VLOOKUP(A87, 'ANEXO A'!$A$2:$L$94, 9, FALSE), "")</f>
        <v/>
      </c>
      <c r="G87" s="38">
        <f>IFERROR(VLOOKUP(A87, 'ANEXO A'!$A$2:$L$94, 10, FALSE), "")</f>
        <v/>
      </c>
      <c r="H87" s="38">
        <f>IFERROR(VLOOKUP(A87, 'ANEXO A'!$A$2:$L$94, 12, FALSE), "")</f>
        <v/>
      </c>
      <c r="I87" s="38" t="inlineStr">
        <is>
          <t>Anexo 1 SEPS 002 (Arquitectura Segura): Aplicación de principios de defensa en profundidad, zonas desmilitarizadas y segmentación (SEPS-2022-002).</t>
        </is>
      </c>
      <c r="J87" s="112">
        <f>"• Establecer lineamientos para " &amp; IFERROR(VLOOKUP(A87, 'ANEXO A'!$A$2:$L$94, 2, FALSE), "Este Control") &amp; CHAR(10) &amp; "• Definir roles para el control " &amp; A87 &amp; CHAR(10) &amp; "• Revisar efectividad de " &amp; IFERROR(VLOOKUP(A87, 'ANEXO A'!$A$2:$L$94, 2, FALSE), "Este Control")</f>
        <v/>
      </c>
      <c r="K87" s="112"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L87" s="112" t="inlineStr">
        <is>
          <t>La organización deberá implementar, registrar y monitorear operativamente todos los protocolos relacionados a Arquitectura de sistemas seguros y principios de ingeniería, estableciendo políticas técnicas correspondientes.</t>
        </is>
      </c>
    </row>
    <row r="88" ht="56.25" customHeight="1" s="106">
      <c r="A88" s="38">
        <f>'ANEXO A'!A88</f>
        <v/>
      </c>
      <c r="B88" s="38">
        <f>IFERROR(VLOOKUP(A88, 'ANEXO A'!$A$2:$L$94, 2, FALSE), "")</f>
        <v/>
      </c>
      <c r="C88" s="38">
        <f>IF(LEFT(A88,1)="5", "5. Organizacionales", IF(LEFT(A88,1)="6", "6. Personas", IF(LEFT(A88,1)="7", "7. Físicos", "8. Tecnológicos")))</f>
        <v/>
      </c>
      <c r="D88" s="38">
        <f>IFERROR(VLOOKUP(A88, 'ANEXO A'!$A$2:$L$94, 11, FALSE), "")</f>
        <v/>
      </c>
      <c r="E88" s="38">
        <f>IFERROR(VLOOKUP(A88, 'ANEXO A'!$A$2:$L$94, 8, FALSE), "")</f>
        <v/>
      </c>
      <c r="F88" s="38">
        <f>IFERROR(VLOOKUP(A88, 'ANEXO A'!$A$2:$L$94, 9, FALSE), "")</f>
        <v/>
      </c>
      <c r="G88" s="38">
        <f>IFERROR(VLOOKUP(A88, 'ANEXO A'!$A$2:$L$94, 10, FALSE), "")</f>
        <v/>
      </c>
      <c r="H88" s="38">
        <f>IFERROR(VLOOKUP(A88, 'ANEXO A'!$A$2:$L$94, 12, FALSE), "")</f>
        <v/>
      </c>
      <c r="I88" s="38" t="inlineStr">
        <is>
          <t>Anexo 1 SEPS / OWASP: Implementación de buenas prácticas de programación para evitar inyecciones, XSS y fallos lógicos (SEPS-2022-002 / ISO 27002).</t>
        </is>
      </c>
      <c r="J88" s="112">
        <f>"• Establecer lineamientos para " &amp; IFERROR(VLOOKUP(A88, 'ANEXO A'!$A$2:$L$94, 2, FALSE), "Este Control") &amp; CHAR(10) &amp; "• Definir roles para el control " &amp; A88 &amp; CHAR(10) &amp; "• Revisar efectividad de " &amp; IFERROR(VLOOKUP(A88, 'ANEXO A'!$A$2:$L$94, 2, FALSE), "Este Control")</f>
        <v/>
      </c>
      <c r="K88" s="112" t="inlineStr">
        <is>
          <t>Asegurar el cumplimiento, control y resguardo continuo de los procesos de Codificación segura a fin de mitigar riesgos y mantener la alineación a los principios de confidencialidad, integridad y disponibilidad aplicables a este dominio.</t>
        </is>
      </c>
      <c r="L88" s="112" t="inlineStr">
        <is>
          <t>La organización deberá implementar, registrar y monitorear operativamente todos los protocolos relacionados a Codificación segura, estableciendo políticas técnicas correspondientes.</t>
        </is>
      </c>
    </row>
    <row r="89" ht="78.75" customHeight="1" s="106">
      <c r="A89" s="38">
        <f>'ANEXO A'!A89</f>
        <v/>
      </c>
      <c r="B89" s="38">
        <f>IFERROR(VLOOKUP(A89, 'ANEXO A'!$A$2:$L$94, 2, FALSE), "")</f>
        <v/>
      </c>
      <c r="C89" s="38">
        <f>IF(LEFT(A89,1)="5", "5. Organizacionales", IF(LEFT(A89,1)="6", "6. Personas", IF(LEFT(A89,1)="7", "7. Físicos", "8. Tecnológicos")))</f>
        <v/>
      </c>
      <c r="D89" s="38">
        <f>IFERROR(VLOOKUP(A89, 'ANEXO A'!$A$2:$L$94, 11, FALSE), "")</f>
        <v/>
      </c>
      <c r="E89" s="38">
        <f>IFERROR(VLOOKUP(A89, 'ANEXO A'!$A$2:$L$94, 8, FALSE), "")</f>
        <v/>
      </c>
      <c r="F89" s="38">
        <f>IFERROR(VLOOKUP(A89, 'ANEXO A'!$A$2:$L$94, 9, FALSE), "")</f>
        <v/>
      </c>
      <c r="G89" s="38">
        <f>IFERROR(VLOOKUP(A89, 'ANEXO A'!$A$2:$L$94, 10, FALSE), "")</f>
        <v/>
      </c>
      <c r="H89" s="38">
        <f>IFERROR(VLOOKUP(A89, 'ANEXO A'!$A$2:$L$94, 12, FALSE), "")</f>
        <v/>
      </c>
      <c r="I89" s="38" t="inlineStr">
        <is>
          <t>6.19 Escaneo / Anexo 1 SEPS: Ejecución de pruebas de vulnerabilidad, análisis estático y pruebas de aceptación previas a pase a producción (GSO-GSI-MP-GSI / SEPS-2022-002).</t>
        </is>
      </c>
      <c r="J89" s="112">
        <f>"• Establecer lineamientos para " &amp; IFERROR(VLOOKUP(A89, 'ANEXO A'!$A$2:$L$94, 2, FALSE), "Este Control") &amp; CHAR(10) &amp; "• Definir roles para el control " &amp; A89 &amp; CHAR(10) &amp; "• Revisar efectividad de " &amp; IFERROR(VLOOKUP(A89, 'ANEXO A'!$A$2:$L$94, 2, FALSE), "Este Control")</f>
        <v/>
      </c>
      <c r="K89" s="112"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L89" s="112" t="inlineStr">
        <is>
          <t>La organización deberá implementar, registrar y monitorear operativamente todos los protocolos relacionados a Pruebas de seguridad en el desarrollo y la aceptación, estableciendo políticas técnicas correspondientes.</t>
        </is>
      </c>
    </row>
    <row r="90" ht="56.25" customHeight="1" s="106">
      <c r="A90" s="38">
        <f>'ANEXO A'!A90</f>
        <v/>
      </c>
      <c r="B90" s="38">
        <f>IFERROR(VLOOKUP(A90, 'ANEXO A'!$A$2:$L$94, 2, FALSE), "")</f>
        <v/>
      </c>
      <c r="C90" s="38">
        <f>IF(LEFT(A90,1)="5", "5. Organizacionales", IF(LEFT(A90,1)="6", "6. Personas", IF(LEFT(A90,1)="7", "7. Físicos", "8. Tecnológicos")))</f>
        <v/>
      </c>
      <c r="D90" s="38">
        <f>IFERROR(VLOOKUP(A90, 'ANEXO A'!$A$2:$L$94, 11, FALSE), "")</f>
        <v/>
      </c>
      <c r="E90" s="38">
        <f>IFERROR(VLOOKUP(A90, 'ANEXO A'!$A$2:$L$94, 8, FALSE), "")</f>
        <v/>
      </c>
      <c r="F90" s="38">
        <f>IFERROR(VLOOKUP(A90, 'ANEXO A'!$A$2:$L$94, 9, FALSE), "")</f>
        <v/>
      </c>
      <c r="G90" s="38">
        <f>IFERROR(VLOOKUP(A90, 'ANEXO A'!$A$2:$L$94, 10, FALSE), "")</f>
        <v/>
      </c>
      <c r="H90" s="38">
        <f>IFERROR(VLOOKUP(A90, 'ANEXO A'!$A$2:$L$94, 12, FALSE), "")</f>
        <v/>
      </c>
      <c r="I90" s="38" t="inlineStr">
        <is>
          <t>Anexo 1 SEPS / Disposición 2da: Exigir entrega de código probado, escaneos de seguridad y cumplimiento normativo a fábricas de software (SEPS-2022-002).</t>
        </is>
      </c>
      <c r="J90" s="112">
        <f>"• Establecer lineamientos para " &amp; IFERROR(VLOOKUP(A90, 'ANEXO A'!$A$2:$L$94, 2, FALSE), "Este Control") &amp; CHAR(10) &amp; "• Definir roles para el control " &amp; A90 &amp; CHAR(10) &amp; "• Revisar efectividad de " &amp; IFERROR(VLOOKUP(A90, 'ANEXO A'!$A$2:$L$94, 2, FALSE), "Este Control")</f>
        <v/>
      </c>
      <c r="K90" s="112" t="inlineStr">
        <is>
          <t>Asegurar el cumplimiento, control y resguardo continuo de los procesos de Desarrollo externalizado a fin de mitigar riesgos y mantener la alineación a los principios de confidencialidad, integridad y disponibilidad aplicables a este dominio.</t>
        </is>
      </c>
      <c r="L90" s="112" t="inlineStr">
        <is>
          <t>La organización deberá implementar, registrar y monitorear operativamente todos los protocolos relacionados a Desarrollo externalizado, estableciendo políticas técnicas correspondientes.</t>
        </is>
      </c>
    </row>
    <row r="91" ht="78.75" customHeight="1" s="106">
      <c r="A91" s="38">
        <f>'ANEXO A'!A91</f>
        <v/>
      </c>
      <c r="B91" s="38">
        <f>IFERROR(VLOOKUP(A91, 'ANEXO A'!$A$2:$L$94, 2, FALSE), "")</f>
        <v/>
      </c>
      <c r="C91" s="38">
        <f>IF(LEFT(A91,1)="5", "5. Organizacionales", IF(LEFT(A91,1)="6", "6. Personas", IF(LEFT(A91,1)="7", "7. Físicos", "8. Tecnológicos")))</f>
        <v/>
      </c>
      <c r="D91" s="38">
        <f>IFERROR(VLOOKUP(A91, 'ANEXO A'!$A$2:$L$94, 11, FALSE), "")</f>
        <v/>
      </c>
      <c r="E91" s="38">
        <f>IFERROR(VLOOKUP(A91, 'ANEXO A'!$A$2:$L$94, 8, FALSE), "")</f>
        <v/>
      </c>
      <c r="F91" s="38">
        <f>IFERROR(VLOOKUP(A91, 'ANEXO A'!$A$2:$L$94, 9, FALSE), "")</f>
        <v/>
      </c>
      <c r="G91" s="38">
        <f>IFERROR(VLOOKUP(A91, 'ANEXO A'!$A$2:$L$94, 10, FALSE), "")</f>
        <v/>
      </c>
      <c r="H91" s="38">
        <f>IFERROR(VLOOKUP(A91, 'ANEXO A'!$A$2:$L$94, 12, FALSE), "")</f>
        <v/>
      </c>
      <c r="I91" s="38" t="inlineStr">
        <is>
          <t>Anexo 1 SEPS (Desarrollo y Pruebas): Aislamiento estricto de ambientes de desarrollo, pruebas y producción sin uso de datos reales (SEPS-2022-002).</t>
        </is>
      </c>
      <c r="J91" s="112">
        <f>"• Establecer lineamientos para " &amp; IFERROR(VLOOKUP(A91, 'ANEXO A'!$A$2:$L$94, 2, FALSE), "Este Control") &amp; CHAR(10) &amp; "• Definir roles para el control " &amp; A91 &amp; CHAR(10) &amp; "• Revisar efectividad de " &amp; IFERROR(VLOOKUP(A91, 'ANEXO A'!$A$2:$L$94, 2, FALSE), "Este Control")</f>
        <v/>
      </c>
      <c r="K91" s="112"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L91" s="112" t="inlineStr">
        <is>
          <t>La organización deberá implementar, registrar y monitorear operativamente todos los protocolos relacionados a Separación de entornos de desarrollo, pruebas y producción, estableciendo políticas técnicas correspondientes.</t>
        </is>
      </c>
    </row>
    <row r="92" ht="56.25" customHeight="1" s="106">
      <c r="A92" s="38">
        <f>'ANEXO A'!A92</f>
        <v/>
      </c>
      <c r="B92" s="38">
        <f>IFERROR(VLOOKUP(A92, 'ANEXO A'!$A$2:$L$94, 2, FALSE), "")</f>
        <v/>
      </c>
      <c r="C92" s="38">
        <f>IF(LEFT(A92,1)="5", "5. Organizacionales", IF(LEFT(A92,1)="6", "6. Personas", IF(LEFT(A92,1)="7", "7. Físicos", "8. Tecnológicos")))</f>
        <v/>
      </c>
      <c r="D92" s="38">
        <f>IFERROR(VLOOKUP(A92, 'ANEXO A'!$A$2:$L$94, 11, FALSE), "")</f>
        <v/>
      </c>
      <c r="E92" s="38">
        <f>IFERROR(VLOOKUP(A92, 'ANEXO A'!$A$2:$L$94, 8, FALSE), "")</f>
        <v/>
      </c>
      <c r="F92" s="38">
        <f>IFERROR(VLOOKUP(A92, 'ANEXO A'!$A$2:$L$94, 9, FALSE), "")</f>
        <v/>
      </c>
      <c r="G92" s="38">
        <f>IFERROR(VLOOKUP(A92, 'ANEXO A'!$A$2:$L$94, 10, FALSE), "")</f>
        <v/>
      </c>
      <c r="H92" s="38">
        <f>IFERROR(VLOOKUP(A92, 'ANEXO A'!$A$2:$L$94, 12, FALSE), "")</f>
        <v/>
      </c>
      <c r="I92" s="38" t="inlineStr">
        <is>
          <t>Anexo 1 SEPS (Gestión de Cambios): Procedimiento formal de solicitud, evaluación de impacto de seguridad, aprobación y rollback de cambios (SEPS-2022-002).</t>
        </is>
      </c>
      <c r="J92" s="112">
        <f>"• Establecer lineamientos para " &amp; IFERROR(VLOOKUP(A92, 'ANEXO A'!$A$2:$L$94, 2, FALSE), "Este Control") &amp; CHAR(10) &amp; "• Definir roles para el control " &amp; A92 &amp; CHAR(10) &amp; "• Revisar efectividad de " &amp; IFERROR(VLOOKUP(A92, 'ANEXO A'!$A$2:$L$94, 2, FALSE), "Este Control")</f>
        <v/>
      </c>
      <c r="K92" s="112" t="inlineStr">
        <is>
          <t>Asegurar el cumplimiento, control y resguardo continuo de los procesos de Gestión de cambios a fin de mitigar riesgos y mantener la alineación a los principios de confidencialidad, integridad y disponibilidad aplicables a este dominio.</t>
        </is>
      </c>
      <c r="L92" s="112" t="inlineStr">
        <is>
          <t>La organización deberá implementar, registrar y monitorear operativamente todos los protocolos relacionados a Gestión de cambios, estableciendo políticas técnicas correspondientes.</t>
        </is>
      </c>
    </row>
    <row r="93" ht="56.25" customHeight="1" s="106">
      <c r="A93" s="38">
        <f>'ANEXO A'!A93</f>
        <v/>
      </c>
      <c r="B93" s="38">
        <f>IFERROR(VLOOKUP(A93, 'ANEXO A'!$A$2:$L$94, 2, FALSE), "")</f>
        <v/>
      </c>
      <c r="C93" s="38">
        <f>IF(LEFT(A93,1)="5", "5. Organizacionales", IF(LEFT(A93,1)="6", "6. Personas", IF(LEFT(A93,1)="7", "7. Físicos", "8. Tecnológicos")))</f>
        <v/>
      </c>
      <c r="D93" s="38">
        <f>IFERROR(VLOOKUP(A93, 'ANEXO A'!$A$2:$L$94, 11, FALSE), "")</f>
        <v/>
      </c>
      <c r="E93" s="38">
        <f>IFERROR(VLOOKUP(A93, 'ANEXO A'!$A$2:$L$94, 8, FALSE), "")</f>
        <v/>
      </c>
      <c r="F93" s="38">
        <f>IFERROR(VLOOKUP(A93, 'ANEXO A'!$A$2:$L$94, 9, FALSE), "")</f>
        <v/>
      </c>
      <c r="G93" s="38">
        <f>IFERROR(VLOOKUP(A93, 'ANEXO A'!$A$2:$L$94, 10, FALSE), "")</f>
        <v/>
      </c>
      <c r="H93" s="38">
        <f>IFERROR(VLOOKUP(A93, 'ANEXO A'!$A$2:$L$94, 12, FALSE), "")</f>
        <v/>
      </c>
      <c r="I93" s="38" t="inlineStr">
        <is>
          <t>6.17 PCI DSS / Anexo 1 SEPS: Uso de datos ficticios, anonimizados u ofuscados para las pruebas de aplicaciones (GSO-GSI-MP-GSI / SEPS-2022-002).</t>
        </is>
      </c>
      <c r="J93" s="112">
        <f>"• Establecer lineamientos para " &amp; IFERROR(VLOOKUP(A93, 'ANEXO A'!$A$2:$L$94, 2, FALSE), "Este Control") &amp; CHAR(10) &amp; "• Definir roles para el control " &amp; A93 &amp; CHAR(10) &amp; "• Revisar efectividad de " &amp; IFERROR(VLOOKUP(A93, 'ANEXO A'!$A$2:$L$94, 2, FALSE), "Este Control")</f>
        <v/>
      </c>
      <c r="K93" s="112" t="inlineStr">
        <is>
          <t>Asegurar el cumplimiento, control y resguardo continuo de los procesos de Información de prueba a fin de mitigar riesgos y mantener la alineación a los principios de confidencialidad, integridad y disponibilidad aplicables a este dominio.</t>
        </is>
      </c>
      <c r="L93" s="112" t="inlineStr">
        <is>
          <t>La organización deberá implementar, registrar y monitorear operativamente todos los protocolos relacionados a Información de prueba, estableciendo políticas técnicas correspondientes.</t>
        </is>
      </c>
    </row>
    <row r="94" ht="90" customHeight="1" s="106">
      <c r="A94" s="38">
        <f>'ANEXO A'!A94</f>
        <v/>
      </c>
      <c r="B94" s="38">
        <f>IFERROR(VLOOKUP(A94, 'ANEXO A'!$A$2:$L$94, 2, FALSE), "")</f>
        <v/>
      </c>
      <c r="C94" s="38">
        <f>IF(LEFT(A94,1)="5", "5. Organizacionales", IF(LEFT(A94,1)="6", "6. Personas", IF(LEFT(A94,1)="7", "7. Físicos", "8. Tecnológicos")))</f>
        <v/>
      </c>
      <c r="D94" s="38">
        <f>IFERROR(VLOOKUP(A94, 'ANEXO A'!$A$2:$L$94, 11, FALSE), "")</f>
        <v/>
      </c>
      <c r="E94" s="38">
        <f>IFERROR(VLOOKUP(A94, 'ANEXO A'!$A$2:$L$94, 8, FALSE), "")</f>
        <v/>
      </c>
      <c r="F94" s="38">
        <f>IFERROR(VLOOKUP(A94, 'ANEXO A'!$A$2:$L$94, 9, FALSE), "")</f>
        <v/>
      </c>
      <c r="G94" s="38">
        <f>IFERROR(VLOOKUP(A94, 'ANEXO A'!$A$2:$L$94, 10, FALSE), "")</f>
        <v/>
      </c>
      <c r="H94" s="38">
        <f>IFERROR(VLOOKUP(A94, 'ANEXO A'!$A$2:$L$94, 12, FALSE), "")</f>
        <v/>
      </c>
      <c r="I94" s="38" t="inlineStr">
        <is>
          <t>6.19 Escaneo (Pol. 1): Realización de pruebas intrusivas y de auditoría en horarios no laborables y con autorización previa (GSO-GSI-MP-GSI).</t>
        </is>
      </c>
      <c r="J94" s="112">
        <f>"• Establecer lineamientos para " &amp; IFERROR(VLOOKUP(A94, 'ANEXO A'!$A$2:$L$94, 2, FALSE), "Este Control") &amp; CHAR(10) &amp; "• Definir roles para el control " &amp; A94 &amp; CHAR(10) &amp; "• Revisar efectividad de " &amp; IFERROR(VLOOKUP(A94, 'ANEXO A'!$A$2:$L$94, 2, FALSE), "Este Control")</f>
        <v/>
      </c>
      <c r="K94" s="112"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L94" s="112" t="inlineStr">
        <is>
          <t>La organización deberá implementar, registrar y monitorear operativamente todos los protocolos relacionados a Protección de los sistemas de información durante las pruebas de auditoría, estableciendo políticas técnicas correspondientes.</t>
        </is>
      </c>
    </row>
  </sheetData>
  <autoFilter ref="A1:L94"/>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F23"/>
  <sheetViews>
    <sheetView workbookViewId="0">
      <selection activeCell="E6" sqref="E6"/>
    </sheetView>
  </sheetViews>
  <sheetFormatPr baseColWidth="10" defaultColWidth="9.33203125" defaultRowHeight="11.25"/>
  <cols>
    <col width="23.83203125" customWidth="1" style="106" min="2" max="2"/>
    <col width="16.33203125" customWidth="1" style="106" min="3" max="3"/>
    <col width="26.33203125" customWidth="1" style="106" min="5" max="5"/>
  </cols>
  <sheetData>
    <row r="2" ht="18" customHeight="1" s="106">
      <c r="B2" s="96" t="inlineStr">
        <is>
          <t>RESUMEN EJECUTIVO DEL INVENTARIO DE ACTIVOS</t>
        </is>
      </c>
    </row>
    <row r="4" ht="45" customHeight="1" s="106">
      <c r="B4" s="95" t="inlineStr">
        <is>
          <t>Distribución por Criticidad</t>
        </is>
      </c>
      <c r="C4" s="95" t="inlineStr">
        <is>
          <t>Cantidad</t>
        </is>
      </c>
      <c r="E4" s="95" t="inlineStr">
        <is>
          <t>Distribución por Tipo de Activo</t>
        </is>
      </c>
      <c r="F4" s="95" t="inlineStr">
        <is>
          <t>Cantidad</t>
        </is>
      </c>
    </row>
    <row r="5" ht="22.5" customHeight="1" s="106">
      <c r="B5" s="38" t="inlineStr">
        <is>
          <t>ALTA</t>
        </is>
      </c>
      <c r="C5" s="38">
        <f>COUNTIF(INVENTARIO!$T$3:$T$2000, "*ALTA*")</f>
        <v/>
      </c>
      <c r="E5" s="38" t="inlineStr">
        <is>
          <t>PRIMARIOS</t>
        </is>
      </c>
      <c r="F5" s="38">
        <f>COUNTIF(INVENTARIO!$N$3:$N$2000, "PRIMARIOS")</f>
        <v/>
      </c>
    </row>
    <row r="6">
      <c r="B6" s="38" t="inlineStr">
        <is>
          <t>MEDIA</t>
        </is>
      </c>
      <c r="C6" s="38">
        <f>COUNTIF(INVENTARIO!$T$3:$T$2000, "*MEDIA*")</f>
        <v/>
      </c>
      <c r="E6" s="38" t="inlineStr">
        <is>
          <t>APOYO</t>
        </is>
      </c>
      <c r="F6" s="38">
        <f>COUNTIF(INVENTARIO!$N$3:$N$2000, "APOYO")</f>
        <v/>
      </c>
    </row>
    <row r="7">
      <c r="B7" s="38" t="inlineStr">
        <is>
          <t>BAJA</t>
        </is>
      </c>
      <c r="C7" s="38">
        <f>COUNTIF(INVENTARIO!$T$3:$T$2000, "*BAJA*")</f>
        <v/>
      </c>
    </row>
    <row r="8">
      <c r="B8" s="38" t="inlineStr">
        <is>
          <t>CRÍTICO</t>
        </is>
      </c>
      <c r="C8" s="38">
        <f>COUNTIF(INVENTARIO!$T$3:$T$2000, "*CRÍTICO*")</f>
        <v/>
      </c>
    </row>
    <row r="10" ht="22.5" customHeight="1" s="106">
      <c r="B10" s="95" t="inlineStr">
        <is>
          <t>Distribución por Categoría</t>
        </is>
      </c>
      <c r="C10" s="95" t="inlineStr">
        <is>
          <t>Cantidad</t>
        </is>
      </c>
      <c r="E10" s="109" t="inlineStr">
        <is>
          <t>Distribución por Acceso</t>
        </is>
      </c>
      <c r="F10" s="109" t="inlineStr">
        <is>
          <t>Cantidad</t>
        </is>
      </c>
    </row>
    <row r="11">
      <c r="B11" s="38" t="inlineStr">
        <is>
          <t>COMUNICACIÓN INTERNA</t>
        </is>
      </c>
      <c r="C11" s="38">
        <f>COUNTIF(INVENTARIO!$O$3:$O$2000, "COMUNICACIÓN INTERNA")</f>
        <v/>
      </c>
      <c r="E11" s="114" t="inlineStr">
        <is>
          <t>Con Acceso Externo (SI)</t>
        </is>
      </c>
      <c r="F11" s="114">
        <f>COUNTIF(INVENTARIO!$U$3:$U$2000, "SI")</f>
        <v/>
      </c>
    </row>
    <row r="12" ht="22.5" customHeight="1" s="106">
      <c r="B12" s="38" t="inlineStr">
        <is>
          <t>CONVENIOS Y CONTRATOS</t>
        </is>
      </c>
      <c r="C12" s="38">
        <f>COUNTIF(INVENTARIO!$O$3:$O$2000, "CONVENIOS Y CONTRATOS")</f>
        <v/>
      </c>
      <c r="E12" s="114" t="inlineStr">
        <is>
          <t>Acceso Interno (NO)</t>
        </is>
      </c>
      <c r="F12" s="114">
        <f>COUNTIF(INVENTARIO!$U$3:$U$2000, "NO")</f>
        <v/>
      </c>
    </row>
    <row r="13" ht="22.5" customHeight="1" s="106">
      <c r="B13" s="38" t="inlineStr">
        <is>
          <t>DOCUMENTOS HABILITANTES</t>
        </is>
      </c>
      <c r="C13" s="38">
        <f>COUNTIF(INVENTARIO!$O$3:$O$2000, "DOCUMENTOS HABILITANTES")</f>
        <v/>
      </c>
      <c r="E13" s="114" t="inlineStr">
        <is>
          <t>No Aplica (-)</t>
        </is>
      </c>
      <c r="F13" s="114">
        <f>COUNTIF(INVENTARIO!$U$3:$U$2000, "-")</f>
        <v/>
      </c>
    </row>
    <row r="14" ht="45" customHeight="1" s="106">
      <c r="B14" s="38" t="inlineStr">
        <is>
          <t>DOCUMENTOS TÉCNICOS</t>
        </is>
      </c>
      <c r="C14" s="38">
        <f>COUNTIF(INVENTARIO!$O$3:$O$2000, "DOCUMENTOS TÉCNICOS")</f>
        <v/>
      </c>
    </row>
    <row r="15" ht="22.5" customHeight="1" s="106">
      <c r="B15" s="38" t="inlineStr">
        <is>
          <t>HARDWARE</t>
        </is>
      </c>
      <c r="C15" s="38">
        <f>COUNTIF(INVENTARIO!$O$3:$O$2000, "HARDWARE")</f>
        <v/>
      </c>
    </row>
    <row r="16" ht="56.25" customHeight="1" s="106">
      <c r="B16" s="38" t="inlineStr">
        <is>
          <t>INFORMACIÓN DE SOCIOS Y CLIENTES</t>
        </is>
      </c>
      <c r="C16" s="38">
        <f>COUNTIF(INVENTARIO!$O$3:$O$2000, "INFORMACIÓN DE SOCIOS Y CLIENTES")</f>
        <v/>
      </c>
    </row>
    <row r="17" ht="45" customHeight="1" s="106">
      <c r="B17" s="38" t="inlineStr">
        <is>
          <t>INFORMACIÓN DE TERCEROS</t>
        </is>
      </c>
      <c r="C17" s="38">
        <f>COUNTIF(INVENTARIO!$O$3:$O$2000, "INFORMACIÓN DE TERCEROS")</f>
        <v/>
      </c>
    </row>
    <row r="18" ht="33.75" customHeight="1" s="106">
      <c r="B18" s="38" t="inlineStr">
        <is>
          <t>NORMATIVA INTERNA</t>
        </is>
      </c>
      <c r="C18" s="38">
        <f>COUNTIF(INVENTARIO!$O$3:$O$2000, "NORMATIVA INTERNA")</f>
        <v/>
      </c>
    </row>
    <row r="19">
      <c r="B19" s="38" t="inlineStr">
        <is>
          <t>OTROS</t>
        </is>
      </c>
      <c r="C19" s="38">
        <f>COUNTIF(INVENTARIO!$O$3:$O$2000, "OTROS")</f>
        <v/>
      </c>
    </row>
    <row r="20" ht="22.5" customHeight="1" s="106">
      <c r="B20" s="38" t="inlineStr">
        <is>
          <t>RECURSO HUMANO</t>
        </is>
      </c>
      <c r="C20" s="38">
        <f>COUNTIF(INVENTARIO!$O$3:$O$2000, "RECURSO HUMANO")</f>
        <v/>
      </c>
    </row>
    <row r="21">
      <c r="B21" s="38" t="inlineStr">
        <is>
          <t>REDES</t>
        </is>
      </c>
      <c r="C21" s="38">
        <f>COUNTIF(INVENTARIO!$O$3:$O$2000, "REDES")</f>
        <v/>
      </c>
    </row>
    <row r="22" ht="22.5" customHeight="1" s="106">
      <c r="B22" s="38" t="inlineStr">
        <is>
          <t>SERVICIOS</t>
        </is>
      </c>
      <c r="C22" s="38">
        <f>COUNTIF(INVENTARIO!$O$3:$O$2000, "SERVICIOS")</f>
        <v/>
      </c>
    </row>
    <row r="23" ht="22.5" customHeight="1" s="106">
      <c r="B23" s="38" t="inlineStr">
        <is>
          <t>SOFTWARE</t>
        </is>
      </c>
      <c r="C23" s="38">
        <f>COUNTIF(INVENTARIO!$O$3:$O$2000, "SOFTWARE")</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Q1406"/>
  <sheetViews>
    <sheetView workbookViewId="0">
      <selection activeCell="A1" sqref="A1"/>
    </sheetView>
  </sheetViews>
  <sheetFormatPr baseColWidth="8" defaultRowHeight="15"/>
  <sheetData>
    <row r="1">
      <c r="A1" s="115" t="inlineStr">
        <is>
          <t>ID</t>
        </is>
      </c>
      <c r="B1" s="115" t="inlineStr">
        <is>
          <t>Proceso</t>
        </is>
      </c>
      <c r="C1" s="115" t="inlineStr">
        <is>
          <t>Subproceso</t>
        </is>
      </c>
      <c r="D1" s="115" t="inlineStr">
        <is>
          <t>Nombre</t>
        </is>
      </c>
      <c r="E1" s="115" t="inlineStr">
        <is>
          <t>Descripción</t>
        </is>
      </c>
      <c r="F1" s="115" t="inlineStr">
        <is>
          <t>Tipo de Activo</t>
        </is>
      </c>
      <c r="G1" s="115" t="inlineStr">
        <is>
          <t>Confidencialidad</t>
        </is>
      </c>
      <c r="H1" s="115" t="inlineStr">
        <is>
          <t>Integridad</t>
        </is>
      </c>
      <c r="I1" s="115" t="inlineStr">
        <is>
          <t>Disponibilidad</t>
        </is>
      </c>
      <c r="J1" s="115" t="inlineStr">
        <is>
          <t>Valoración</t>
        </is>
      </c>
      <c r="K1" s="115" t="inlineStr">
        <is>
          <t>Criticidad</t>
        </is>
      </c>
      <c r="L1" s="115" t="inlineStr">
        <is>
          <t>Estado de Implementación</t>
        </is>
      </c>
      <c r="M1" s="115" t="inlineStr">
        <is>
          <t>Tipo de Protección</t>
        </is>
      </c>
      <c r="N1" s="115" t="inlineStr">
        <is>
          <t>Nivel de Madurez / Efectividad</t>
        </is>
      </c>
      <c r="O1" s="115" t="inlineStr">
        <is>
          <t>Riesgos / Amenazas que Mitiga</t>
        </is>
      </c>
      <c r="P1" s="115" t="inlineStr">
        <is>
          <t>Evidencia / Documentación Asociada</t>
        </is>
      </c>
      <c r="Q1" s="115" t="inlineStr">
        <is>
          <t>Evaluación de Cumplimiento</t>
        </is>
      </c>
    </row>
    <row r="2">
      <c r="A2">
        <f>IF(INVENTARIO!A2="","",INVENTARIO!A2)</f>
        <v/>
      </c>
      <c r="B2">
        <f>IF(INVENTARIO!E2="","",INVENTARIO!E2)</f>
        <v/>
      </c>
      <c r="C2">
        <f>IF(INVENTARIO!F2="","",INVENTARIO!F2)</f>
        <v/>
      </c>
      <c r="D2">
        <f>IF(INVENTARIO!H2="","",INVENTARIO!H2)</f>
        <v/>
      </c>
      <c r="E2">
        <f>IF(INVENTARIO!I2="","",INVENTARIO!I2)</f>
        <v/>
      </c>
      <c r="F2">
        <f>IF(INVENTARIO!N2="","",INVENTARIO!N2)</f>
        <v/>
      </c>
      <c r="G2">
        <f>IF(INVENTARIO!P2="","",INVENTARIO!P2)</f>
        <v/>
      </c>
      <c r="H2">
        <f>IF(INVENTARIO!Q2="","",INVENTARIO!Q2)</f>
        <v/>
      </c>
      <c r="I2">
        <f>IF(INVENTARIO!R2="","",INVENTARIO!R2)</f>
        <v/>
      </c>
      <c r="J2">
        <f>IF(G2="PUBLICA(1)",1,IF(G2="USO INTERNO(2)",2,IF(G2="RESTRINGIDO(3)",3,0)))+IF(H2="BAJA(1)",1,IF(H2="MEDIA(2)",2,IF(H2="ALTA(3)",3,0)))+IF(I2="BAJA(1)",1,IF(I2="MEDIA(2)",2,IF(I2="ALTA(3)",3,0)))</f>
        <v/>
      </c>
      <c r="K2">
        <f>IF(J2="", "", IF(J2&gt;=8,"ALTA",IF(J2&gt;=6,"MEDIA","BAJA")))</f>
        <v/>
      </c>
      <c r="L2">
        <f>IF(INVENTARIO!Y2="","",INVENTARIO!Y2)</f>
        <v/>
      </c>
      <c r="M2">
        <f>IF(INVENTARIO!Z2="","",INVENTARIO!Z2)</f>
        <v/>
      </c>
      <c r="N2">
        <f>IF(INVENTARIO!AA2="","",INVENTARIO!AA2)</f>
        <v/>
      </c>
      <c r="O2">
        <f>IF(INVENTARIO!AB2="","",INVENTARIO!AB2)</f>
        <v/>
      </c>
      <c r="P2">
        <f>IF(INVENTARIO!AC2="","",INVENTARIO!AC2)</f>
        <v/>
      </c>
      <c r="Q2">
        <f>IF(AND(K2="",N2="",L2=""),"",IF(AND((K2="ALTA"),OR(LEFT(N2,2)="L0",LEFT(N2,2)="L1",L2="No Iniciado")),"CRÍTICO - Incumplimiento Normativo SEPS",IF(AND(OR(LEFT(N2,2)="L4",LEFT(N2,2)="L5"),AND(P2&lt;&gt;"",P2&lt;&gt;"N/A")),"CONFORME - Control Efectivo ISO 27001","OBSERVACIÓN - Revisar Controles")))</f>
        <v/>
      </c>
    </row>
    <row r="3">
      <c r="A3">
        <f>IF(INVENTARIO!A3="","",INVENTARIO!A3)</f>
        <v/>
      </c>
      <c r="B3">
        <f>IF(INVENTARIO!E3="","",INVENTARIO!E3)</f>
        <v/>
      </c>
      <c r="C3">
        <f>IF(INVENTARIO!F3="","",INVENTARIO!F3)</f>
        <v/>
      </c>
      <c r="D3">
        <f>IF(INVENTARIO!H3="","",INVENTARIO!H3)</f>
        <v/>
      </c>
      <c r="E3">
        <f>IF(INVENTARIO!I3="","",INVENTARIO!I3)</f>
        <v/>
      </c>
      <c r="F3">
        <f>IF(INVENTARIO!N3="","",INVENTARIO!N3)</f>
        <v/>
      </c>
      <c r="G3">
        <f>IF(INVENTARIO!P3="","",INVENTARIO!P3)</f>
        <v/>
      </c>
      <c r="H3">
        <f>IF(INVENTARIO!Q3="","",INVENTARIO!Q3)</f>
        <v/>
      </c>
      <c r="I3">
        <f>IF(INVENTARIO!R3="","",INVENTARIO!R3)</f>
        <v/>
      </c>
      <c r="J3">
        <f>IF(G3="PUBLICA(1)",1,IF(G3="USO INTERNO(2)",2,IF(G3="RESTRINGIDO(3)",3,0)))+IF(H3="BAJA(1)",1,IF(H3="MEDIA(2)",2,IF(H3="ALTA(3)",3,0)))+IF(I3="BAJA(1)",1,IF(I3="MEDIA(2)",2,IF(I3="ALTA(3)",3,0)))</f>
        <v/>
      </c>
      <c r="K3">
        <f>IF(J3="", "", IF(J3&gt;=8,"ALTA",IF(J3&gt;=6,"MEDIA","BAJA")))</f>
        <v/>
      </c>
      <c r="L3">
        <f>IF(INVENTARIO!Y3="","",INVENTARIO!Y3)</f>
        <v/>
      </c>
      <c r="M3">
        <f>IF(INVENTARIO!Z3="","",INVENTARIO!Z3)</f>
        <v/>
      </c>
      <c r="N3">
        <f>IF(INVENTARIO!AA3="","",INVENTARIO!AA3)</f>
        <v/>
      </c>
      <c r="O3">
        <f>IF(INVENTARIO!AB3="","",INVENTARIO!AB3)</f>
        <v/>
      </c>
      <c r="P3">
        <f>IF(INVENTARIO!AC3="","",INVENTARIO!AC3)</f>
        <v/>
      </c>
      <c r="Q3">
        <f>IF(AND(K3="",N3="",L3=""),"",IF(AND((K3="ALTA"),OR(LEFT(N3,2)="L0",LEFT(N3,2)="L1",L3="No Iniciado")),"CRÍTICO - Incumplimiento Normativo SEPS",IF(AND(OR(LEFT(N3,2)="L4",LEFT(N3,2)="L5"),AND(P3&lt;&gt;"",P3&lt;&gt;"N/A")),"CONFORME - Control Efectivo ISO 27001","OBSERVACIÓN - Revisar Controles")))</f>
        <v/>
      </c>
    </row>
    <row r="4">
      <c r="A4">
        <f>IF(INVENTARIO!A4="","",INVENTARIO!A4)</f>
        <v/>
      </c>
      <c r="B4">
        <f>IF(INVENTARIO!E4="","",INVENTARIO!E4)</f>
        <v/>
      </c>
      <c r="C4">
        <f>IF(INVENTARIO!F4="","",INVENTARIO!F4)</f>
        <v/>
      </c>
      <c r="D4">
        <f>IF(INVENTARIO!H4="","",INVENTARIO!H4)</f>
        <v/>
      </c>
      <c r="E4">
        <f>IF(INVENTARIO!I4="","",INVENTARIO!I4)</f>
        <v/>
      </c>
      <c r="F4">
        <f>IF(INVENTARIO!N4="","",INVENTARIO!N4)</f>
        <v/>
      </c>
      <c r="G4">
        <f>IF(INVENTARIO!P4="","",INVENTARIO!P4)</f>
        <v/>
      </c>
      <c r="H4">
        <f>IF(INVENTARIO!Q4="","",INVENTARIO!Q4)</f>
        <v/>
      </c>
      <c r="I4">
        <f>IF(INVENTARIO!R4="","",INVENTARIO!R4)</f>
        <v/>
      </c>
      <c r="J4">
        <f>IF(G4="PUBLICA(1)",1,IF(G4="USO INTERNO(2)",2,IF(G4="RESTRINGIDO(3)",3,0)))+IF(H4="BAJA(1)",1,IF(H4="MEDIA(2)",2,IF(H4="ALTA(3)",3,0)))+IF(I4="BAJA(1)",1,IF(I4="MEDIA(2)",2,IF(I4="ALTA(3)",3,0)))</f>
        <v/>
      </c>
      <c r="K4">
        <f>IF(J4="", "", IF(J4&gt;=8,"ALTA",IF(J4&gt;=6,"MEDIA","BAJA")))</f>
        <v/>
      </c>
      <c r="L4">
        <f>IF(INVENTARIO!Y4="","",INVENTARIO!Y4)</f>
        <v/>
      </c>
      <c r="M4">
        <f>IF(INVENTARIO!Z4="","",INVENTARIO!Z4)</f>
        <v/>
      </c>
      <c r="N4">
        <f>IF(INVENTARIO!AA4="","",INVENTARIO!AA4)</f>
        <v/>
      </c>
      <c r="O4">
        <f>IF(INVENTARIO!AB4="","",INVENTARIO!AB4)</f>
        <v/>
      </c>
      <c r="P4">
        <f>IF(INVENTARIO!AC4="","",INVENTARIO!AC4)</f>
        <v/>
      </c>
      <c r="Q4">
        <f>IF(AND(K4="",N4="",L4=""),"",IF(AND((K4="ALTA"),OR(LEFT(N4,2)="L0",LEFT(N4,2)="L1",L4="No Iniciado")),"CRÍTICO - Incumplimiento Normativo SEPS",IF(AND(OR(LEFT(N4,2)="L4",LEFT(N4,2)="L5"),AND(P4&lt;&gt;"",P4&lt;&gt;"N/A")),"CONFORME - Control Efectivo ISO 27001","OBSERVACIÓN - Revisar Controles")))</f>
        <v/>
      </c>
    </row>
    <row r="5">
      <c r="A5">
        <f>IF(INVENTARIO!A5="","",INVENTARIO!A5)</f>
        <v/>
      </c>
      <c r="B5">
        <f>IF(INVENTARIO!E5="","",INVENTARIO!E5)</f>
        <v/>
      </c>
      <c r="C5">
        <f>IF(INVENTARIO!F5="","",INVENTARIO!F5)</f>
        <v/>
      </c>
      <c r="D5">
        <f>IF(INVENTARIO!H5="","",INVENTARIO!H5)</f>
        <v/>
      </c>
      <c r="E5">
        <f>IF(INVENTARIO!I5="","",INVENTARIO!I5)</f>
        <v/>
      </c>
      <c r="F5">
        <f>IF(INVENTARIO!N5="","",INVENTARIO!N5)</f>
        <v/>
      </c>
      <c r="G5">
        <f>IF(INVENTARIO!P5="","",INVENTARIO!P5)</f>
        <v/>
      </c>
      <c r="H5">
        <f>IF(INVENTARIO!Q5="","",INVENTARIO!Q5)</f>
        <v/>
      </c>
      <c r="I5">
        <f>IF(INVENTARIO!R5="","",INVENTARIO!R5)</f>
        <v/>
      </c>
      <c r="J5">
        <f>IF(G5="PUBLICA(1)",1,IF(G5="USO INTERNO(2)",2,IF(G5="RESTRINGIDO(3)",3,0)))+IF(H5="BAJA(1)",1,IF(H5="MEDIA(2)",2,IF(H5="ALTA(3)",3,0)))+IF(I5="BAJA(1)",1,IF(I5="MEDIA(2)",2,IF(I5="ALTA(3)",3,0)))</f>
        <v/>
      </c>
      <c r="K5">
        <f>IF(J5="", "", IF(J5&gt;=8,"ALTA",IF(J5&gt;=6,"MEDIA","BAJA")))</f>
        <v/>
      </c>
      <c r="L5">
        <f>IF(INVENTARIO!Y5="","",INVENTARIO!Y5)</f>
        <v/>
      </c>
      <c r="M5">
        <f>IF(INVENTARIO!Z5="","",INVENTARIO!Z5)</f>
        <v/>
      </c>
      <c r="N5">
        <f>IF(INVENTARIO!AA5="","",INVENTARIO!AA5)</f>
        <v/>
      </c>
      <c r="O5">
        <f>IF(INVENTARIO!AB5="","",INVENTARIO!AB5)</f>
        <v/>
      </c>
      <c r="P5">
        <f>IF(INVENTARIO!AC5="","",INVENTARIO!AC5)</f>
        <v/>
      </c>
      <c r="Q5">
        <f>IF(AND(K5="",N5="",L5=""),"",IF(AND((K5="ALTA"),OR(LEFT(N5,2)="L0",LEFT(N5,2)="L1",L5="No Iniciado")),"CRÍTICO - Incumplimiento Normativo SEPS",IF(AND(OR(LEFT(N5,2)="L4",LEFT(N5,2)="L5"),AND(P5&lt;&gt;"",P5&lt;&gt;"N/A")),"CONFORME - Control Efectivo ISO 27001","OBSERVACIÓN - Revisar Controles")))</f>
        <v/>
      </c>
    </row>
    <row r="6">
      <c r="A6">
        <f>IF(INVENTARIO!A6="","",INVENTARIO!A6)</f>
        <v/>
      </c>
      <c r="B6">
        <f>IF(INVENTARIO!E6="","",INVENTARIO!E6)</f>
        <v/>
      </c>
      <c r="C6">
        <f>IF(INVENTARIO!F6="","",INVENTARIO!F6)</f>
        <v/>
      </c>
      <c r="D6">
        <f>IF(INVENTARIO!H6="","",INVENTARIO!H6)</f>
        <v/>
      </c>
      <c r="E6">
        <f>IF(INVENTARIO!I6="","",INVENTARIO!I6)</f>
        <v/>
      </c>
      <c r="F6">
        <f>IF(INVENTARIO!N6="","",INVENTARIO!N6)</f>
        <v/>
      </c>
      <c r="G6">
        <f>IF(INVENTARIO!P6="","",INVENTARIO!P6)</f>
        <v/>
      </c>
      <c r="H6">
        <f>IF(INVENTARIO!Q6="","",INVENTARIO!Q6)</f>
        <v/>
      </c>
      <c r="I6">
        <f>IF(INVENTARIO!R6="","",INVENTARIO!R6)</f>
        <v/>
      </c>
      <c r="J6">
        <f>IF(G6="PUBLICA(1)",1,IF(G6="USO INTERNO(2)",2,IF(G6="RESTRINGIDO(3)",3,0)))+IF(H6="BAJA(1)",1,IF(H6="MEDIA(2)",2,IF(H6="ALTA(3)",3,0)))+IF(I6="BAJA(1)",1,IF(I6="MEDIA(2)",2,IF(I6="ALTA(3)",3,0)))</f>
        <v/>
      </c>
      <c r="K6">
        <f>IF(J6="", "", IF(J6&gt;=8,"ALTA",IF(J6&gt;=6,"MEDIA","BAJA")))</f>
        <v/>
      </c>
      <c r="L6">
        <f>IF(INVENTARIO!Y6="","",INVENTARIO!Y6)</f>
        <v/>
      </c>
      <c r="M6">
        <f>IF(INVENTARIO!Z6="","",INVENTARIO!Z6)</f>
        <v/>
      </c>
      <c r="N6">
        <f>IF(INVENTARIO!AA6="","",INVENTARIO!AA6)</f>
        <v/>
      </c>
      <c r="O6">
        <f>IF(INVENTARIO!AB6="","",INVENTARIO!AB6)</f>
        <v/>
      </c>
      <c r="P6">
        <f>IF(INVENTARIO!AC6="","",INVENTARIO!AC6)</f>
        <v/>
      </c>
      <c r="Q6">
        <f>IF(AND(K6="",N6="",L6=""),"",IF(AND((K6="ALTA"),OR(LEFT(N6,2)="L0",LEFT(N6,2)="L1",L6="No Iniciado")),"CRÍTICO - Incumplimiento Normativo SEPS",IF(AND(OR(LEFT(N6,2)="L4",LEFT(N6,2)="L5"),AND(P6&lt;&gt;"",P6&lt;&gt;"N/A")),"CONFORME - Control Efectivo ISO 27001","OBSERVACIÓN - Revisar Controles")))</f>
        <v/>
      </c>
    </row>
    <row r="7">
      <c r="A7">
        <f>IF(INVENTARIO!A7="","",INVENTARIO!A7)</f>
        <v/>
      </c>
      <c r="B7">
        <f>IF(INVENTARIO!E7="","",INVENTARIO!E7)</f>
        <v/>
      </c>
      <c r="C7">
        <f>IF(INVENTARIO!F7="","",INVENTARIO!F7)</f>
        <v/>
      </c>
      <c r="D7">
        <f>IF(INVENTARIO!H7="","",INVENTARIO!H7)</f>
        <v/>
      </c>
      <c r="E7">
        <f>IF(INVENTARIO!I7="","",INVENTARIO!I7)</f>
        <v/>
      </c>
      <c r="F7">
        <f>IF(INVENTARIO!N7="","",INVENTARIO!N7)</f>
        <v/>
      </c>
      <c r="G7">
        <f>IF(INVENTARIO!P7="","",INVENTARIO!P7)</f>
        <v/>
      </c>
      <c r="H7">
        <f>IF(INVENTARIO!Q7="","",INVENTARIO!Q7)</f>
        <v/>
      </c>
      <c r="I7">
        <f>IF(INVENTARIO!R7="","",INVENTARIO!R7)</f>
        <v/>
      </c>
      <c r="J7">
        <f>IF(G7="PUBLICA(1)",1,IF(G7="USO INTERNO(2)",2,IF(G7="RESTRINGIDO(3)",3,0)))+IF(H7="BAJA(1)",1,IF(H7="MEDIA(2)",2,IF(H7="ALTA(3)",3,0)))+IF(I7="BAJA(1)",1,IF(I7="MEDIA(2)",2,IF(I7="ALTA(3)",3,0)))</f>
        <v/>
      </c>
      <c r="K7">
        <f>IF(J7="", "", IF(J7&gt;=8,"ALTA",IF(J7&gt;=6,"MEDIA","BAJA")))</f>
        <v/>
      </c>
      <c r="L7">
        <f>IF(INVENTARIO!Y7="","",INVENTARIO!Y7)</f>
        <v/>
      </c>
      <c r="M7">
        <f>IF(INVENTARIO!Z7="","",INVENTARIO!Z7)</f>
        <v/>
      </c>
      <c r="N7">
        <f>IF(INVENTARIO!AA7="","",INVENTARIO!AA7)</f>
        <v/>
      </c>
      <c r="O7">
        <f>IF(INVENTARIO!AB7="","",INVENTARIO!AB7)</f>
        <v/>
      </c>
      <c r="P7">
        <f>IF(INVENTARIO!AC7="","",INVENTARIO!AC7)</f>
        <v/>
      </c>
      <c r="Q7">
        <f>IF(AND(K7="",N7="",L7=""),"",IF(AND((K7="ALTA"),OR(LEFT(N7,2)="L0",LEFT(N7,2)="L1",L7="No Iniciado")),"CRÍTICO - Incumplimiento Normativo SEPS",IF(AND(OR(LEFT(N7,2)="L4",LEFT(N7,2)="L5"),AND(P7&lt;&gt;"",P7&lt;&gt;"N/A")),"CONFORME - Control Efectivo ISO 27001","OBSERVACIÓN - Revisar Controles")))</f>
        <v/>
      </c>
    </row>
    <row r="8">
      <c r="A8">
        <f>IF(INVENTARIO!A8="","",INVENTARIO!A8)</f>
        <v/>
      </c>
      <c r="B8">
        <f>IF(INVENTARIO!E8="","",INVENTARIO!E8)</f>
        <v/>
      </c>
      <c r="C8">
        <f>IF(INVENTARIO!F8="","",INVENTARIO!F8)</f>
        <v/>
      </c>
      <c r="D8">
        <f>IF(INVENTARIO!H8="","",INVENTARIO!H8)</f>
        <v/>
      </c>
      <c r="E8">
        <f>IF(INVENTARIO!I8="","",INVENTARIO!I8)</f>
        <v/>
      </c>
      <c r="F8">
        <f>IF(INVENTARIO!N8="","",INVENTARIO!N8)</f>
        <v/>
      </c>
      <c r="G8">
        <f>IF(INVENTARIO!P8="","",INVENTARIO!P8)</f>
        <v/>
      </c>
      <c r="H8">
        <f>IF(INVENTARIO!Q8="","",INVENTARIO!Q8)</f>
        <v/>
      </c>
      <c r="I8">
        <f>IF(INVENTARIO!R8="","",INVENTARIO!R8)</f>
        <v/>
      </c>
      <c r="J8">
        <f>IF(G8="PUBLICA(1)",1,IF(G8="USO INTERNO(2)",2,IF(G8="RESTRINGIDO(3)",3,0)))+IF(H8="BAJA(1)",1,IF(H8="MEDIA(2)",2,IF(H8="ALTA(3)",3,0)))+IF(I8="BAJA(1)",1,IF(I8="MEDIA(2)",2,IF(I8="ALTA(3)",3,0)))</f>
        <v/>
      </c>
      <c r="K8">
        <f>IF(J8="", "", IF(J8&gt;=8,"ALTA",IF(J8&gt;=6,"MEDIA","BAJA")))</f>
        <v/>
      </c>
      <c r="L8">
        <f>IF(INVENTARIO!Y8="","",INVENTARIO!Y8)</f>
        <v/>
      </c>
      <c r="M8">
        <f>IF(INVENTARIO!Z8="","",INVENTARIO!Z8)</f>
        <v/>
      </c>
      <c r="N8">
        <f>IF(INVENTARIO!AA8="","",INVENTARIO!AA8)</f>
        <v/>
      </c>
      <c r="O8">
        <f>IF(INVENTARIO!AB8="","",INVENTARIO!AB8)</f>
        <v/>
      </c>
      <c r="P8">
        <f>IF(INVENTARIO!AC8="","",INVENTARIO!AC8)</f>
        <v/>
      </c>
      <c r="Q8">
        <f>IF(AND(K8="",N8="",L8=""),"",IF(AND((K8="ALTA"),OR(LEFT(N8,2)="L0",LEFT(N8,2)="L1",L8="No Iniciado")),"CRÍTICO - Incumplimiento Normativo SEPS",IF(AND(OR(LEFT(N8,2)="L4",LEFT(N8,2)="L5"),AND(P8&lt;&gt;"",P8&lt;&gt;"N/A")),"CONFORME - Control Efectivo ISO 27001","OBSERVACIÓN - Revisar Controles")))</f>
        <v/>
      </c>
    </row>
    <row r="9">
      <c r="A9">
        <f>IF(INVENTARIO!A9="","",INVENTARIO!A9)</f>
        <v/>
      </c>
      <c r="B9">
        <f>IF(INVENTARIO!E9="","",INVENTARIO!E9)</f>
        <v/>
      </c>
      <c r="C9">
        <f>IF(INVENTARIO!F9="","",INVENTARIO!F9)</f>
        <v/>
      </c>
      <c r="D9">
        <f>IF(INVENTARIO!H9="","",INVENTARIO!H9)</f>
        <v/>
      </c>
      <c r="E9">
        <f>IF(INVENTARIO!I9="","",INVENTARIO!I9)</f>
        <v/>
      </c>
      <c r="F9">
        <f>IF(INVENTARIO!N9="","",INVENTARIO!N9)</f>
        <v/>
      </c>
      <c r="G9">
        <f>IF(INVENTARIO!P9="","",INVENTARIO!P9)</f>
        <v/>
      </c>
      <c r="H9">
        <f>IF(INVENTARIO!Q9="","",INVENTARIO!Q9)</f>
        <v/>
      </c>
      <c r="I9">
        <f>IF(INVENTARIO!R9="","",INVENTARIO!R9)</f>
        <v/>
      </c>
      <c r="J9">
        <f>IF(G9="PUBLICA(1)",1,IF(G9="USO INTERNO(2)",2,IF(G9="RESTRINGIDO(3)",3,0)))+IF(H9="BAJA(1)",1,IF(H9="MEDIA(2)",2,IF(H9="ALTA(3)",3,0)))+IF(I9="BAJA(1)",1,IF(I9="MEDIA(2)",2,IF(I9="ALTA(3)",3,0)))</f>
        <v/>
      </c>
      <c r="K9">
        <f>IF(J9="", "", IF(J9&gt;=8,"ALTA",IF(J9&gt;=6,"MEDIA","BAJA")))</f>
        <v/>
      </c>
      <c r="L9">
        <f>IF(INVENTARIO!Y9="","",INVENTARIO!Y9)</f>
        <v/>
      </c>
      <c r="M9">
        <f>IF(INVENTARIO!Z9="","",INVENTARIO!Z9)</f>
        <v/>
      </c>
      <c r="N9">
        <f>IF(INVENTARIO!AA9="","",INVENTARIO!AA9)</f>
        <v/>
      </c>
      <c r="O9">
        <f>IF(INVENTARIO!AB9="","",INVENTARIO!AB9)</f>
        <v/>
      </c>
      <c r="P9">
        <f>IF(INVENTARIO!AC9="","",INVENTARIO!AC9)</f>
        <v/>
      </c>
      <c r="Q9">
        <f>IF(AND(K9="",N9="",L9=""),"",IF(AND((K9="ALTA"),OR(LEFT(N9,2)="L0",LEFT(N9,2)="L1",L9="No Iniciado")),"CRÍTICO - Incumplimiento Normativo SEPS",IF(AND(OR(LEFT(N9,2)="L4",LEFT(N9,2)="L5"),AND(P9&lt;&gt;"",P9&lt;&gt;"N/A")),"CONFORME - Control Efectivo ISO 27001","OBSERVACIÓN - Revisar Controles")))</f>
        <v/>
      </c>
    </row>
    <row r="10">
      <c r="A10">
        <f>IF(INVENTARIO!A10="","",INVENTARIO!A10)</f>
        <v/>
      </c>
      <c r="B10">
        <f>IF(INVENTARIO!E10="","",INVENTARIO!E10)</f>
        <v/>
      </c>
      <c r="C10">
        <f>IF(INVENTARIO!F10="","",INVENTARIO!F10)</f>
        <v/>
      </c>
      <c r="D10">
        <f>IF(INVENTARIO!H10="","",INVENTARIO!H10)</f>
        <v/>
      </c>
      <c r="E10">
        <f>IF(INVENTARIO!I10="","",INVENTARIO!I10)</f>
        <v/>
      </c>
      <c r="F10">
        <f>IF(INVENTARIO!N10="","",INVENTARIO!N10)</f>
        <v/>
      </c>
      <c r="G10">
        <f>IF(INVENTARIO!P10="","",INVENTARIO!P10)</f>
        <v/>
      </c>
      <c r="H10">
        <f>IF(INVENTARIO!Q10="","",INVENTARIO!Q10)</f>
        <v/>
      </c>
      <c r="I10">
        <f>IF(INVENTARIO!R10="","",INVENTARIO!R10)</f>
        <v/>
      </c>
      <c r="J10">
        <f>IF(G10="PUBLICA(1)",1,IF(G10="USO INTERNO(2)",2,IF(G10="RESTRINGIDO(3)",3,0)))+IF(H10="BAJA(1)",1,IF(H10="MEDIA(2)",2,IF(H10="ALTA(3)",3,0)))+IF(I10="BAJA(1)",1,IF(I10="MEDIA(2)",2,IF(I10="ALTA(3)",3,0)))</f>
        <v/>
      </c>
      <c r="K10">
        <f>IF(J10="", "", IF(J10&gt;=8,"ALTA",IF(J10&gt;=6,"MEDIA","BAJA")))</f>
        <v/>
      </c>
      <c r="L10">
        <f>IF(INVENTARIO!Y10="","",INVENTARIO!Y10)</f>
        <v/>
      </c>
      <c r="M10">
        <f>IF(INVENTARIO!Z10="","",INVENTARIO!Z10)</f>
        <v/>
      </c>
      <c r="N10">
        <f>IF(INVENTARIO!AA10="","",INVENTARIO!AA10)</f>
        <v/>
      </c>
      <c r="O10">
        <f>IF(INVENTARIO!AB10="","",INVENTARIO!AB10)</f>
        <v/>
      </c>
      <c r="P10">
        <f>IF(INVENTARIO!AC10="","",INVENTARIO!AC10)</f>
        <v/>
      </c>
      <c r="Q10">
        <f>IF(AND(K10="",N10="",L10=""),"",IF(AND((K10="ALTA"),OR(LEFT(N10,2)="L0",LEFT(N10,2)="L1",L10="No Iniciado")),"CRÍTICO - Incumplimiento Normativo SEPS",IF(AND(OR(LEFT(N10,2)="L4",LEFT(N10,2)="L5"),AND(P10&lt;&gt;"",P10&lt;&gt;"N/A")),"CONFORME - Control Efectivo ISO 27001","OBSERVACIÓN - Revisar Controles")))</f>
        <v/>
      </c>
    </row>
    <row r="11">
      <c r="A11">
        <f>IF(INVENTARIO!A11="","",INVENTARIO!A11)</f>
        <v/>
      </c>
      <c r="B11">
        <f>IF(INVENTARIO!E11="","",INVENTARIO!E11)</f>
        <v/>
      </c>
      <c r="C11">
        <f>IF(INVENTARIO!F11="","",INVENTARIO!F11)</f>
        <v/>
      </c>
      <c r="D11">
        <f>IF(INVENTARIO!H11="","",INVENTARIO!H11)</f>
        <v/>
      </c>
      <c r="E11">
        <f>IF(INVENTARIO!I11="","",INVENTARIO!I11)</f>
        <v/>
      </c>
      <c r="F11">
        <f>IF(INVENTARIO!N11="","",INVENTARIO!N11)</f>
        <v/>
      </c>
      <c r="G11">
        <f>IF(INVENTARIO!P11="","",INVENTARIO!P11)</f>
        <v/>
      </c>
      <c r="H11">
        <f>IF(INVENTARIO!Q11="","",INVENTARIO!Q11)</f>
        <v/>
      </c>
      <c r="I11">
        <f>IF(INVENTARIO!R11="","",INVENTARIO!R11)</f>
        <v/>
      </c>
      <c r="J11">
        <f>IF(G11="PUBLICA(1)",1,IF(G11="USO INTERNO(2)",2,IF(G11="RESTRINGIDO(3)",3,0)))+IF(H11="BAJA(1)",1,IF(H11="MEDIA(2)",2,IF(H11="ALTA(3)",3,0)))+IF(I11="BAJA(1)",1,IF(I11="MEDIA(2)",2,IF(I11="ALTA(3)",3,0)))</f>
        <v/>
      </c>
      <c r="K11">
        <f>IF(J11="", "", IF(J11&gt;=8,"ALTA",IF(J11&gt;=6,"MEDIA","BAJA")))</f>
        <v/>
      </c>
      <c r="L11">
        <f>IF(INVENTARIO!Y11="","",INVENTARIO!Y11)</f>
        <v/>
      </c>
      <c r="M11">
        <f>IF(INVENTARIO!Z11="","",INVENTARIO!Z11)</f>
        <v/>
      </c>
      <c r="N11">
        <f>IF(INVENTARIO!AA11="","",INVENTARIO!AA11)</f>
        <v/>
      </c>
      <c r="O11">
        <f>IF(INVENTARIO!AB11="","",INVENTARIO!AB11)</f>
        <v/>
      </c>
      <c r="P11">
        <f>IF(INVENTARIO!AC11="","",INVENTARIO!AC11)</f>
        <v/>
      </c>
      <c r="Q11">
        <f>IF(AND(K11="",N11="",L11=""),"",IF(AND((K11="ALTA"),OR(LEFT(N11,2)="L0",LEFT(N11,2)="L1",L11="No Iniciado")),"CRÍTICO - Incumplimiento Normativo SEPS",IF(AND(OR(LEFT(N11,2)="L4",LEFT(N11,2)="L5"),AND(P11&lt;&gt;"",P11&lt;&gt;"N/A")),"CONFORME - Control Efectivo ISO 27001","OBSERVACIÓN - Revisar Controles")))</f>
        <v/>
      </c>
    </row>
    <row r="12">
      <c r="A12">
        <f>IF(INVENTARIO!A12="","",INVENTARIO!A12)</f>
        <v/>
      </c>
      <c r="B12">
        <f>IF(INVENTARIO!E12="","",INVENTARIO!E12)</f>
        <v/>
      </c>
      <c r="C12">
        <f>IF(INVENTARIO!F12="","",INVENTARIO!F12)</f>
        <v/>
      </c>
      <c r="D12">
        <f>IF(INVENTARIO!H12="","",INVENTARIO!H12)</f>
        <v/>
      </c>
      <c r="E12">
        <f>IF(INVENTARIO!I12="","",INVENTARIO!I12)</f>
        <v/>
      </c>
      <c r="F12">
        <f>IF(INVENTARIO!N12="","",INVENTARIO!N12)</f>
        <v/>
      </c>
      <c r="G12">
        <f>IF(INVENTARIO!P12="","",INVENTARIO!P12)</f>
        <v/>
      </c>
      <c r="H12">
        <f>IF(INVENTARIO!Q12="","",INVENTARIO!Q12)</f>
        <v/>
      </c>
      <c r="I12">
        <f>IF(INVENTARIO!R12="","",INVENTARIO!R12)</f>
        <v/>
      </c>
      <c r="J12">
        <f>IF(G12="PUBLICA(1)",1,IF(G12="USO INTERNO(2)",2,IF(G12="RESTRINGIDO(3)",3,0)))+IF(H12="BAJA(1)",1,IF(H12="MEDIA(2)",2,IF(H12="ALTA(3)",3,0)))+IF(I12="BAJA(1)",1,IF(I12="MEDIA(2)",2,IF(I12="ALTA(3)",3,0)))</f>
        <v/>
      </c>
      <c r="K12">
        <f>IF(J12="", "", IF(J12&gt;=8,"ALTA",IF(J12&gt;=6,"MEDIA","BAJA")))</f>
        <v/>
      </c>
      <c r="L12">
        <f>IF(INVENTARIO!Y12="","",INVENTARIO!Y12)</f>
        <v/>
      </c>
      <c r="M12">
        <f>IF(INVENTARIO!Z12="","",INVENTARIO!Z12)</f>
        <v/>
      </c>
      <c r="N12">
        <f>IF(INVENTARIO!AA12="","",INVENTARIO!AA12)</f>
        <v/>
      </c>
      <c r="O12">
        <f>IF(INVENTARIO!AB12="","",INVENTARIO!AB12)</f>
        <v/>
      </c>
      <c r="P12">
        <f>IF(INVENTARIO!AC12="","",INVENTARIO!AC12)</f>
        <v/>
      </c>
      <c r="Q12">
        <f>IF(AND(K12="",N12="",L12=""),"",IF(AND((K12="ALTA"),OR(LEFT(N12,2)="L0",LEFT(N12,2)="L1",L12="No Iniciado")),"CRÍTICO - Incumplimiento Normativo SEPS",IF(AND(OR(LEFT(N12,2)="L4",LEFT(N12,2)="L5"),AND(P12&lt;&gt;"",P12&lt;&gt;"N/A")),"CONFORME - Control Efectivo ISO 27001","OBSERVACIÓN - Revisar Controles")))</f>
        <v/>
      </c>
    </row>
    <row r="13">
      <c r="A13">
        <f>IF(INVENTARIO!A13="","",INVENTARIO!A13)</f>
        <v/>
      </c>
      <c r="B13">
        <f>IF(INVENTARIO!E13="","",INVENTARIO!E13)</f>
        <v/>
      </c>
      <c r="C13">
        <f>IF(INVENTARIO!F13="","",INVENTARIO!F13)</f>
        <v/>
      </c>
      <c r="D13">
        <f>IF(INVENTARIO!H13="","",INVENTARIO!H13)</f>
        <v/>
      </c>
      <c r="E13">
        <f>IF(INVENTARIO!I13="","",INVENTARIO!I13)</f>
        <v/>
      </c>
      <c r="F13">
        <f>IF(INVENTARIO!N13="","",INVENTARIO!N13)</f>
        <v/>
      </c>
      <c r="G13">
        <f>IF(INVENTARIO!P13="","",INVENTARIO!P13)</f>
        <v/>
      </c>
      <c r="H13">
        <f>IF(INVENTARIO!Q13="","",INVENTARIO!Q13)</f>
        <v/>
      </c>
      <c r="I13">
        <f>IF(INVENTARIO!R13="","",INVENTARIO!R13)</f>
        <v/>
      </c>
      <c r="J13">
        <f>IF(G13="PUBLICA(1)",1,IF(G13="USO INTERNO(2)",2,IF(G13="RESTRINGIDO(3)",3,0)))+IF(H13="BAJA(1)",1,IF(H13="MEDIA(2)",2,IF(H13="ALTA(3)",3,0)))+IF(I13="BAJA(1)",1,IF(I13="MEDIA(2)",2,IF(I13="ALTA(3)",3,0)))</f>
        <v/>
      </c>
      <c r="K13">
        <f>IF(J13="", "", IF(J13&gt;=8,"ALTA",IF(J13&gt;=6,"MEDIA","BAJA")))</f>
        <v/>
      </c>
      <c r="L13">
        <f>IF(INVENTARIO!Y13="","",INVENTARIO!Y13)</f>
        <v/>
      </c>
      <c r="M13">
        <f>IF(INVENTARIO!Z13="","",INVENTARIO!Z13)</f>
        <v/>
      </c>
      <c r="N13">
        <f>IF(INVENTARIO!AA13="","",INVENTARIO!AA13)</f>
        <v/>
      </c>
      <c r="O13">
        <f>IF(INVENTARIO!AB13="","",INVENTARIO!AB13)</f>
        <v/>
      </c>
      <c r="P13">
        <f>IF(INVENTARIO!AC13="","",INVENTARIO!AC13)</f>
        <v/>
      </c>
      <c r="Q13">
        <f>IF(AND(K13="",N13="",L13=""),"",IF(AND((K13="ALTA"),OR(LEFT(N13,2)="L0",LEFT(N13,2)="L1",L13="No Iniciado")),"CRÍTICO - Incumplimiento Normativo SEPS",IF(AND(OR(LEFT(N13,2)="L4",LEFT(N13,2)="L5"),AND(P13&lt;&gt;"",P13&lt;&gt;"N/A")),"CONFORME - Control Efectivo ISO 27001","OBSERVACIÓN - Revisar Controles")))</f>
        <v/>
      </c>
    </row>
    <row r="14">
      <c r="A14">
        <f>IF(INVENTARIO!A14="","",INVENTARIO!A14)</f>
        <v/>
      </c>
      <c r="B14">
        <f>IF(INVENTARIO!E14="","",INVENTARIO!E14)</f>
        <v/>
      </c>
      <c r="C14">
        <f>IF(INVENTARIO!F14="","",INVENTARIO!F14)</f>
        <v/>
      </c>
      <c r="D14">
        <f>IF(INVENTARIO!H14="","",INVENTARIO!H14)</f>
        <v/>
      </c>
      <c r="E14">
        <f>IF(INVENTARIO!I14="","",INVENTARIO!I14)</f>
        <v/>
      </c>
      <c r="F14">
        <f>IF(INVENTARIO!N14="","",INVENTARIO!N14)</f>
        <v/>
      </c>
      <c r="G14">
        <f>IF(INVENTARIO!P14="","",INVENTARIO!P14)</f>
        <v/>
      </c>
      <c r="H14">
        <f>IF(INVENTARIO!Q14="","",INVENTARIO!Q14)</f>
        <v/>
      </c>
      <c r="I14">
        <f>IF(INVENTARIO!R14="","",INVENTARIO!R14)</f>
        <v/>
      </c>
      <c r="J14">
        <f>IF(G14="PUBLICA(1)",1,IF(G14="USO INTERNO(2)",2,IF(G14="RESTRINGIDO(3)",3,0)))+IF(H14="BAJA(1)",1,IF(H14="MEDIA(2)",2,IF(H14="ALTA(3)",3,0)))+IF(I14="BAJA(1)",1,IF(I14="MEDIA(2)",2,IF(I14="ALTA(3)",3,0)))</f>
        <v/>
      </c>
      <c r="K14">
        <f>IF(J14="", "", IF(J14&gt;=8,"ALTA",IF(J14&gt;=6,"MEDIA","BAJA")))</f>
        <v/>
      </c>
      <c r="L14">
        <f>IF(INVENTARIO!Y14="","",INVENTARIO!Y14)</f>
        <v/>
      </c>
      <c r="M14">
        <f>IF(INVENTARIO!Z14="","",INVENTARIO!Z14)</f>
        <v/>
      </c>
      <c r="N14">
        <f>IF(INVENTARIO!AA14="","",INVENTARIO!AA14)</f>
        <v/>
      </c>
      <c r="O14">
        <f>IF(INVENTARIO!AB14="","",INVENTARIO!AB14)</f>
        <v/>
      </c>
      <c r="P14">
        <f>IF(INVENTARIO!AC14="","",INVENTARIO!AC14)</f>
        <v/>
      </c>
      <c r="Q14">
        <f>IF(AND(K14="",N14="",L14=""),"",IF(AND((K14="ALTA"),OR(LEFT(N14,2)="L0",LEFT(N14,2)="L1",L14="No Iniciado")),"CRÍTICO - Incumplimiento Normativo SEPS",IF(AND(OR(LEFT(N14,2)="L4",LEFT(N14,2)="L5"),AND(P14&lt;&gt;"",P14&lt;&gt;"N/A")),"CONFORME - Control Efectivo ISO 27001","OBSERVACIÓN - Revisar Controles")))</f>
        <v/>
      </c>
    </row>
    <row r="15">
      <c r="A15">
        <f>IF(INVENTARIO!A15="","",INVENTARIO!A15)</f>
        <v/>
      </c>
      <c r="B15">
        <f>IF(INVENTARIO!E15="","",INVENTARIO!E15)</f>
        <v/>
      </c>
      <c r="C15">
        <f>IF(INVENTARIO!F15="","",INVENTARIO!F15)</f>
        <v/>
      </c>
      <c r="D15">
        <f>IF(INVENTARIO!H15="","",INVENTARIO!H15)</f>
        <v/>
      </c>
      <c r="E15">
        <f>IF(INVENTARIO!I15="","",INVENTARIO!I15)</f>
        <v/>
      </c>
      <c r="F15">
        <f>IF(INVENTARIO!N15="","",INVENTARIO!N15)</f>
        <v/>
      </c>
      <c r="G15">
        <f>IF(INVENTARIO!P15="","",INVENTARIO!P15)</f>
        <v/>
      </c>
      <c r="H15">
        <f>IF(INVENTARIO!Q15="","",INVENTARIO!Q15)</f>
        <v/>
      </c>
      <c r="I15">
        <f>IF(INVENTARIO!R15="","",INVENTARIO!R15)</f>
        <v/>
      </c>
      <c r="J15">
        <f>IF(G15="PUBLICA(1)",1,IF(G15="USO INTERNO(2)",2,IF(G15="RESTRINGIDO(3)",3,0)))+IF(H15="BAJA(1)",1,IF(H15="MEDIA(2)",2,IF(H15="ALTA(3)",3,0)))+IF(I15="BAJA(1)",1,IF(I15="MEDIA(2)",2,IF(I15="ALTA(3)",3,0)))</f>
        <v/>
      </c>
      <c r="K15">
        <f>IF(J15="", "", IF(J15&gt;=8,"ALTA",IF(J15&gt;=6,"MEDIA","BAJA")))</f>
        <v/>
      </c>
      <c r="L15">
        <f>IF(INVENTARIO!Y15="","",INVENTARIO!Y15)</f>
        <v/>
      </c>
      <c r="M15">
        <f>IF(INVENTARIO!Z15="","",INVENTARIO!Z15)</f>
        <v/>
      </c>
      <c r="N15">
        <f>IF(INVENTARIO!AA15="","",INVENTARIO!AA15)</f>
        <v/>
      </c>
      <c r="O15">
        <f>IF(INVENTARIO!AB15="","",INVENTARIO!AB15)</f>
        <v/>
      </c>
      <c r="P15">
        <f>IF(INVENTARIO!AC15="","",INVENTARIO!AC15)</f>
        <v/>
      </c>
      <c r="Q15">
        <f>IF(AND(K15="",N15="",L15=""),"",IF(AND((K15="ALTA"),OR(LEFT(N15,2)="L0",LEFT(N15,2)="L1",L15="No Iniciado")),"CRÍTICO - Incumplimiento Normativo SEPS",IF(AND(OR(LEFT(N15,2)="L4",LEFT(N15,2)="L5"),AND(P15&lt;&gt;"",P15&lt;&gt;"N/A")),"CONFORME - Control Efectivo ISO 27001","OBSERVACIÓN - Revisar Controles")))</f>
        <v/>
      </c>
    </row>
    <row r="16">
      <c r="A16">
        <f>IF(INVENTARIO!A16="","",INVENTARIO!A16)</f>
        <v/>
      </c>
      <c r="B16">
        <f>IF(INVENTARIO!E16="","",INVENTARIO!E16)</f>
        <v/>
      </c>
      <c r="C16">
        <f>IF(INVENTARIO!F16="","",INVENTARIO!F16)</f>
        <v/>
      </c>
      <c r="D16">
        <f>IF(INVENTARIO!H16="","",INVENTARIO!H16)</f>
        <v/>
      </c>
      <c r="E16">
        <f>IF(INVENTARIO!I16="","",INVENTARIO!I16)</f>
        <v/>
      </c>
      <c r="F16">
        <f>IF(INVENTARIO!N16="","",INVENTARIO!N16)</f>
        <v/>
      </c>
      <c r="G16">
        <f>IF(INVENTARIO!P16="","",INVENTARIO!P16)</f>
        <v/>
      </c>
      <c r="H16">
        <f>IF(INVENTARIO!Q16="","",INVENTARIO!Q16)</f>
        <v/>
      </c>
      <c r="I16">
        <f>IF(INVENTARIO!R16="","",INVENTARIO!R16)</f>
        <v/>
      </c>
      <c r="J16">
        <f>IF(G16="PUBLICA(1)",1,IF(G16="USO INTERNO(2)",2,IF(G16="RESTRINGIDO(3)",3,0)))+IF(H16="BAJA(1)",1,IF(H16="MEDIA(2)",2,IF(H16="ALTA(3)",3,0)))+IF(I16="BAJA(1)",1,IF(I16="MEDIA(2)",2,IF(I16="ALTA(3)",3,0)))</f>
        <v/>
      </c>
      <c r="K16">
        <f>IF(J16="", "", IF(J16&gt;=8,"ALTA",IF(J16&gt;=6,"MEDIA","BAJA")))</f>
        <v/>
      </c>
      <c r="L16">
        <f>IF(INVENTARIO!Y16="","",INVENTARIO!Y16)</f>
        <v/>
      </c>
      <c r="M16">
        <f>IF(INVENTARIO!Z16="","",INVENTARIO!Z16)</f>
        <v/>
      </c>
      <c r="N16">
        <f>IF(INVENTARIO!AA16="","",INVENTARIO!AA16)</f>
        <v/>
      </c>
      <c r="O16">
        <f>IF(INVENTARIO!AB16="","",INVENTARIO!AB16)</f>
        <v/>
      </c>
      <c r="P16">
        <f>IF(INVENTARIO!AC16="","",INVENTARIO!AC16)</f>
        <v/>
      </c>
      <c r="Q16">
        <f>IF(AND(K16="",N16="",L16=""),"",IF(AND((K16="ALTA"),OR(LEFT(N16,2)="L0",LEFT(N16,2)="L1",L16="No Iniciado")),"CRÍTICO - Incumplimiento Normativo SEPS",IF(AND(OR(LEFT(N16,2)="L4",LEFT(N16,2)="L5"),AND(P16&lt;&gt;"",P16&lt;&gt;"N/A")),"CONFORME - Control Efectivo ISO 27001","OBSERVACIÓN - Revisar Controles")))</f>
        <v/>
      </c>
    </row>
    <row r="17">
      <c r="A17">
        <f>IF(INVENTARIO!A17="","",INVENTARIO!A17)</f>
        <v/>
      </c>
      <c r="B17">
        <f>IF(INVENTARIO!E17="","",INVENTARIO!E17)</f>
        <v/>
      </c>
      <c r="C17">
        <f>IF(INVENTARIO!F17="","",INVENTARIO!F17)</f>
        <v/>
      </c>
      <c r="D17">
        <f>IF(INVENTARIO!H17="","",INVENTARIO!H17)</f>
        <v/>
      </c>
      <c r="E17">
        <f>IF(INVENTARIO!I17="","",INVENTARIO!I17)</f>
        <v/>
      </c>
      <c r="F17">
        <f>IF(INVENTARIO!N17="","",INVENTARIO!N17)</f>
        <v/>
      </c>
      <c r="G17">
        <f>IF(INVENTARIO!P17="","",INVENTARIO!P17)</f>
        <v/>
      </c>
      <c r="H17">
        <f>IF(INVENTARIO!Q17="","",INVENTARIO!Q17)</f>
        <v/>
      </c>
      <c r="I17">
        <f>IF(INVENTARIO!R17="","",INVENTARIO!R17)</f>
        <v/>
      </c>
      <c r="J17">
        <f>IF(G17="PUBLICA(1)",1,IF(G17="USO INTERNO(2)",2,IF(G17="RESTRINGIDO(3)",3,0)))+IF(H17="BAJA(1)",1,IF(H17="MEDIA(2)",2,IF(H17="ALTA(3)",3,0)))+IF(I17="BAJA(1)",1,IF(I17="MEDIA(2)",2,IF(I17="ALTA(3)",3,0)))</f>
        <v/>
      </c>
      <c r="K17">
        <f>IF(J17="", "", IF(J17&gt;=8,"ALTA",IF(J17&gt;=6,"MEDIA","BAJA")))</f>
        <v/>
      </c>
      <c r="L17">
        <f>IF(INVENTARIO!Y17="","",INVENTARIO!Y17)</f>
        <v/>
      </c>
      <c r="M17">
        <f>IF(INVENTARIO!Z17="","",INVENTARIO!Z17)</f>
        <v/>
      </c>
      <c r="N17">
        <f>IF(INVENTARIO!AA17="","",INVENTARIO!AA17)</f>
        <v/>
      </c>
      <c r="O17">
        <f>IF(INVENTARIO!AB17="","",INVENTARIO!AB17)</f>
        <v/>
      </c>
      <c r="P17">
        <f>IF(INVENTARIO!AC17="","",INVENTARIO!AC17)</f>
        <v/>
      </c>
      <c r="Q17">
        <f>IF(AND(K17="",N17="",L17=""),"",IF(AND((K17="ALTA"),OR(LEFT(N17,2)="L0",LEFT(N17,2)="L1",L17="No Iniciado")),"CRÍTICO - Incumplimiento Normativo SEPS",IF(AND(OR(LEFT(N17,2)="L4",LEFT(N17,2)="L5"),AND(P17&lt;&gt;"",P17&lt;&gt;"N/A")),"CONFORME - Control Efectivo ISO 27001","OBSERVACIÓN - Revisar Controles")))</f>
        <v/>
      </c>
    </row>
    <row r="18">
      <c r="A18">
        <f>IF(INVENTARIO!A18="","",INVENTARIO!A18)</f>
        <v/>
      </c>
      <c r="B18">
        <f>IF(INVENTARIO!E18="","",INVENTARIO!E18)</f>
        <v/>
      </c>
      <c r="C18">
        <f>IF(INVENTARIO!F18="","",INVENTARIO!F18)</f>
        <v/>
      </c>
      <c r="D18">
        <f>IF(INVENTARIO!H18="","",INVENTARIO!H18)</f>
        <v/>
      </c>
      <c r="E18">
        <f>IF(INVENTARIO!I18="","",INVENTARIO!I18)</f>
        <v/>
      </c>
      <c r="F18">
        <f>IF(INVENTARIO!N18="","",INVENTARIO!N18)</f>
        <v/>
      </c>
      <c r="G18">
        <f>IF(INVENTARIO!P18="","",INVENTARIO!P18)</f>
        <v/>
      </c>
      <c r="H18">
        <f>IF(INVENTARIO!Q18="","",INVENTARIO!Q18)</f>
        <v/>
      </c>
      <c r="I18">
        <f>IF(INVENTARIO!R18="","",INVENTARIO!R18)</f>
        <v/>
      </c>
      <c r="J18">
        <f>IF(G18="PUBLICA(1)",1,IF(G18="USO INTERNO(2)",2,IF(G18="RESTRINGIDO(3)",3,0)))+IF(H18="BAJA(1)",1,IF(H18="MEDIA(2)",2,IF(H18="ALTA(3)",3,0)))+IF(I18="BAJA(1)",1,IF(I18="MEDIA(2)",2,IF(I18="ALTA(3)",3,0)))</f>
        <v/>
      </c>
      <c r="K18">
        <f>IF(J18="", "", IF(J18&gt;=8,"ALTA",IF(J18&gt;=6,"MEDIA","BAJA")))</f>
        <v/>
      </c>
      <c r="L18">
        <f>IF(INVENTARIO!Y18="","",INVENTARIO!Y18)</f>
        <v/>
      </c>
      <c r="M18">
        <f>IF(INVENTARIO!Z18="","",INVENTARIO!Z18)</f>
        <v/>
      </c>
      <c r="N18">
        <f>IF(INVENTARIO!AA18="","",INVENTARIO!AA18)</f>
        <v/>
      </c>
      <c r="O18">
        <f>IF(INVENTARIO!AB18="","",INVENTARIO!AB18)</f>
        <v/>
      </c>
      <c r="P18">
        <f>IF(INVENTARIO!AC18="","",INVENTARIO!AC18)</f>
        <v/>
      </c>
      <c r="Q18">
        <f>IF(AND(K18="",N18="",L18=""),"",IF(AND((K18="ALTA"),OR(LEFT(N18,2)="L0",LEFT(N18,2)="L1",L18="No Iniciado")),"CRÍTICO - Incumplimiento Normativo SEPS",IF(AND(OR(LEFT(N18,2)="L4",LEFT(N18,2)="L5"),AND(P18&lt;&gt;"",P18&lt;&gt;"N/A")),"CONFORME - Control Efectivo ISO 27001","OBSERVACIÓN - Revisar Controles")))</f>
        <v/>
      </c>
    </row>
    <row r="19">
      <c r="A19">
        <f>IF(INVENTARIO!A19="","",INVENTARIO!A19)</f>
        <v/>
      </c>
      <c r="B19">
        <f>IF(INVENTARIO!E19="","",INVENTARIO!E19)</f>
        <v/>
      </c>
      <c r="C19">
        <f>IF(INVENTARIO!F19="","",INVENTARIO!F19)</f>
        <v/>
      </c>
      <c r="D19">
        <f>IF(INVENTARIO!H19="","",INVENTARIO!H19)</f>
        <v/>
      </c>
      <c r="E19">
        <f>IF(INVENTARIO!I19="","",INVENTARIO!I19)</f>
        <v/>
      </c>
      <c r="F19">
        <f>IF(INVENTARIO!N19="","",INVENTARIO!N19)</f>
        <v/>
      </c>
      <c r="G19">
        <f>IF(INVENTARIO!P19="","",INVENTARIO!P19)</f>
        <v/>
      </c>
      <c r="H19">
        <f>IF(INVENTARIO!Q19="","",INVENTARIO!Q19)</f>
        <v/>
      </c>
      <c r="I19">
        <f>IF(INVENTARIO!R19="","",INVENTARIO!R19)</f>
        <v/>
      </c>
      <c r="J19">
        <f>IF(G19="PUBLICA(1)",1,IF(G19="USO INTERNO(2)",2,IF(G19="RESTRINGIDO(3)",3,0)))+IF(H19="BAJA(1)",1,IF(H19="MEDIA(2)",2,IF(H19="ALTA(3)",3,0)))+IF(I19="BAJA(1)",1,IF(I19="MEDIA(2)",2,IF(I19="ALTA(3)",3,0)))</f>
        <v/>
      </c>
      <c r="K19">
        <f>IF(J19="", "", IF(J19&gt;=8,"ALTA",IF(J19&gt;=6,"MEDIA","BAJA")))</f>
        <v/>
      </c>
      <c r="L19">
        <f>IF(INVENTARIO!Y19="","",INVENTARIO!Y19)</f>
        <v/>
      </c>
      <c r="M19">
        <f>IF(INVENTARIO!Z19="","",INVENTARIO!Z19)</f>
        <v/>
      </c>
      <c r="N19">
        <f>IF(INVENTARIO!AA19="","",INVENTARIO!AA19)</f>
        <v/>
      </c>
      <c r="O19">
        <f>IF(INVENTARIO!AB19="","",INVENTARIO!AB19)</f>
        <v/>
      </c>
      <c r="P19">
        <f>IF(INVENTARIO!AC19="","",INVENTARIO!AC19)</f>
        <v/>
      </c>
      <c r="Q19">
        <f>IF(AND(K19="",N19="",L19=""),"",IF(AND((K19="ALTA"),OR(LEFT(N19,2)="L0",LEFT(N19,2)="L1",L19="No Iniciado")),"CRÍTICO - Incumplimiento Normativo SEPS",IF(AND(OR(LEFT(N19,2)="L4",LEFT(N19,2)="L5"),AND(P19&lt;&gt;"",P19&lt;&gt;"N/A")),"CONFORME - Control Efectivo ISO 27001","OBSERVACIÓN - Revisar Controles")))</f>
        <v/>
      </c>
    </row>
    <row r="20">
      <c r="A20">
        <f>IF(INVENTARIO!A20="","",INVENTARIO!A20)</f>
        <v/>
      </c>
      <c r="B20">
        <f>IF(INVENTARIO!E20="","",INVENTARIO!E20)</f>
        <v/>
      </c>
      <c r="C20">
        <f>IF(INVENTARIO!F20="","",INVENTARIO!F20)</f>
        <v/>
      </c>
      <c r="D20">
        <f>IF(INVENTARIO!H20="","",INVENTARIO!H20)</f>
        <v/>
      </c>
      <c r="E20">
        <f>IF(INVENTARIO!I20="","",INVENTARIO!I20)</f>
        <v/>
      </c>
      <c r="F20">
        <f>IF(INVENTARIO!N20="","",INVENTARIO!N20)</f>
        <v/>
      </c>
      <c r="G20">
        <f>IF(INVENTARIO!P20="","",INVENTARIO!P20)</f>
        <v/>
      </c>
      <c r="H20">
        <f>IF(INVENTARIO!Q20="","",INVENTARIO!Q20)</f>
        <v/>
      </c>
      <c r="I20">
        <f>IF(INVENTARIO!R20="","",INVENTARIO!R20)</f>
        <v/>
      </c>
      <c r="J20">
        <f>IF(G20="PUBLICA(1)",1,IF(G20="USO INTERNO(2)",2,IF(G20="RESTRINGIDO(3)",3,0)))+IF(H20="BAJA(1)",1,IF(H20="MEDIA(2)",2,IF(H20="ALTA(3)",3,0)))+IF(I20="BAJA(1)",1,IF(I20="MEDIA(2)",2,IF(I20="ALTA(3)",3,0)))</f>
        <v/>
      </c>
      <c r="K20">
        <f>IF(J20="", "", IF(J20&gt;=8,"ALTA",IF(J20&gt;=6,"MEDIA","BAJA")))</f>
        <v/>
      </c>
      <c r="L20">
        <f>IF(INVENTARIO!Y20="","",INVENTARIO!Y20)</f>
        <v/>
      </c>
      <c r="M20">
        <f>IF(INVENTARIO!Z20="","",INVENTARIO!Z20)</f>
        <v/>
      </c>
      <c r="N20">
        <f>IF(INVENTARIO!AA20="","",INVENTARIO!AA20)</f>
        <v/>
      </c>
      <c r="O20">
        <f>IF(INVENTARIO!AB20="","",INVENTARIO!AB20)</f>
        <v/>
      </c>
      <c r="P20">
        <f>IF(INVENTARIO!AC20="","",INVENTARIO!AC20)</f>
        <v/>
      </c>
      <c r="Q20">
        <f>IF(AND(K20="",N20="",L20=""),"",IF(AND((K20="ALTA"),OR(LEFT(N20,2)="L0",LEFT(N20,2)="L1",L20="No Iniciado")),"CRÍTICO - Incumplimiento Normativo SEPS",IF(AND(OR(LEFT(N20,2)="L4",LEFT(N20,2)="L5"),AND(P20&lt;&gt;"",P20&lt;&gt;"N/A")),"CONFORME - Control Efectivo ISO 27001","OBSERVACIÓN - Revisar Controles")))</f>
        <v/>
      </c>
    </row>
    <row r="21">
      <c r="A21">
        <f>IF(INVENTARIO!A21="","",INVENTARIO!A21)</f>
        <v/>
      </c>
      <c r="B21">
        <f>IF(INVENTARIO!E21="","",INVENTARIO!E21)</f>
        <v/>
      </c>
      <c r="C21">
        <f>IF(INVENTARIO!F21="","",INVENTARIO!F21)</f>
        <v/>
      </c>
      <c r="D21">
        <f>IF(INVENTARIO!H21="","",INVENTARIO!H21)</f>
        <v/>
      </c>
      <c r="E21">
        <f>IF(INVENTARIO!I21="","",INVENTARIO!I21)</f>
        <v/>
      </c>
      <c r="F21">
        <f>IF(INVENTARIO!N21="","",INVENTARIO!N21)</f>
        <v/>
      </c>
      <c r="G21">
        <f>IF(INVENTARIO!P21="","",INVENTARIO!P21)</f>
        <v/>
      </c>
      <c r="H21">
        <f>IF(INVENTARIO!Q21="","",INVENTARIO!Q21)</f>
        <v/>
      </c>
      <c r="I21">
        <f>IF(INVENTARIO!R21="","",INVENTARIO!R21)</f>
        <v/>
      </c>
      <c r="J21">
        <f>IF(G21="PUBLICA(1)",1,IF(G21="USO INTERNO(2)",2,IF(G21="RESTRINGIDO(3)",3,0)))+IF(H21="BAJA(1)",1,IF(H21="MEDIA(2)",2,IF(H21="ALTA(3)",3,0)))+IF(I21="BAJA(1)",1,IF(I21="MEDIA(2)",2,IF(I21="ALTA(3)",3,0)))</f>
        <v/>
      </c>
      <c r="K21">
        <f>IF(J21="", "", IF(J21&gt;=8,"ALTA",IF(J21&gt;=6,"MEDIA","BAJA")))</f>
        <v/>
      </c>
      <c r="L21">
        <f>IF(INVENTARIO!Y21="","",INVENTARIO!Y21)</f>
        <v/>
      </c>
      <c r="M21">
        <f>IF(INVENTARIO!Z21="","",INVENTARIO!Z21)</f>
        <v/>
      </c>
      <c r="N21">
        <f>IF(INVENTARIO!AA21="","",INVENTARIO!AA21)</f>
        <v/>
      </c>
      <c r="O21">
        <f>IF(INVENTARIO!AB21="","",INVENTARIO!AB21)</f>
        <v/>
      </c>
      <c r="P21">
        <f>IF(INVENTARIO!AC21="","",INVENTARIO!AC21)</f>
        <v/>
      </c>
      <c r="Q21">
        <f>IF(AND(K21="",N21="",L21=""),"",IF(AND((K21="ALTA"),OR(LEFT(N21,2)="L0",LEFT(N21,2)="L1",L21="No Iniciado")),"CRÍTICO - Incumplimiento Normativo SEPS",IF(AND(OR(LEFT(N21,2)="L4",LEFT(N21,2)="L5"),AND(P21&lt;&gt;"",P21&lt;&gt;"N/A")),"CONFORME - Control Efectivo ISO 27001","OBSERVACIÓN - Revisar Controles")))</f>
        <v/>
      </c>
    </row>
    <row r="22">
      <c r="A22">
        <f>IF(INVENTARIO!A22="","",INVENTARIO!A22)</f>
        <v/>
      </c>
      <c r="B22">
        <f>IF(INVENTARIO!E22="","",INVENTARIO!E22)</f>
        <v/>
      </c>
      <c r="C22">
        <f>IF(INVENTARIO!F22="","",INVENTARIO!F22)</f>
        <v/>
      </c>
      <c r="D22">
        <f>IF(INVENTARIO!H22="","",INVENTARIO!H22)</f>
        <v/>
      </c>
      <c r="E22">
        <f>IF(INVENTARIO!I22="","",INVENTARIO!I22)</f>
        <v/>
      </c>
      <c r="F22">
        <f>IF(INVENTARIO!N22="","",INVENTARIO!N22)</f>
        <v/>
      </c>
      <c r="G22">
        <f>IF(INVENTARIO!P22="","",INVENTARIO!P22)</f>
        <v/>
      </c>
      <c r="H22">
        <f>IF(INVENTARIO!Q22="","",INVENTARIO!Q22)</f>
        <v/>
      </c>
      <c r="I22">
        <f>IF(INVENTARIO!R22="","",INVENTARIO!R22)</f>
        <v/>
      </c>
      <c r="J22">
        <f>IF(G22="PUBLICA(1)",1,IF(G22="USO INTERNO(2)",2,IF(G22="RESTRINGIDO(3)",3,0)))+IF(H22="BAJA(1)",1,IF(H22="MEDIA(2)",2,IF(H22="ALTA(3)",3,0)))+IF(I22="BAJA(1)",1,IF(I22="MEDIA(2)",2,IF(I22="ALTA(3)",3,0)))</f>
        <v/>
      </c>
      <c r="K22">
        <f>IF(J22="", "", IF(J22&gt;=8,"ALTA",IF(J22&gt;=6,"MEDIA","BAJA")))</f>
        <v/>
      </c>
      <c r="L22">
        <f>IF(INVENTARIO!Y22="","",INVENTARIO!Y22)</f>
        <v/>
      </c>
      <c r="M22">
        <f>IF(INVENTARIO!Z22="","",INVENTARIO!Z22)</f>
        <v/>
      </c>
      <c r="N22">
        <f>IF(INVENTARIO!AA22="","",INVENTARIO!AA22)</f>
        <v/>
      </c>
      <c r="O22">
        <f>IF(INVENTARIO!AB22="","",INVENTARIO!AB22)</f>
        <v/>
      </c>
      <c r="P22">
        <f>IF(INVENTARIO!AC22="","",INVENTARIO!AC22)</f>
        <v/>
      </c>
      <c r="Q22">
        <f>IF(AND(K22="",N22="",L22=""),"",IF(AND((K22="ALTA"),OR(LEFT(N22,2)="L0",LEFT(N22,2)="L1",L22="No Iniciado")),"CRÍTICO - Incumplimiento Normativo SEPS",IF(AND(OR(LEFT(N22,2)="L4",LEFT(N22,2)="L5"),AND(P22&lt;&gt;"",P22&lt;&gt;"N/A")),"CONFORME - Control Efectivo ISO 27001","OBSERVACIÓN - Revisar Controles")))</f>
        <v/>
      </c>
    </row>
    <row r="23">
      <c r="A23">
        <f>IF(INVENTARIO!A23="","",INVENTARIO!A23)</f>
        <v/>
      </c>
      <c r="B23">
        <f>IF(INVENTARIO!E23="","",INVENTARIO!E23)</f>
        <v/>
      </c>
      <c r="C23">
        <f>IF(INVENTARIO!F23="","",INVENTARIO!F23)</f>
        <v/>
      </c>
      <c r="D23">
        <f>IF(INVENTARIO!H23="","",INVENTARIO!H23)</f>
        <v/>
      </c>
      <c r="E23">
        <f>IF(INVENTARIO!I23="","",INVENTARIO!I23)</f>
        <v/>
      </c>
      <c r="F23">
        <f>IF(INVENTARIO!N23="","",INVENTARIO!N23)</f>
        <v/>
      </c>
      <c r="G23">
        <f>IF(INVENTARIO!P23="","",INVENTARIO!P23)</f>
        <v/>
      </c>
      <c r="H23">
        <f>IF(INVENTARIO!Q23="","",INVENTARIO!Q23)</f>
        <v/>
      </c>
      <c r="I23">
        <f>IF(INVENTARIO!R23="","",INVENTARIO!R23)</f>
        <v/>
      </c>
      <c r="J23">
        <f>IF(G23="PUBLICA(1)",1,IF(G23="USO INTERNO(2)",2,IF(G23="RESTRINGIDO(3)",3,0)))+IF(H23="BAJA(1)",1,IF(H23="MEDIA(2)",2,IF(H23="ALTA(3)",3,0)))+IF(I23="BAJA(1)",1,IF(I23="MEDIA(2)",2,IF(I23="ALTA(3)",3,0)))</f>
        <v/>
      </c>
      <c r="K23">
        <f>IF(J23="", "", IF(J23&gt;=8,"ALTA",IF(J23&gt;=6,"MEDIA","BAJA")))</f>
        <v/>
      </c>
      <c r="L23">
        <f>IF(INVENTARIO!Y23="","",INVENTARIO!Y23)</f>
        <v/>
      </c>
      <c r="M23">
        <f>IF(INVENTARIO!Z23="","",INVENTARIO!Z23)</f>
        <v/>
      </c>
      <c r="N23">
        <f>IF(INVENTARIO!AA23="","",INVENTARIO!AA23)</f>
        <v/>
      </c>
      <c r="O23">
        <f>IF(INVENTARIO!AB23="","",INVENTARIO!AB23)</f>
        <v/>
      </c>
      <c r="P23">
        <f>IF(INVENTARIO!AC23="","",INVENTARIO!AC23)</f>
        <v/>
      </c>
      <c r="Q23">
        <f>IF(AND(K23="",N23="",L23=""),"",IF(AND((K23="ALTA"),OR(LEFT(N23,2)="L0",LEFT(N23,2)="L1",L23="No Iniciado")),"CRÍTICO - Incumplimiento Normativo SEPS",IF(AND(OR(LEFT(N23,2)="L4",LEFT(N23,2)="L5"),AND(P23&lt;&gt;"",P23&lt;&gt;"N/A")),"CONFORME - Control Efectivo ISO 27001","OBSERVACIÓN - Revisar Controles")))</f>
        <v/>
      </c>
    </row>
    <row r="24">
      <c r="A24">
        <f>IF(INVENTARIO!A24="","",INVENTARIO!A24)</f>
        <v/>
      </c>
      <c r="B24">
        <f>IF(INVENTARIO!E24="","",INVENTARIO!E24)</f>
        <v/>
      </c>
      <c r="C24">
        <f>IF(INVENTARIO!F24="","",INVENTARIO!F24)</f>
        <v/>
      </c>
      <c r="D24">
        <f>IF(INVENTARIO!H24="","",INVENTARIO!H24)</f>
        <v/>
      </c>
      <c r="E24">
        <f>IF(INVENTARIO!I24="","",INVENTARIO!I24)</f>
        <v/>
      </c>
      <c r="F24">
        <f>IF(INVENTARIO!N24="","",INVENTARIO!N24)</f>
        <v/>
      </c>
      <c r="G24">
        <f>IF(INVENTARIO!P24="","",INVENTARIO!P24)</f>
        <v/>
      </c>
      <c r="H24">
        <f>IF(INVENTARIO!Q24="","",INVENTARIO!Q24)</f>
        <v/>
      </c>
      <c r="I24">
        <f>IF(INVENTARIO!R24="","",INVENTARIO!R24)</f>
        <v/>
      </c>
      <c r="J24">
        <f>IF(G24="PUBLICA(1)",1,IF(G24="USO INTERNO(2)",2,IF(G24="RESTRINGIDO(3)",3,0)))+IF(H24="BAJA(1)",1,IF(H24="MEDIA(2)",2,IF(H24="ALTA(3)",3,0)))+IF(I24="BAJA(1)",1,IF(I24="MEDIA(2)",2,IF(I24="ALTA(3)",3,0)))</f>
        <v/>
      </c>
      <c r="K24">
        <f>IF(J24="", "", IF(J24&gt;=8,"ALTA",IF(J24&gt;=6,"MEDIA","BAJA")))</f>
        <v/>
      </c>
      <c r="L24">
        <f>IF(INVENTARIO!Y24="","",INVENTARIO!Y24)</f>
        <v/>
      </c>
      <c r="M24">
        <f>IF(INVENTARIO!Z24="","",INVENTARIO!Z24)</f>
        <v/>
      </c>
      <c r="N24">
        <f>IF(INVENTARIO!AA24="","",INVENTARIO!AA24)</f>
        <v/>
      </c>
      <c r="O24">
        <f>IF(INVENTARIO!AB24="","",INVENTARIO!AB24)</f>
        <v/>
      </c>
      <c r="P24">
        <f>IF(INVENTARIO!AC24="","",INVENTARIO!AC24)</f>
        <v/>
      </c>
      <c r="Q24">
        <f>IF(AND(K24="",N24="",L24=""),"",IF(AND((K24="ALTA"),OR(LEFT(N24,2)="L0",LEFT(N24,2)="L1",L24="No Iniciado")),"CRÍTICO - Incumplimiento Normativo SEPS",IF(AND(OR(LEFT(N24,2)="L4",LEFT(N24,2)="L5"),AND(P24&lt;&gt;"",P24&lt;&gt;"N/A")),"CONFORME - Control Efectivo ISO 27001","OBSERVACIÓN - Revisar Controles")))</f>
        <v/>
      </c>
    </row>
    <row r="25">
      <c r="A25">
        <f>IF(INVENTARIO!A25="","",INVENTARIO!A25)</f>
        <v/>
      </c>
      <c r="B25">
        <f>IF(INVENTARIO!E25="","",INVENTARIO!E25)</f>
        <v/>
      </c>
      <c r="C25">
        <f>IF(INVENTARIO!F25="","",INVENTARIO!F25)</f>
        <v/>
      </c>
      <c r="D25">
        <f>IF(INVENTARIO!H25="","",INVENTARIO!H25)</f>
        <v/>
      </c>
      <c r="E25">
        <f>IF(INVENTARIO!I25="","",INVENTARIO!I25)</f>
        <v/>
      </c>
      <c r="F25">
        <f>IF(INVENTARIO!N25="","",INVENTARIO!N25)</f>
        <v/>
      </c>
      <c r="G25">
        <f>IF(INVENTARIO!P25="","",INVENTARIO!P25)</f>
        <v/>
      </c>
      <c r="H25">
        <f>IF(INVENTARIO!Q25="","",INVENTARIO!Q25)</f>
        <v/>
      </c>
      <c r="I25">
        <f>IF(INVENTARIO!R25="","",INVENTARIO!R25)</f>
        <v/>
      </c>
      <c r="J25">
        <f>IF(G25="PUBLICA(1)",1,IF(G25="USO INTERNO(2)",2,IF(G25="RESTRINGIDO(3)",3,0)))+IF(H25="BAJA(1)",1,IF(H25="MEDIA(2)",2,IF(H25="ALTA(3)",3,0)))+IF(I25="BAJA(1)",1,IF(I25="MEDIA(2)",2,IF(I25="ALTA(3)",3,0)))</f>
        <v/>
      </c>
      <c r="K25">
        <f>IF(J25="", "", IF(J25&gt;=8,"ALTA",IF(J25&gt;=6,"MEDIA","BAJA")))</f>
        <v/>
      </c>
      <c r="L25">
        <f>IF(INVENTARIO!Y25="","",INVENTARIO!Y25)</f>
        <v/>
      </c>
      <c r="M25">
        <f>IF(INVENTARIO!Z25="","",INVENTARIO!Z25)</f>
        <v/>
      </c>
      <c r="N25">
        <f>IF(INVENTARIO!AA25="","",INVENTARIO!AA25)</f>
        <v/>
      </c>
      <c r="O25">
        <f>IF(INVENTARIO!AB25="","",INVENTARIO!AB25)</f>
        <v/>
      </c>
      <c r="P25">
        <f>IF(INVENTARIO!AC25="","",INVENTARIO!AC25)</f>
        <v/>
      </c>
      <c r="Q25">
        <f>IF(AND(K25="",N25="",L25=""),"",IF(AND((K25="ALTA"),OR(LEFT(N25,2)="L0",LEFT(N25,2)="L1",L25="No Iniciado")),"CRÍTICO - Incumplimiento Normativo SEPS",IF(AND(OR(LEFT(N25,2)="L4",LEFT(N25,2)="L5"),AND(P25&lt;&gt;"",P25&lt;&gt;"N/A")),"CONFORME - Control Efectivo ISO 27001","OBSERVACIÓN - Revisar Controles")))</f>
        <v/>
      </c>
    </row>
    <row r="26">
      <c r="A26">
        <f>IF(INVENTARIO!A26="","",INVENTARIO!A26)</f>
        <v/>
      </c>
      <c r="B26">
        <f>IF(INVENTARIO!E26="","",INVENTARIO!E26)</f>
        <v/>
      </c>
      <c r="C26">
        <f>IF(INVENTARIO!F26="","",INVENTARIO!F26)</f>
        <v/>
      </c>
      <c r="D26">
        <f>IF(INVENTARIO!H26="","",INVENTARIO!H26)</f>
        <v/>
      </c>
      <c r="E26">
        <f>IF(INVENTARIO!I26="","",INVENTARIO!I26)</f>
        <v/>
      </c>
      <c r="F26">
        <f>IF(INVENTARIO!N26="","",INVENTARIO!N26)</f>
        <v/>
      </c>
      <c r="G26">
        <f>IF(INVENTARIO!P26="","",INVENTARIO!P26)</f>
        <v/>
      </c>
      <c r="H26">
        <f>IF(INVENTARIO!Q26="","",INVENTARIO!Q26)</f>
        <v/>
      </c>
      <c r="I26">
        <f>IF(INVENTARIO!R26="","",INVENTARIO!R26)</f>
        <v/>
      </c>
      <c r="J26">
        <f>IF(G26="PUBLICA(1)",1,IF(G26="USO INTERNO(2)",2,IF(G26="RESTRINGIDO(3)",3,0)))+IF(H26="BAJA(1)",1,IF(H26="MEDIA(2)",2,IF(H26="ALTA(3)",3,0)))+IF(I26="BAJA(1)",1,IF(I26="MEDIA(2)",2,IF(I26="ALTA(3)",3,0)))</f>
        <v/>
      </c>
      <c r="K26">
        <f>IF(J26="", "", IF(J26&gt;=8,"ALTA",IF(J26&gt;=6,"MEDIA","BAJA")))</f>
        <v/>
      </c>
      <c r="L26">
        <f>IF(INVENTARIO!Y26="","",INVENTARIO!Y26)</f>
        <v/>
      </c>
      <c r="M26">
        <f>IF(INVENTARIO!Z26="","",INVENTARIO!Z26)</f>
        <v/>
      </c>
      <c r="N26">
        <f>IF(INVENTARIO!AA26="","",INVENTARIO!AA26)</f>
        <v/>
      </c>
      <c r="O26">
        <f>IF(INVENTARIO!AB26="","",INVENTARIO!AB26)</f>
        <v/>
      </c>
      <c r="P26">
        <f>IF(INVENTARIO!AC26="","",INVENTARIO!AC26)</f>
        <v/>
      </c>
      <c r="Q26">
        <f>IF(AND(K26="",N26="",L26=""),"",IF(AND((K26="ALTA"),OR(LEFT(N26,2)="L0",LEFT(N26,2)="L1",L26="No Iniciado")),"CRÍTICO - Incumplimiento Normativo SEPS",IF(AND(OR(LEFT(N26,2)="L4",LEFT(N26,2)="L5"),AND(P26&lt;&gt;"",P26&lt;&gt;"N/A")),"CONFORME - Control Efectivo ISO 27001","OBSERVACIÓN - Revisar Controles")))</f>
        <v/>
      </c>
    </row>
    <row r="27">
      <c r="A27">
        <f>IF(INVENTARIO!A27="","",INVENTARIO!A27)</f>
        <v/>
      </c>
      <c r="B27">
        <f>IF(INVENTARIO!E27="","",INVENTARIO!E27)</f>
        <v/>
      </c>
      <c r="C27">
        <f>IF(INVENTARIO!F27="","",INVENTARIO!F27)</f>
        <v/>
      </c>
      <c r="D27">
        <f>IF(INVENTARIO!H27="","",INVENTARIO!H27)</f>
        <v/>
      </c>
      <c r="E27">
        <f>IF(INVENTARIO!I27="","",INVENTARIO!I27)</f>
        <v/>
      </c>
      <c r="F27">
        <f>IF(INVENTARIO!N27="","",INVENTARIO!N27)</f>
        <v/>
      </c>
      <c r="G27">
        <f>IF(INVENTARIO!P27="","",INVENTARIO!P27)</f>
        <v/>
      </c>
      <c r="H27">
        <f>IF(INVENTARIO!Q27="","",INVENTARIO!Q27)</f>
        <v/>
      </c>
      <c r="I27">
        <f>IF(INVENTARIO!R27="","",INVENTARIO!R27)</f>
        <v/>
      </c>
      <c r="J27">
        <f>IF(G27="PUBLICA(1)",1,IF(G27="USO INTERNO(2)",2,IF(G27="RESTRINGIDO(3)",3,0)))+IF(H27="BAJA(1)",1,IF(H27="MEDIA(2)",2,IF(H27="ALTA(3)",3,0)))+IF(I27="BAJA(1)",1,IF(I27="MEDIA(2)",2,IF(I27="ALTA(3)",3,0)))</f>
        <v/>
      </c>
      <c r="K27">
        <f>IF(J27="", "", IF(J27&gt;=8,"ALTA",IF(J27&gt;=6,"MEDIA","BAJA")))</f>
        <v/>
      </c>
      <c r="L27">
        <f>IF(INVENTARIO!Y27="","",INVENTARIO!Y27)</f>
        <v/>
      </c>
      <c r="M27">
        <f>IF(INVENTARIO!Z27="","",INVENTARIO!Z27)</f>
        <v/>
      </c>
      <c r="N27">
        <f>IF(INVENTARIO!AA27="","",INVENTARIO!AA27)</f>
        <v/>
      </c>
      <c r="O27">
        <f>IF(INVENTARIO!AB27="","",INVENTARIO!AB27)</f>
        <v/>
      </c>
      <c r="P27">
        <f>IF(INVENTARIO!AC27="","",INVENTARIO!AC27)</f>
        <v/>
      </c>
      <c r="Q27">
        <f>IF(AND(K27="",N27="",L27=""),"",IF(AND((K27="ALTA"),OR(LEFT(N27,2)="L0",LEFT(N27,2)="L1",L27="No Iniciado")),"CRÍTICO - Incumplimiento Normativo SEPS",IF(AND(OR(LEFT(N27,2)="L4",LEFT(N27,2)="L5"),AND(P27&lt;&gt;"",P27&lt;&gt;"N/A")),"CONFORME - Control Efectivo ISO 27001","OBSERVACIÓN - Revisar Controles")))</f>
        <v/>
      </c>
    </row>
    <row r="28">
      <c r="A28">
        <f>IF(INVENTARIO!A28="","",INVENTARIO!A28)</f>
        <v/>
      </c>
      <c r="B28">
        <f>IF(INVENTARIO!E28="","",INVENTARIO!E28)</f>
        <v/>
      </c>
      <c r="C28">
        <f>IF(INVENTARIO!F28="","",INVENTARIO!F28)</f>
        <v/>
      </c>
      <c r="D28">
        <f>IF(INVENTARIO!H28="","",INVENTARIO!H28)</f>
        <v/>
      </c>
      <c r="E28">
        <f>IF(INVENTARIO!I28="","",INVENTARIO!I28)</f>
        <v/>
      </c>
      <c r="F28">
        <f>IF(INVENTARIO!N28="","",INVENTARIO!N28)</f>
        <v/>
      </c>
      <c r="G28">
        <f>IF(INVENTARIO!P28="","",INVENTARIO!P28)</f>
        <v/>
      </c>
      <c r="H28">
        <f>IF(INVENTARIO!Q28="","",INVENTARIO!Q28)</f>
        <v/>
      </c>
      <c r="I28">
        <f>IF(INVENTARIO!R28="","",INVENTARIO!R28)</f>
        <v/>
      </c>
      <c r="J28">
        <f>IF(G28="PUBLICA(1)",1,IF(G28="USO INTERNO(2)",2,IF(G28="RESTRINGIDO(3)",3,0)))+IF(H28="BAJA(1)",1,IF(H28="MEDIA(2)",2,IF(H28="ALTA(3)",3,0)))+IF(I28="BAJA(1)",1,IF(I28="MEDIA(2)",2,IF(I28="ALTA(3)",3,0)))</f>
        <v/>
      </c>
      <c r="K28">
        <f>IF(J28="", "", IF(J28&gt;=8,"ALTA",IF(J28&gt;=6,"MEDIA","BAJA")))</f>
        <v/>
      </c>
      <c r="L28">
        <f>IF(INVENTARIO!Y28="","",INVENTARIO!Y28)</f>
        <v/>
      </c>
      <c r="M28">
        <f>IF(INVENTARIO!Z28="","",INVENTARIO!Z28)</f>
        <v/>
      </c>
      <c r="N28">
        <f>IF(INVENTARIO!AA28="","",INVENTARIO!AA28)</f>
        <v/>
      </c>
      <c r="O28">
        <f>IF(INVENTARIO!AB28="","",INVENTARIO!AB28)</f>
        <v/>
      </c>
      <c r="P28">
        <f>IF(INVENTARIO!AC28="","",INVENTARIO!AC28)</f>
        <v/>
      </c>
      <c r="Q28">
        <f>IF(AND(K28="",N28="",L28=""),"",IF(AND((K28="ALTA"),OR(LEFT(N28,2)="L0",LEFT(N28,2)="L1",L28="No Iniciado")),"CRÍTICO - Incumplimiento Normativo SEPS",IF(AND(OR(LEFT(N28,2)="L4",LEFT(N28,2)="L5"),AND(P28&lt;&gt;"",P28&lt;&gt;"N/A")),"CONFORME - Control Efectivo ISO 27001","OBSERVACIÓN - Revisar Controles")))</f>
        <v/>
      </c>
    </row>
    <row r="29">
      <c r="A29">
        <f>IF(INVENTARIO!A29="","",INVENTARIO!A29)</f>
        <v/>
      </c>
      <c r="B29">
        <f>IF(INVENTARIO!E29="","",INVENTARIO!E29)</f>
        <v/>
      </c>
      <c r="C29">
        <f>IF(INVENTARIO!F29="","",INVENTARIO!F29)</f>
        <v/>
      </c>
      <c r="D29">
        <f>IF(INVENTARIO!H29="","",INVENTARIO!H29)</f>
        <v/>
      </c>
      <c r="E29">
        <f>IF(INVENTARIO!I29="","",INVENTARIO!I29)</f>
        <v/>
      </c>
      <c r="F29">
        <f>IF(INVENTARIO!N29="","",INVENTARIO!N29)</f>
        <v/>
      </c>
      <c r="G29">
        <f>IF(INVENTARIO!P29="","",INVENTARIO!P29)</f>
        <v/>
      </c>
      <c r="H29">
        <f>IF(INVENTARIO!Q29="","",INVENTARIO!Q29)</f>
        <v/>
      </c>
      <c r="I29">
        <f>IF(INVENTARIO!R29="","",INVENTARIO!R29)</f>
        <v/>
      </c>
      <c r="J29">
        <f>IF(G29="PUBLICA(1)",1,IF(G29="USO INTERNO(2)",2,IF(G29="RESTRINGIDO(3)",3,0)))+IF(H29="BAJA(1)",1,IF(H29="MEDIA(2)",2,IF(H29="ALTA(3)",3,0)))+IF(I29="BAJA(1)",1,IF(I29="MEDIA(2)",2,IF(I29="ALTA(3)",3,0)))</f>
        <v/>
      </c>
      <c r="K29">
        <f>IF(J29="", "", IF(J29&gt;=8,"ALTA",IF(J29&gt;=6,"MEDIA","BAJA")))</f>
        <v/>
      </c>
      <c r="L29">
        <f>IF(INVENTARIO!Y29="","",INVENTARIO!Y29)</f>
        <v/>
      </c>
      <c r="M29">
        <f>IF(INVENTARIO!Z29="","",INVENTARIO!Z29)</f>
        <v/>
      </c>
      <c r="N29">
        <f>IF(INVENTARIO!AA29="","",INVENTARIO!AA29)</f>
        <v/>
      </c>
      <c r="O29">
        <f>IF(INVENTARIO!AB29="","",INVENTARIO!AB29)</f>
        <v/>
      </c>
      <c r="P29">
        <f>IF(INVENTARIO!AC29="","",INVENTARIO!AC29)</f>
        <v/>
      </c>
      <c r="Q29">
        <f>IF(AND(K29="",N29="",L29=""),"",IF(AND((K29="ALTA"),OR(LEFT(N29,2)="L0",LEFT(N29,2)="L1",L29="No Iniciado")),"CRÍTICO - Incumplimiento Normativo SEPS",IF(AND(OR(LEFT(N29,2)="L4",LEFT(N29,2)="L5"),AND(P29&lt;&gt;"",P29&lt;&gt;"N/A")),"CONFORME - Control Efectivo ISO 27001","OBSERVACIÓN - Revisar Controles")))</f>
        <v/>
      </c>
    </row>
    <row r="30">
      <c r="A30">
        <f>IF(INVENTARIO!A30="","",INVENTARIO!A30)</f>
        <v/>
      </c>
      <c r="B30">
        <f>IF(INVENTARIO!E30="","",INVENTARIO!E30)</f>
        <v/>
      </c>
      <c r="C30">
        <f>IF(INVENTARIO!F30="","",INVENTARIO!F30)</f>
        <v/>
      </c>
      <c r="D30">
        <f>IF(INVENTARIO!H30="","",INVENTARIO!H30)</f>
        <v/>
      </c>
      <c r="E30">
        <f>IF(INVENTARIO!I30="","",INVENTARIO!I30)</f>
        <v/>
      </c>
      <c r="F30">
        <f>IF(INVENTARIO!N30="","",INVENTARIO!N30)</f>
        <v/>
      </c>
      <c r="G30">
        <f>IF(INVENTARIO!P30="","",INVENTARIO!P30)</f>
        <v/>
      </c>
      <c r="H30">
        <f>IF(INVENTARIO!Q30="","",INVENTARIO!Q30)</f>
        <v/>
      </c>
      <c r="I30">
        <f>IF(INVENTARIO!R30="","",INVENTARIO!R30)</f>
        <v/>
      </c>
      <c r="J30">
        <f>IF(G30="PUBLICA(1)",1,IF(G30="USO INTERNO(2)",2,IF(G30="RESTRINGIDO(3)",3,0)))+IF(H30="BAJA(1)",1,IF(H30="MEDIA(2)",2,IF(H30="ALTA(3)",3,0)))+IF(I30="BAJA(1)",1,IF(I30="MEDIA(2)",2,IF(I30="ALTA(3)",3,0)))</f>
        <v/>
      </c>
      <c r="K30">
        <f>IF(J30="", "", IF(J30&gt;=8,"ALTA",IF(J30&gt;=6,"MEDIA","BAJA")))</f>
        <v/>
      </c>
      <c r="L30">
        <f>IF(INVENTARIO!Y30="","",INVENTARIO!Y30)</f>
        <v/>
      </c>
      <c r="M30">
        <f>IF(INVENTARIO!Z30="","",INVENTARIO!Z30)</f>
        <v/>
      </c>
      <c r="N30">
        <f>IF(INVENTARIO!AA30="","",INVENTARIO!AA30)</f>
        <v/>
      </c>
      <c r="O30">
        <f>IF(INVENTARIO!AB30="","",INVENTARIO!AB30)</f>
        <v/>
      </c>
      <c r="P30">
        <f>IF(INVENTARIO!AC30="","",INVENTARIO!AC30)</f>
        <v/>
      </c>
      <c r="Q30">
        <f>IF(AND(K30="",N30="",L30=""),"",IF(AND((K30="ALTA"),OR(LEFT(N30,2)="L0",LEFT(N30,2)="L1",L30="No Iniciado")),"CRÍTICO - Incumplimiento Normativo SEPS",IF(AND(OR(LEFT(N30,2)="L4",LEFT(N30,2)="L5"),AND(P30&lt;&gt;"",P30&lt;&gt;"N/A")),"CONFORME - Control Efectivo ISO 27001","OBSERVACIÓN - Revisar Controles")))</f>
        <v/>
      </c>
    </row>
    <row r="31">
      <c r="A31">
        <f>IF(INVENTARIO!A31="","",INVENTARIO!A31)</f>
        <v/>
      </c>
      <c r="B31">
        <f>IF(INVENTARIO!E31="","",INVENTARIO!E31)</f>
        <v/>
      </c>
      <c r="C31">
        <f>IF(INVENTARIO!F31="","",INVENTARIO!F31)</f>
        <v/>
      </c>
      <c r="D31">
        <f>IF(INVENTARIO!H31="","",INVENTARIO!H31)</f>
        <v/>
      </c>
      <c r="E31">
        <f>IF(INVENTARIO!I31="","",INVENTARIO!I31)</f>
        <v/>
      </c>
      <c r="F31">
        <f>IF(INVENTARIO!N31="","",INVENTARIO!N31)</f>
        <v/>
      </c>
      <c r="G31">
        <f>IF(INVENTARIO!P31="","",INVENTARIO!P31)</f>
        <v/>
      </c>
      <c r="H31">
        <f>IF(INVENTARIO!Q31="","",INVENTARIO!Q31)</f>
        <v/>
      </c>
      <c r="I31">
        <f>IF(INVENTARIO!R31="","",INVENTARIO!R31)</f>
        <v/>
      </c>
      <c r="J31">
        <f>IF(G31="PUBLICA(1)",1,IF(G31="USO INTERNO(2)",2,IF(G31="RESTRINGIDO(3)",3,0)))+IF(H31="BAJA(1)",1,IF(H31="MEDIA(2)",2,IF(H31="ALTA(3)",3,0)))+IF(I31="BAJA(1)",1,IF(I31="MEDIA(2)",2,IF(I31="ALTA(3)",3,0)))</f>
        <v/>
      </c>
      <c r="K31">
        <f>IF(J31="", "", IF(J31&gt;=8,"ALTA",IF(J31&gt;=6,"MEDIA","BAJA")))</f>
        <v/>
      </c>
      <c r="L31">
        <f>IF(INVENTARIO!Y31="","",INVENTARIO!Y31)</f>
        <v/>
      </c>
      <c r="M31">
        <f>IF(INVENTARIO!Z31="","",INVENTARIO!Z31)</f>
        <v/>
      </c>
      <c r="N31">
        <f>IF(INVENTARIO!AA31="","",INVENTARIO!AA31)</f>
        <v/>
      </c>
      <c r="O31">
        <f>IF(INVENTARIO!AB31="","",INVENTARIO!AB31)</f>
        <v/>
      </c>
      <c r="P31">
        <f>IF(INVENTARIO!AC31="","",INVENTARIO!AC31)</f>
        <v/>
      </c>
      <c r="Q31">
        <f>IF(AND(K31="",N31="",L31=""),"",IF(AND((K31="ALTA"),OR(LEFT(N31,2)="L0",LEFT(N31,2)="L1",L31="No Iniciado")),"CRÍTICO - Incumplimiento Normativo SEPS",IF(AND(OR(LEFT(N31,2)="L4",LEFT(N31,2)="L5"),AND(P31&lt;&gt;"",P31&lt;&gt;"N/A")),"CONFORME - Control Efectivo ISO 27001","OBSERVACIÓN - Revisar Controles")))</f>
        <v/>
      </c>
    </row>
    <row r="32">
      <c r="A32">
        <f>IF(INVENTARIO!A32="","",INVENTARIO!A32)</f>
        <v/>
      </c>
      <c r="B32">
        <f>IF(INVENTARIO!E32="","",INVENTARIO!E32)</f>
        <v/>
      </c>
      <c r="C32">
        <f>IF(INVENTARIO!F32="","",INVENTARIO!F32)</f>
        <v/>
      </c>
      <c r="D32">
        <f>IF(INVENTARIO!H32="","",INVENTARIO!H32)</f>
        <v/>
      </c>
      <c r="E32">
        <f>IF(INVENTARIO!I32="","",INVENTARIO!I32)</f>
        <v/>
      </c>
      <c r="F32">
        <f>IF(INVENTARIO!N32="","",INVENTARIO!N32)</f>
        <v/>
      </c>
      <c r="G32">
        <f>IF(INVENTARIO!P32="","",INVENTARIO!P32)</f>
        <v/>
      </c>
      <c r="H32">
        <f>IF(INVENTARIO!Q32="","",INVENTARIO!Q32)</f>
        <v/>
      </c>
      <c r="I32">
        <f>IF(INVENTARIO!R32="","",INVENTARIO!R32)</f>
        <v/>
      </c>
      <c r="J32">
        <f>IF(G32="PUBLICA(1)",1,IF(G32="USO INTERNO(2)",2,IF(G32="RESTRINGIDO(3)",3,0)))+IF(H32="BAJA(1)",1,IF(H32="MEDIA(2)",2,IF(H32="ALTA(3)",3,0)))+IF(I32="BAJA(1)",1,IF(I32="MEDIA(2)",2,IF(I32="ALTA(3)",3,0)))</f>
        <v/>
      </c>
      <c r="K32">
        <f>IF(J32="", "", IF(J32&gt;=8,"ALTA",IF(J32&gt;=6,"MEDIA","BAJA")))</f>
        <v/>
      </c>
      <c r="L32">
        <f>IF(INVENTARIO!Y32="","",INVENTARIO!Y32)</f>
        <v/>
      </c>
      <c r="M32">
        <f>IF(INVENTARIO!Z32="","",INVENTARIO!Z32)</f>
        <v/>
      </c>
      <c r="N32">
        <f>IF(INVENTARIO!AA32="","",INVENTARIO!AA32)</f>
        <v/>
      </c>
      <c r="O32">
        <f>IF(INVENTARIO!AB32="","",INVENTARIO!AB32)</f>
        <v/>
      </c>
      <c r="P32">
        <f>IF(INVENTARIO!AC32="","",INVENTARIO!AC32)</f>
        <v/>
      </c>
      <c r="Q32">
        <f>IF(AND(K32="",N32="",L32=""),"",IF(AND((K32="ALTA"),OR(LEFT(N32,2)="L0",LEFT(N32,2)="L1",L32="No Iniciado")),"CRÍTICO - Incumplimiento Normativo SEPS",IF(AND(OR(LEFT(N32,2)="L4",LEFT(N32,2)="L5"),AND(P32&lt;&gt;"",P32&lt;&gt;"N/A")),"CONFORME - Control Efectivo ISO 27001","OBSERVACIÓN - Revisar Controles")))</f>
        <v/>
      </c>
    </row>
    <row r="33">
      <c r="A33">
        <f>IF(INVENTARIO!A33="","",INVENTARIO!A33)</f>
        <v/>
      </c>
      <c r="B33">
        <f>IF(INVENTARIO!E33="","",INVENTARIO!E33)</f>
        <v/>
      </c>
      <c r="C33">
        <f>IF(INVENTARIO!F33="","",INVENTARIO!F33)</f>
        <v/>
      </c>
      <c r="D33">
        <f>IF(INVENTARIO!H33="","",INVENTARIO!H33)</f>
        <v/>
      </c>
      <c r="E33">
        <f>IF(INVENTARIO!I33="","",INVENTARIO!I33)</f>
        <v/>
      </c>
      <c r="F33">
        <f>IF(INVENTARIO!N33="","",INVENTARIO!N33)</f>
        <v/>
      </c>
      <c r="G33">
        <f>IF(INVENTARIO!P33="","",INVENTARIO!P33)</f>
        <v/>
      </c>
      <c r="H33">
        <f>IF(INVENTARIO!Q33="","",INVENTARIO!Q33)</f>
        <v/>
      </c>
      <c r="I33">
        <f>IF(INVENTARIO!R33="","",INVENTARIO!R33)</f>
        <v/>
      </c>
      <c r="J33">
        <f>IF(G33="PUBLICA(1)",1,IF(G33="USO INTERNO(2)",2,IF(G33="RESTRINGIDO(3)",3,0)))+IF(H33="BAJA(1)",1,IF(H33="MEDIA(2)",2,IF(H33="ALTA(3)",3,0)))+IF(I33="BAJA(1)",1,IF(I33="MEDIA(2)",2,IF(I33="ALTA(3)",3,0)))</f>
        <v/>
      </c>
      <c r="K33">
        <f>IF(J33="", "", IF(J33&gt;=8,"ALTA",IF(J33&gt;=6,"MEDIA","BAJA")))</f>
        <v/>
      </c>
      <c r="L33">
        <f>IF(INVENTARIO!Y33="","",INVENTARIO!Y33)</f>
        <v/>
      </c>
      <c r="M33">
        <f>IF(INVENTARIO!Z33="","",INVENTARIO!Z33)</f>
        <v/>
      </c>
      <c r="N33">
        <f>IF(INVENTARIO!AA33="","",INVENTARIO!AA33)</f>
        <v/>
      </c>
      <c r="O33">
        <f>IF(INVENTARIO!AB33="","",INVENTARIO!AB33)</f>
        <v/>
      </c>
      <c r="P33">
        <f>IF(INVENTARIO!AC33="","",INVENTARIO!AC33)</f>
        <v/>
      </c>
      <c r="Q33">
        <f>IF(AND(K33="",N33="",L33=""),"",IF(AND((K33="ALTA"),OR(LEFT(N33,2)="L0",LEFT(N33,2)="L1",L33="No Iniciado")),"CRÍTICO - Incumplimiento Normativo SEPS",IF(AND(OR(LEFT(N33,2)="L4",LEFT(N33,2)="L5"),AND(P33&lt;&gt;"",P33&lt;&gt;"N/A")),"CONFORME - Control Efectivo ISO 27001","OBSERVACIÓN - Revisar Controles")))</f>
        <v/>
      </c>
    </row>
    <row r="34">
      <c r="A34">
        <f>IF(INVENTARIO!A34="","",INVENTARIO!A34)</f>
        <v/>
      </c>
      <c r="B34">
        <f>IF(INVENTARIO!E34="","",INVENTARIO!E34)</f>
        <v/>
      </c>
      <c r="C34">
        <f>IF(INVENTARIO!F34="","",INVENTARIO!F34)</f>
        <v/>
      </c>
      <c r="D34">
        <f>IF(INVENTARIO!H34="","",INVENTARIO!H34)</f>
        <v/>
      </c>
      <c r="E34">
        <f>IF(INVENTARIO!I34="","",INVENTARIO!I34)</f>
        <v/>
      </c>
      <c r="F34">
        <f>IF(INVENTARIO!N34="","",INVENTARIO!N34)</f>
        <v/>
      </c>
      <c r="G34">
        <f>IF(INVENTARIO!P34="","",INVENTARIO!P34)</f>
        <v/>
      </c>
      <c r="H34">
        <f>IF(INVENTARIO!Q34="","",INVENTARIO!Q34)</f>
        <v/>
      </c>
      <c r="I34">
        <f>IF(INVENTARIO!R34="","",INVENTARIO!R34)</f>
        <v/>
      </c>
      <c r="J34">
        <f>IF(G34="PUBLICA(1)",1,IF(G34="USO INTERNO(2)",2,IF(G34="RESTRINGIDO(3)",3,0)))+IF(H34="BAJA(1)",1,IF(H34="MEDIA(2)",2,IF(H34="ALTA(3)",3,0)))+IF(I34="BAJA(1)",1,IF(I34="MEDIA(2)",2,IF(I34="ALTA(3)",3,0)))</f>
        <v/>
      </c>
      <c r="K34">
        <f>IF(J34="", "", IF(J34&gt;=8,"ALTA",IF(J34&gt;=6,"MEDIA","BAJA")))</f>
        <v/>
      </c>
      <c r="L34">
        <f>IF(INVENTARIO!Y34="","",INVENTARIO!Y34)</f>
        <v/>
      </c>
      <c r="M34">
        <f>IF(INVENTARIO!Z34="","",INVENTARIO!Z34)</f>
        <v/>
      </c>
      <c r="N34">
        <f>IF(INVENTARIO!AA34="","",INVENTARIO!AA34)</f>
        <v/>
      </c>
      <c r="O34">
        <f>IF(INVENTARIO!AB34="","",INVENTARIO!AB34)</f>
        <v/>
      </c>
      <c r="P34">
        <f>IF(INVENTARIO!AC34="","",INVENTARIO!AC34)</f>
        <v/>
      </c>
      <c r="Q34">
        <f>IF(AND(K34="",N34="",L34=""),"",IF(AND((K34="ALTA"),OR(LEFT(N34,2)="L0",LEFT(N34,2)="L1",L34="No Iniciado")),"CRÍTICO - Incumplimiento Normativo SEPS",IF(AND(OR(LEFT(N34,2)="L4",LEFT(N34,2)="L5"),AND(P34&lt;&gt;"",P34&lt;&gt;"N/A")),"CONFORME - Control Efectivo ISO 27001","OBSERVACIÓN - Revisar Controles")))</f>
        <v/>
      </c>
    </row>
    <row r="35">
      <c r="A35">
        <f>IF(INVENTARIO!A35="","",INVENTARIO!A35)</f>
        <v/>
      </c>
      <c r="B35">
        <f>IF(INVENTARIO!E35="","",INVENTARIO!E35)</f>
        <v/>
      </c>
      <c r="C35">
        <f>IF(INVENTARIO!F35="","",INVENTARIO!F35)</f>
        <v/>
      </c>
      <c r="D35">
        <f>IF(INVENTARIO!H35="","",INVENTARIO!H35)</f>
        <v/>
      </c>
      <c r="E35">
        <f>IF(INVENTARIO!I35="","",INVENTARIO!I35)</f>
        <v/>
      </c>
      <c r="F35">
        <f>IF(INVENTARIO!N35="","",INVENTARIO!N35)</f>
        <v/>
      </c>
      <c r="G35">
        <f>IF(INVENTARIO!P35="","",INVENTARIO!P35)</f>
        <v/>
      </c>
      <c r="H35">
        <f>IF(INVENTARIO!Q35="","",INVENTARIO!Q35)</f>
        <v/>
      </c>
      <c r="I35">
        <f>IF(INVENTARIO!R35="","",INVENTARIO!R35)</f>
        <v/>
      </c>
      <c r="J35">
        <f>IF(G35="PUBLICA(1)",1,IF(G35="USO INTERNO(2)",2,IF(G35="RESTRINGIDO(3)",3,0)))+IF(H35="BAJA(1)",1,IF(H35="MEDIA(2)",2,IF(H35="ALTA(3)",3,0)))+IF(I35="BAJA(1)",1,IF(I35="MEDIA(2)",2,IF(I35="ALTA(3)",3,0)))</f>
        <v/>
      </c>
      <c r="K35">
        <f>IF(J35="", "", IF(J35&gt;=8,"ALTA",IF(J35&gt;=6,"MEDIA","BAJA")))</f>
        <v/>
      </c>
      <c r="L35">
        <f>IF(INVENTARIO!Y35="","",INVENTARIO!Y35)</f>
        <v/>
      </c>
      <c r="M35">
        <f>IF(INVENTARIO!Z35="","",INVENTARIO!Z35)</f>
        <v/>
      </c>
      <c r="N35">
        <f>IF(INVENTARIO!AA35="","",INVENTARIO!AA35)</f>
        <v/>
      </c>
      <c r="O35">
        <f>IF(INVENTARIO!AB35="","",INVENTARIO!AB35)</f>
        <v/>
      </c>
      <c r="P35">
        <f>IF(INVENTARIO!AC35="","",INVENTARIO!AC35)</f>
        <v/>
      </c>
      <c r="Q35">
        <f>IF(AND(K35="",N35="",L35=""),"",IF(AND((K35="ALTA"),OR(LEFT(N35,2)="L0",LEFT(N35,2)="L1",L35="No Iniciado")),"CRÍTICO - Incumplimiento Normativo SEPS",IF(AND(OR(LEFT(N35,2)="L4",LEFT(N35,2)="L5"),AND(P35&lt;&gt;"",P35&lt;&gt;"N/A")),"CONFORME - Control Efectivo ISO 27001","OBSERVACIÓN - Revisar Controles")))</f>
        <v/>
      </c>
    </row>
    <row r="36">
      <c r="A36">
        <f>IF(INVENTARIO!A36="","",INVENTARIO!A36)</f>
        <v/>
      </c>
      <c r="B36">
        <f>IF(INVENTARIO!E36="","",INVENTARIO!E36)</f>
        <v/>
      </c>
      <c r="C36">
        <f>IF(INVENTARIO!F36="","",INVENTARIO!F36)</f>
        <v/>
      </c>
      <c r="D36">
        <f>IF(INVENTARIO!H36="","",INVENTARIO!H36)</f>
        <v/>
      </c>
      <c r="E36">
        <f>IF(INVENTARIO!I36="","",INVENTARIO!I36)</f>
        <v/>
      </c>
      <c r="F36">
        <f>IF(INVENTARIO!N36="","",INVENTARIO!N36)</f>
        <v/>
      </c>
      <c r="G36">
        <f>IF(INVENTARIO!P36="","",INVENTARIO!P36)</f>
        <v/>
      </c>
      <c r="H36">
        <f>IF(INVENTARIO!Q36="","",INVENTARIO!Q36)</f>
        <v/>
      </c>
      <c r="I36">
        <f>IF(INVENTARIO!R36="","",INVENTARIO!R36)</f>
        <v/>
      </c>
      <c r="J36">
        <f>IF(G36="PUBLICA(1)",1,IF(G36="USO INTERNO(2)",2,IF(G36="RESTRINGIDO(3)",3,0)))+IF(H36="BAJA(1)",1,IF(H36="MEDIA(2)",2,IF(H36="ALTA(3)",3,0)))+IF(I36="BAJA(1)",1,IF(I36="MEDIA(2)",2,IF(I36="ALTA(3)",3,0)))</f>
        <v/>
      </c>
      <c r="K36">
        <f>IF(J36="", "", IF(J36&gt;=8,"ALTA",IF(J36&gt;=6,"MEDIA","BAJA")))</f>
        <v/>
      </c>
      <c r="L36">
        <f>IF(INVENTARIO!Y36="","",INVENTARIO!Y36)</f>
        <v/>
      </c>
      <c r="M36">
        <f>IF(INVENTARIO!Z36="","",INVENTARIO!Z36)</f>
        <v/>
      </c>
      <c r="N36">
        <f>IF(INVENTARIO!AA36="","",INVENTARIO!AA36)</f>
        <v/>
      </c>
      <c r="O36">
        <f>IF(INVENTARIO!AB36="","",INVENTARIO!AB36)</f>
        <v/>
      </c>
      <c r="P36">
        <f>IF(INVENTARIO!AC36="","",INVENTARIO!AC36)</f>
        <v/>
      </c>
      <c r="Q36">
        <f>IF(AND(K36="",N36="",L36=""),"",IF(AND((K36="ALTA"),OR(LEFT(N36,2)="L0",LEFT(N36,2)="L1",L36="No Iniciado")),"CRÍTICO - Incumplimiento Normativo SEPS",IF(AND(OR(LEFT(N36,2)="L4",LEFT(N36,2)="L5"),AND(P36&lt;&gt;"",P36&lt;&gt;"N/A")),"CONFORME - Control Efectivo ISO 27001","OBSERVACIÓN - Revisar Controles")))</f>
        <v/>
      </c>
    </row>
    <row r="37">
      <c r="A37">
        <f>IF(INVENTARIO!A37="","",INVENTARIO!A37)</f>
        <v/>
      </c>
      <c r="B37">
        <f>IF(INVENTARIO!E37="","",INVENTARIO!E37)</f>
        <v/>
      </c>
      <c r="C37">
        <f>IF(INVENTARIO!F37="","",INVENTARIO!F37)</f>
        <v/>
      </c>
      <c r="D37">
        <f>IF(INVENTARIO!H37="","",INVENTARIO!H37)</f>
        <v/>
      </c>
      <c r="E37">
        <f>IF(INVENTARIO!I37="","",INVENTARIO!I37)</f>
        <v/>
      </c>
      <c r="F37">
        <f>IF(INVENTARIO!N37="","",INVENTARIO!N37)</f>
        <v/>
      </c>
      <c r="G37">
        <f>IF(INVENTARIO!P37="","",INVENTARIO!P37)</f>
        <v/>
      </c>
      <c r="H37">
        <f>IF(INVENTARIO!Q37="","",INVENTARIO!Q37)</f>
        <v/>
      </c>
      <c r="I37">
        <f>IF(INVENTARIO!R37="","",INVENTARIO!R37)</f>
        <v/>
      </c>
      <c r="J37">
        <f>IF(G37="PUBLICA(1)",1,IF(G37="USO INTERNO(2)",2,IF(G37="RESTRINGIDO(3)",3,0)))+IF(H37="BAJA(1)",1,IF(H37="MEDIA(2)",2,IF(H37="ALTA(3)",3,0)))+IF(I37="BAJA(1)",1,IF(I37="MEDIA(2)",2,IF(I37="ALTA(3)",3,0)))</f>
        <v/>
      </c>
      <c r="K37">
        <f>IF(J37="", "", IF(J37&gt;=8,"ALTA",IF(J37&gt;=6,"MEDIA","BAJA")))</f>
        <v/>
      </c>
      <c r="L37">
        <f>IF(INVENTARIO!Y37="","",INVENTARIO!Y37)</f>
        <v/>
      </c>
      <c r="M37">
        <f>IF(INVENTARIO!Z37="","",INVENTARIO!Z37)</f>
        <v/>
      </c>
      <c r="N37">
        <f>IF(INVENTARIO!AA37="","",INVENTARIO!AA37)</f>
        <v/>
      </c>
      <c r="O37">
        <f>IF(INVENTARIO!AB37="","",INVENTARIO!AB37)</f>
        <v/>
      </c>
      <c r="P37">
        <f>IF(INVENTARIO!AC37="","",INVENTARIO!AC37)</f>
        <v/>
      </c>
      <c r="Q37">
        <f>IF(AND(K37="",N37="",L37=""),"",IF(AND((K37="ALTA"),OR(LEFT(N37,2)="L0",LEFT(N37,2)="L1",L37="No Iniciado")),"CRÍTICO - Incumplimiento Normativo SEPS",IF(AND(OR(LEFT(N37,2)="L4",LEFT(N37,2)="L5"),AND(P37&lt;&gt;"",P37&lt;&gt;"N/A")),"CONFORME - Control Efectivo ISO 27001","OBSERVACIÓN - Revisar Controles")))</f>
        <v/>
      </c>
    </row>
    <row r="38">
      <c r="A38">
        <f>IF(INVENTARIO!A38="","",INVENTARIO!A38)</f>
        <v/>
      </c>
      <c r="B38">
        <f>IF(INVENTARIO!E38="","",INVENTARIO!E38)</f>
        <v/>
      </c>
      <c r="C38">
        <f>IF(INVENTARIO!F38="","",INVENTARIO!F38)</f>
        <v/>
      </c>
      <c r="D38">
        <f>IF(INVENTARIO!H38="","",INVENTARIO!H38)</f>
        <v/>
      </c>
      <c r="E38">
        <f>IF(INVENTARIO!I38="","",INVENTARIO!I38)</f>
        <v/>
      </c>
      <c r="F38">
        <f>IF(INVENTARIO!N38="","",INVENTARIO!N38)</f>
        <v/>
      </c>
      <c r="G38">
        <f>IF(INVENTARIO!P38="","",INVENTARIO!P38)</f>
        <v/>
      </c>
      <c r="H38">
        <f>IF(INVENTARIO!Q38="","",INVENTARIO!Q38)</f>
        <v/>
      </c>
      <c r="I38">
        <f>IF(INVENTARIO!R38="","",INVENTARIO!R38)</f>
        <v/>
      </c>
      <c r="J38">
        <f>IF(G38="PUBLICA(1)",1,IF(G38="USO INTERNO(2)",2,IF(G38="RESTRINGIDO(3)",3,0)))+IF(H38="BAJA(1)",1,IF(H38="MEDIA(2)",2,IF(H38="ALTA(3)",3,0)))+IF(I38="BAJA(1)",1,IF(I38="MEDIA(2)",2,IF(I38="ALTA(3)",3,0)))</f>
        <v/>
      </c>
      <c r="K38">
        <f>IF(J38="", "", IF(J38&gt;=8,"ALTA",IF(J38&gt;=6,"MEDIA","BAJA")))</f>
        <v/>
      </c>
      <c r="L38">
        <f>IF(INVENTARIO!Y38="","",INVENTARIO!Y38)</f>
        <v/>
      </c>
      <c r="M38">
        <f>IF(INVENTARIO!Z38="","",INVENTARIO!Z38)</f>
        <v/>
      </c>
      <c r="N38">
        <f>IF(INVENTARIO!AA38="","",INVENTARIO!AA38)</f>
        <v/>
      </c>
      <c r="O38">
        <f>IF(INVENTARIO!AB38="","",INVENTARIO!AB38)</f>
        <v/>
      </c>
      <c r="P38">
        <f>IF(INVENTARIO!AC38="","",INVENTARIO!AC38)</f>
        <v/>
      </c>
      <c r="Q38">
        <f>IF(AND(K38="",N38="",L38=""),"",IF(AND((K38="ALTA"),OR(LEFT(N38,2)="L0",LEFT(N38,2)="L1",L38="No Iniciado")),"CRÍTICO - Incumplimiento Normativo SEPS",IF(AND(OR(LEFT(N38,2)="L4",LEFT(N38,2)="L5"),AND(P38&lt;&gt;"",P38&lt;&gt;"N/A")),"CONFORME - Control Efectivo ISO 27001","OBSERVACIÓN - Revisar Controles")))</f>
        <v/>
      </c>
    </row>
    <row r="39">
      <c r="A39">
        <f>IF(INVENTARIO!A39="","",INVENTARIO!A39)</f>
        <v/>
      </c>
      <c r="B39">
        <f>IF(INVENTARIO!E39="","",INVENTARIO!E39)</f>
        <v/>
      </c>
      <c r="C39">
        <f>IF(INVENTARIO!F39="","",INVENTARIO!F39)</f>
        <v/>
      </c>
      <c r="D39">
        <f>IF(INVENTARIO!H39="","",INVENTARIO!H39)</f>
        <v/>
      </c>
      <c r="E39">
        <f>IF(INVENTARIO!I39="","",INVENTARIO!I39)</f>
        <v/>
      </c>
      <c r="F39">
        <f>IF(INVENTARIO!N39="","",INVENTARIO!N39)</f>
        <v/>
      </c>
      <c r="G39">
        <f>IF(INVENTARIO!P39="","",INVENTARIO!P39)</f>
        <v/>
      </c>
      <c r="H39">
        <f>IF(INVENTARIO!Q39="","",INVENTARIO!Q39)</f>
        <v/>
      </c>
      <c r="I39">
        <f>IF(INVENTARIO!R39="","",INVENTARIO!R39)</f>
        <v/>
      </c>
      <c r="J39">
        <f>IF(G39="PUBLICA(1)",1,IF(G39="USO INTERNO(2)",2,IF(G39="RESTRINGIDO(3)",3,0)))+IF(H39="BAJA(1)",1,IF(H39="MEDIA(2)",2,IF(H39="ALTA(3)",3,0)))+IF(I39="BAJA(1)",1,IF(I39="MEDIA(2)",2,IF(I39="ALTA(3)",3,0)))</f>
        <v/>
      </c>
      <c r="K39">
        <f>IF(J39="", "", IF(J39&gt;=8,"ALTA",IF(J39&gt;=6,"MEDIA","BAJA")))</f>
        <v/>
      </c>
      <c r="L39">
        <f>IF(INVENTARIO!Y39="","",INVENTARIO!Y39)</f>
        <v/>
      </c>
      <c r="M39">
        <f>IF(INVENTARIO!Z39="","",INVENTARIO!Z39)</f>
        <v/>
      </c>
      <c r="N39">
        <f>IF(INVENTARIO!AA39="","",INVENTARIO!AA39)</f>
        <v/>
      </c>
      <c r="O39">
        <f>IF(INVENTARIO!AB39="","",INVENTARIO!AB39)</f>
        <v/>
      </c>
      <c r="P39">
        <f>IF(INVENTARIO!AC39="","",INVENTARIO!AC39)</f>
        <v/>
      </c>
      <c r="Q39">
        <f>IF(AND(K39="",N39="",L39=""),"",IF(AND((K39="ALTA"),OR(LEFT(N39,2)="L0",LEFT(N39,2)="L1",L39="No Iniciado")),"CRÍTICO - Incumplimiento Normativo SEPS",IF(AND(OR(LEFT(N39,2)="L4",LEFT(N39,2)="L5"),AND(P39&lt;&gt;"",P39&lt;&gt;"N/A")),"CONFORME - Control Efectivo ISO 27001","OBSERVACIÓN - Revisar Controles")))</f>
        <v/>
      </c>
    </row>
    <row r="40">
      <c r="A40">
        <f>IF(INVENTARIO!A40="","",INVENTARIO!A40)</f>
        <v/>
      </c>
      <c r="B40">
        <f>IF(INVENTARIO!E40="","",INVENTARIO!E40)</f>
        <v/>
      </c>
      <c r="C40">
        <f>IF(INVENTARIO!F40="","",INVENTARIO!F40)</f>
        <v/>
      </c>
      <c r="D40">
        <f>IF(INVENTARIO!H40="","",INVENTARIO!H40)</f>
        <v/>
      </c>
      <c r="E40">
        <f>IF(INVENTARIO!I40="","",INVENTARIO!I40)</f>
        <v/>
      </c>
      <c r="F40">
        <f>IF(INVENTARIO!N40="","",INVENTARIO!N40)</f>
        <v/>
      </c>
      <c r="G40">
        <f>IF(INVENTARIO!P40="","",INVENTARIO!P40)</f>
        <v/>
      </c>
      <c r="H40">
        <f>IF(INVENTARIO!Q40="","",INVENTARIO!Q40)</f>
        <v/>
      </c>
      <c r="I40">
        <f>IF(INVENTARIO!R40="","",INVENTARIO!R40)</f>
        <v/>
      </c>
      <c r="J40">
        <f>IF(G40="PUBLICA(1)",1,IF(G40="USO INTERNO(2)",2,IF(G40="RESTRINGIDO(3)",3,0)))+IF(H40="BAJA(1)",1,IF(H40="MEDIA(2)",2,IF(H40="ALTA(3)",3,0)))+IF(I40="BAJA(1)",1,IF(I40="MEDIA(2)",2,IF(I40="ALTA(3)",3,0)))</f>
        <v/>
      </c>
      <c r="K40">
        <f>IF(J40="", "", IF(J40&gt;=8,"ALTA",IF(J40&gt;=6,"MEDIA","BAJA")))</f>
        <v/>
      </c>
      <c r="L40">
        <f>IF(INVENTARIO!Y40="","",INVENTARIO!Y40)</f>
        <v/>
      </c>
      <c r="M40">
        <f>IF(INVENTARIO!Z40="","",INVENTARIO!Z40)</f>
        <v/>
      </c>
      <c r="N40">
        <f>IF(INVENTARIO!AA40="","",INVENTARIO!AA40)</f>
        <v/>
      </c>
      <c r="O40">
        <f>IF(INVENTARIO!AB40="","",INVENTARIO!AB40)</f>
        <v/>
      </c>
      <c r="P40">
        <f>IF(INVENTARIO!AC40="","",INVENTARIO!AC40)</f>
        <v/>
      </c>
      <c r="Q40">
        <f>IF(AND(K40="",N40="",L40=""),"",IF(AND((K40="ALTA"),OR(LEFT(N40,2)="L0",LEFT(N40,2)="L1",L40="No Iniciado")),"CRÍTICO - Incumplimiento Normativo SEPS",IF(AND(OR(LEFT(N40,2)="L4",LEFT(N40,2)="L5"),AND(P40&lt;&gt;"",P40&lt;&gt;"N/A")),"CONFORME - Control Efectivo ISO 27001","OBSERVACIÓN - Revisar Controles")))</f>
        <v/>
      </c>
    </row>
    <row r="41">
      <c r="A41">
        <f>IF(INVENTARIO!A41="","",INVENTARIO!A41)</f>
        <v/>
      </c>
      <c r="B41">
        <f>IF(INVENTARIO!E41="","",INVENTARIO!E41)</f>
        <v/>
      </c>
      <c r="C41">
        <f>IF(INVENTARIO!F41="","",INVENTARIO!F41)</f>
        <v/>
      </c>
      <c r="D41">
        <f>IF(INVENTARIO!H41="","",INVENTARIO!H41)</f>
        <v/>
      </c>
      <c r="E41">
        <f>IF(INVENTARIO!I41="","",INVENTARIO!I41)</f>
        <v/>
      </c>
      <c r="F41">
        <f>IF(INVENTARIO!N41="","",INVENTARIO!N41)</f>
        <v/>
      </c>
      <c r="G41">
        <f>IF(INVENTARIO!P41="","",INVENTARIO!P41)</f>
        <v/>
      </c>
      <c r="H41">
        <f>IF(INVENTARIO!Q41="","",INVENTARIO!Q41)</f>
        <v/>
      </c>
      <c r="I41">
        <f>IF(INVENTARIO!R41="","",INVENTARIO!R41)</f>
        <v/>
      </c>
      <c r="J41">
        <f>IF(G41="PUBLICA(1)",1,IF(G41="USO INTERNO(2)",2,IF(G41="RESTRINGIDO(3)",3,0)))+IF(H41="BAJA(1)",1,IF(H41="MEDIA(2)",2,IF(H41="ALTA(3)",3,0)))+IF(I41="BAJA(1)",1,IF(I41="MEDIA(2)",2,IF(I41="ALTA(3)",3,0)))</f>
        <v/>
      </c>
      <c r="K41">
        <f>IF(J41="", "", IF(J41&gt;=8,"ALTA",IF(J41&gt;=6,"MEDIA","BAJA")))</f>
        <v/>
      </c>
      <c r="L41">
        <f>IF(INVENTARIO!Y41="","",INVENTARIO!Y41)</f>
        <v/>
      </c>
      <c r="M41">
        <f>IF(INVENTARIO!Z41="","",INVENTARIO!Z41)</f>
        <v/>
      </c>
      <c r="N41">
        <f>IF(INVENTARIO!AA41="","",INVENTARIO!AA41)</f>
        <v/>
      </c>
      <c r="O41">
        <f>IF(INVENTARIO!AB41="","",INVENTARIO!AB41)</f>
        <v/>
      </c>
      <c r="P41">
        <f>IF(INVENTARIO!AC41="","",INVENTARIO!AC41)</f>
        <v/>
      </c>
      <c r="Q41">
        <f>IF(AND(K41="",N41="",L41=""),"",IF(AND((K41="ALTA"),OR(LEFT(N41,2)="L0",LEFT(N41,2)="L1",L41="No Iniciado")),"CRÍTICO - Incumplimiento Normativo SEPS",IF(AND(OR(LEFT(N41,2)="L4",LEFT(N41,2)="L5"),AND(P41&lt;&gt;"",P41&lt;&gt;"N/A")),"CONFORME - Control Efectivo ISO 27001","OBSERVACIÓN - Revisar Controles")))</f>
        <v/>
      </c>
    </row>
    <row r="42">
      <c r="A42">
        <f>IF(INVENTARIO!A42="","",INVENTARIO!A42)</f>
        <v/>
      </c>
      <c r="B42">
        <f>IF(INVENTARIO!E42="","",INVENTARIO!E42)</f>
        <v/>
      </c>
      <c r="C42">
        <f>IF(INVENTARIO!F42="","",INVENTARIO!F42)</f>
        <v/>
      </c>
      <c r="D42">
        <f>IF(INVENTARIO!H42="","",INVENTARIO!H42)</f>
        <v/>
      </c>
      <c r="E42">
        <f>IF(INVENTARIO!I42="","",INVENTARIO!I42)</f>
        <v/>
      </c>
      <c r="F42">
        <f>IF(INVENTARIO!N42="","",INVENTARIO!N42)</f>
        <v/>
      </c>
      <c r="G42">
        <f>IF(INVENTARIO!P42="","",INVENTARIO!P42)</f>
        <v/>
      </c>
      <c r="H42">
        <f>IF(INVENTARIO!Q42="","",INVENTARIO!Q42)</f>
        <v/>
      </c>
      <c r="I42">
        <f>IF(INVENTARIO!R42="","",INVENTARIO!R42)</f>
        <v/>
      </c>
      <c r="J42">
        <f>IF(G42="PUBLICA(1)",1,IF(G42="USO INTERNO(2)",2,IF(G42="RESTRINGIDO(3)",3,0)))+IF(H42="BAJA(1)",1,IF(H42="MEDIA(2)",2,IF(H42="ALTA(3)",3,0)))+IF(I42="BAJA(1)",1,IF(I42="MEDIA(2)",2,IF(I42="ALTA(3)",3,0)))</f>
        <v/>
      </c>
      <c r="K42">
        <f>IF(J42="", "", IF(J42&gt;=8,"ALTA",IF(J42&gt;=6,"MEDIA","BAJA")))</f>
        <v/>
      </c>
      <c r="L42">
        <f>IF(INVENTARIO!Y42="","",INVENTARIO!Y42)</f>
        <v/>
      </c>
      <c r="M42">
        <f>IF(INVENTARIO!Z42="","",INVENTARIO!Z42)</f>
        <v/>
      </c>
      <c r="N42">
        <f>IF(INVENTARIO!AA42="","",INVENTARIO!AA42)</f>
        <v/>
      </c>
      <c r="O42">
        <f>IF(INVENTARIO!AB42="","",INVENTARIO!AB42)</f>
        <v/>
      </c>
      <c r="P42">
        <f>IF(INVENTARIO!AC42="","",INVENTARIO!AC42)</f>
        <v/>
      </c>
      <c r="Q42">
        <f>IF(AND(K42="",N42="",L42=""),"",IF(AND((K42="ALTA"),OR(LEFT(N42,2)="L0",LEFT(N42,2)="L1",L42="No Iniciado")),"CRÍTICO - Incumplimiento Normativo SEPS",IF(AND(OR(LEFT(N42,2)="L4",LEFT(N42,2)="L5"),AND(P42&lt;&gt;"",P42&lt;&gt;"N/A")),"CONFORME - Control Efectivo ISO 27001","OBSERVACIÓN - Revisar Controles")))</f>
        <v/>
      </c>
    </row>
    <row r="43">
      <c r="A43">
        <f>IF(INVENTARIO!A43="","",INVENTARIO!A43)</f>
        <v/>
      </c>
      <c r="B43">
        <f>IF(INVENTARIO!E43="","",INVENTARIO!E43)</f>
        <v/>
      </c>
      <c r="C43">
        <f>IF(INVENTARIO!F43="","",INVENTARIO!F43)</f>
        <v/>
      </c>
      <c r="D43">
        <f>IF(INVENTARIO!H43="","",INVENTARIO!H43)</f>
        <v/>
      </c>
      <c r="E43">
        <f>IF(INVENTARIO!I43="","",INVENTARIO!I43)</f>
        <v/>
      </c>
      <c r="F43">
        <f>IF(INVENTARIO!N43="","",INVENTARIO!N43)</f>
        <v/>
      </c>
      <c r="G43">
        <f>IF(INVENTARIO!P43="","",INVENTARIO!P43)</f>
        <v/>
      </c>
      <c r="H43">
        <f>IF(INVENTARIO!Q43="","",INVENTARIO!Q43)</f>
        <v/>
      </c>
      <c r="I43">
        <f>IF(INVENTARIO!R43="","",INVENTARIO!R43)</f>
        <v/>
      </c>
      <c r="J43">
        <f>IF(G43="PUBLICA(1)",1,IF(G43="USO INTERNO(2)",2,IF(G43="RESTRINGIDO(3)",3,0)))+IF(H43="BAJA(1)",1,IF(H43="MEDIA(2)",2,IF(H43="ALTA(3)",3,0)))+IF(I43="BAJA(1)",1,IF(I43="MEDIA(2)",2,IF(I43="ALTA(3)",3,0)))</f>
        <v/>
      </c>
      <c r="K43">
        <f>IF(J43="", "", IF(J43&gt;=8,"ALTA",IF(J43&gt;=6,"MEDIA","BAJA")))</f>
        <v/>
      </c>
      <c r="L43">
        <f>IF(INVENTARIO!Y43="","",INVENTARIO!Y43)</f>
        <v/>
      </c>
      <c r="M43">
        <f>IF(INVENTARIO!Z43="","",INVENTARIO!Z43)</f>
        <v/>
      </c>
      <c r="N43">
        <f>IF(INVENTARIO!AA43="","",INVENTARIO!AA43)</f>
        <v/>
      </c>
      <c r="O43">
        <f>IF(INVENTARIO!AB43="","",INVENTARIO!AB43)</f>
        <v/>
      </c>
      <c r="P43">
        <f>IF(INVENTARIO!AC43="","",INVENTARIO!AC43)</f>
        <v/>
      </c>
      <c r="Q43">
        <f>IF(AND(K43="",N43="",L43=""),"",IF(AND((K43="ALTA"),OR(LEFT(N43,2)="L0",LEFT(N43,2)="L1",L43="No Iniciado")),"CRÍTICO - Incumplimiento Normativo SEPS",IF(AND(OR(LEFT(N43,2)="L4",LEFT(N43,2)="L5"),AND(P43&lt;&gt;"",P43&lt;&gt;"N/A")),"CONFORME - Control Efectivo ISO 27001","OBSERVACIÓN - Revisar Controles")))</f>
        <v/>
      </c>
    </row>
    <row r="44">
      <c r="A44">
        <f>IF(INVENTARIO!A44="","",INVENTARIO!A44)</f>
        <v/>
      </c>
      <c r="B44">
        <f>IF(INVENTARIO!E44="","",INVENTARIO!E44)</f>
        <v/>
      </c>
      <c r="C44">
        <f>IF(INVENTARIO!F44="","",INVENTARIO!F44)</f>
        <v/>
      </c>
      <c r="D44">
        <f>IF(INVENTARIO!H44="","",INVENTARIO!H44)</f>
        <v/>
      </c>
      <c r="E44">
        <f>IF(INVENTARIO!I44="","",INVENTARIO!I44)</f>
        <v/>
      </c>
      <c r="F44">
        <f>IF(INVENTARIO!N44="","",INVENTARIO!N44)</f>
        <v/>
      </c>
      <c r="G44">
        <f>IF(INVENTARIO!P44="","",INVENTARIO!P44)</f>
        <v/>
      </c>
      <c r="H44">
        <f>IF(INVENTARIO!Q44="","",INVENTARIO!Q44)</f>
        <v/>
      </c>
      <c r="I44">
        <f>IF(INVENTARIO!R44="","",INVENTARIO!R44)</f>
        <v/>
      </c>
      <c r="J44">
        <f>IF(G44="PUBLICA(1)",1,IF(G44="USO INTERNO(2)",2,IF(G44="RESTRINGIDO(3)",3,0)))+IF(H44="BAJA(1)",1,IF(H44="MEDIA(2)",2,IF(H44="ALTA(3)",3,0)))+IF(I44="BAJA(1)",1,IF(I44="MEDIA(2)",2,IF(I44="ALTA(3)",3,0)))</f>
        <v/>
      </c>
      <c r="K44">
        <f>IF(J44="", "", IF(J44&gt;=8,"ALTA",IF(J44&gt;=6,"MEDIA","BAJA")))</f>
        <v/>
      </c>
      <c r="L44">
        <f>IF(INVENTARIO!Y44="","",INVENTARIO!Y44)</f>
        <v/>
      </c>
      <c r="M44">
        <f>IF(INVENTARIO!Z44="","",INVENTARIO!Z44)</f>
        <v/>
      </c>
      <c r="N44">
        <f>IF(INVENTARIO!AA44="","",INVENTARIO!AA44)</f>
        <v/>
      </c>
      <c r="O44">
        <f>IF(INVENTARIO!AB44="","",INVENTARIO!AB44)</f>
        <v/>
      </c>
      <c r="P44">
        <f>IF(INVENTARIO!AC44="","",INVENTARIO!AC44)</f>
        <v/>
      </c>
      <c r="Q44">
        <f>IF(AND(K44="",N44="",L44=""),"",IF(AND((K44="ALTA"),OR(LEFT(N44,2)="L0",LEFT(N44,2)="L1",L44="No Iniciado")),"CRÍTICO - Incumplimiento Normativo SEPS",IF(AND(OR(LEFT(N44,2)="L4",LEFT(N44,2)="L5"),AND(P44&lt;&gt;"",P44&lt;&gt;"N/A")),"CONFORME - Control Efectivo ISO 27001","OBSERVACIÓN - Revisar Controles")))</f>
        <v/>
      </c>
    </row>
    <row r="45">
      <c r="A45">
        <f>IF(INVENTARIO!A45="","",INVENTARIO!A45)</f>
        <v/>
      </c>
      <c r="B45">
        <f>IF(INVENTARIO!E45="","",INVENTARIO!E45)</f>
        <v/>
      </c>
      <c r="C45">
        <f>IF(INVENTARIO!F45="","",INVENTARIO!F45)</f>
        <v/>
      </c>
      <c r="D45">
        <f>IF(INVENTARIO!H45="","",INVENTARIO!H45)</f>
        <v/>
      </c>
      <c r="E45">
        <f>IF(INVENTARIO!I45="","",INVENTARIO!I45)</f>
        <v/>
      </c>
      <c r="F45">
        <f>IF(INVENTARIO!N45="","",INVENTARIO!N45)</f>
        <v/>
      </c>
      <c r="G45">
        <f>IF(INVENTARIO!P45="","",INVENTARIO!P45)</f>
        <v/>
      </c>
      <c r="H45">
        <f>IF(INVENTARIO!Q45="","",INVENTARIO!Q45)</f>
        <v/>
      </c>
      <c r="I45">
        <f>IF(INVENTARIO!R45="","",INVENTARIO!R45)</f>
        <v/>
      </c>
      <c r="J45">
        <f>IF(G45="PUBLICA(1)",1,IF(G45="USO INTERNO(2)",2,IF(G45="RESTRINGIDO(3)",3,0)))+IF(H45="BAJA(1)",1,IF(H45="MEDIA(2)",2,IF(H45="ALTA(3)",3,0)))+IF(I45="BAJA(1)",1,IF(I45="MEDIA(2)",2,IF(I45="ALTA(3)",3,0)))</f>
        <v/>
      </c>
      <c r="K45">
        <f>IF(J45="", "", IF(J45&gt;=8,"ALTA",IF(J45&gt;=6,"MEDIA","BAJA")))</f>
        <v/>
      </c>
      <c r="L45">
        <f>IF(INVENTARIO!Y45="","",INVENTARIO!Y45)</f>
        <v/>
      </c>
      <c r="M45">
        <f>IF(INVENTARIO!Z45="","",INVENTARIO!Z45)</f>
        <v/>
      </c>
      <c r="N45">
        <f>IF(INVENTARIO!AA45="","",INVENTARIO!AA45)</f>
        <v/>
      </c>
      <c r="O45">
        <f>IF(INVENTARIO!AB45="","",INVENTARIO!AB45)</f>
        <v/>
      </c>
      <c r="P45">
        <f>IF(INVENTARIO!AC45="","",INVENTARIO!AC45)</f>
        <v/>
      </c>
      <c r="Q45">
        <f>IF(AND(K45="",N45="",L45=""),"",IF(AND((K45="ALTA"),OR(LEFT(N45,2)="L0",LEFT(N45,2)="L1",L45="No Iniciado")),"CRÍTICO - Incumplimiento Normativo SEPS",IF(AND(OR(LEFT(N45,2)="L4",LEFT(N45,2)="L5"),AND(P45&lt;&gt;"",P45&lt;&gt;"N/A")),"CONFORME - Control Efectivo ISO 27001","OBSERVACIÓN - Revisar Controles")))</f>
        <v/>
      </c>
    </row>
    <row r="46">
      <c r="A46">
        <f>IF(INVENTARIO!A46="","",INVENTARIO!A46)</f>
        <v/>
      </c>
      <c r="B46">
        <f>IF(INVENTARIO!E46="","",INVENTARIO!E46)</f>
        <v/>
      </c>
      <c r="C46">
        <f>IF(INVENTARIO!F46="","",INVENTARIO!F46)</f>
        <v/>
      </c>
      <c r="D46">
        <f>IF(INVENTARIO!H46="","",INVENTARIO!H46)</f>
        <v/>
      </c>
      <c r="E46">
        <f>IF(INVENTARIO!I46="","",INVENTARIO!I46)</f>
        <v/>
      </c>
      <c r="F46">
        <f>IF(INVENTARIO!N46="","",INVENTARIO!N46)</f>
        <v/>
      </c>
      <c r="G46">
        <f>IF(INVENTARIO!P46="","",INVENTARIO!P46)</f>
        <v/>
      </c>
      <c r="H46">
        <f>IF(INVENTARIO!Q46="","",INVENTARIO!Q46)</f>
        <v/>
      </c>
      <c r="I46">
        <f>IF(INVENTARIO!R46="","",INVENTARIO!R46)</f>
        <v/>
      </c>
      <c r="J46">
        <f>IF(G46="PUBLICA(1)",1,IF(G46="USO INTERNO(2)",2,IF(G46="RESTRINGIDO(3)",3,0)))+IF(H46="BAJA(1)",1,IF(H46="MEDIA(2)",2,IF(H46="ALTA(3)",3,0)))+IF(I46="BAJA(1)",1,IF(I46="MEDIA(2)",2,IF(I46="ALTA(3)",3,0)))</f>
        <v/>
      </c>
      <c r="K46">
        <f>IF(J46="", "", IF(J46&gt;=8,"ALTA",IF(J46&gt;=6,"MEDIA","BAJA")))</f>
        <v/>
      </c>
      <c r="L46">
        <f>IF(INVENTARIO!Y46="","",INVENTARIO!Y46)</f>
        <v/>
      </c>
      <c r="M46">
        <f>IF(INVENTARIO!Z46="","",INVENTARIO!Z46)</f>
        <v/>
      </c>
      <c r="N46">
        <f>IF(INVENTARIO!AA46="","",INVENTARIO!AA46)</f>
        <v/>
      </c>
      <c r="O46">
        <f>IF(INVENTARIO!AB46="","",INVENTARIO!AB46)</f>
        <v/>
      </c>
      <c r="P46">
        <f>IF(INVENTARIO!AC46="","",INVENTARIO!AC46)</f>
        <v/>
      </c>
      <c r="Q46">
        <f>IF(AND(K46="",N46="",L46=""),"",IF(AND((K46="ALTA"),OR(LEFT(N46,2)="L0",LEFT(N46,2)="L1",L46="No Iniciado")),"CRÍTICO - Incumplimiento Normativo SEPS",IF(AND(OR(LEFT(N46,2)="L4",LEFT(N46,2)="L5"),AND(P46&lt;&gt;"",P46&lt;&gt;"N/A")),"CONFORME - Control Efectivo ISO 27001","OBSERVACIÓN - Revisar Controles")))</f>
        <v/>
      </c>
    </row>
    <row r="47">
      <c r="A47">
        <f>IF(INVENTARIO!A47="","",INVENTARIO!A47)</f>
        <v/>
      </c>
      <c r="B47">
        <f>IF(INVENTARIO!E47="","",INVENTARIO!E47)</f>
        <v/>
      </c>
      <c r="C47">
        <f>IF(INVENTARIO!F47="","",INVENTARIO!F47)</f>
        <v/>
      </c>
      <c r="D47">
        <f>IF(INVENTARIO!H47="","",INVENTARIO!H47)</f>
        <v/>
      </c>
      <c r="E47">
        <f>IF(INVENTARIO!I47="","",INVENTARIO!I47)</f>
        <v/>
      </c>
      <c r="F47">
        <f>IF(INVENTARIO!N47="","",INVENTARIO!N47)</f>
        <v/>
      </c>
      <c r="G47">
        <f>IF(INVENTARIO!P47="","",INVENTARIO!P47)</f>
        <v/>
      </c>
      <c r="H47">
        <f>IF(INVENTARIO!Q47="","",INVENTARIO!Q47)</f>
        <v/>
      </c>
      <c r="I47">
        <f>IF(INVENTARIO!R47="","",INVENTARIO!R47)</f>
        <v/>
      </c>
      <c r="J47">
        <f>IF(G47="PUBLICA(1)",1,IF(G47="USO INTERNO(2)",2,IF(G47="RESTRINGIDO(3)",3,0)))+IF(H47="BAJA(1)",1,IF(H47="MEDIA(2)",2,IF(H47="ALTA(3)",3,0)))+IF(I47="BAJA(1)",1,IF(I47="MEDIA(2)",2,IF(I47="ALTA(3)",3,0)))</f>
        <v/>
      </c>
      <c r="K47">
        <f>IF(J47="", "", IF(J47&gt;=8,"ALTA",IF(J47&gt;=6,"MEDIA","BAJA")))</f>
        <v/>
      </c>
      <c r="L47">
        <f>IF(INVENTARIO!Y47="","",INVENTARIO!Y47)</f>
        <v/>
      </c>
      <c r="M47">
        <f>IF(INVENTARIO!Z47="","",INVENTARIO!Z47)</f>
        <v/>
      </c>
      <c r="N47">
        <f>IF(INVENTARIO!AA47="","",INVENTARIO!AA47)</f>
        <v/>
      </c>
      <c r="O47">
        <f>IF(INVENTARIO!AB47="","",INVENTARIO!AB47)</f>
        <v/>
      </c>
      <c r="P47">
        <f>IF(INVENTARIO!AC47="","",INVENTARIO!AC47)</f>
        <v/>
      </c>
      <c r="Q47">
        <f>IF(AND(K47="",N47="",L47=""),"",IF(AND((K47="ALTA"),OR(LEFT(N47,2)="L0",LEFT(N47,2)="L1",L47="No Iniciado")),"CRÍTICO - Incumplimiento Normativo SEPS",IF(AND(OR(LEFT(N47,2)="L4",LEFT(N47,2)="L5"),AND(P47&lt;&gt;"",P47&lt;&gt;"N/A")),"CONFORME - Control Efectivo ISO 27001","OBSERVACIÓN - Revisar Controles")))</f>
        <v/>
      </c>
    </row>
    <row r="48">
      <c r="A48">
        <f>IF(INVENTARIO!A48="","",INVENTARIO!A48)</f>
        <v/>
      </c>
      <c r="B48">
        <f>IF(INVENTARIO!E48="","",INVENTARIO!E48)</f>
        <v/>
      </c>
      <c r="C48">
        <f>IF(INVENTARIO!F48="","",INVENTARIO!F48)</f>
        <v/>
      </c>
      <c r="D48">
        <f>IF(INVENTARIO!H48="","",INVENTARIO!H48)</f>
        <v/>
      </c>
      <c r="E48">
        <f>IF(INVENTARIO!I48="","",INVENTARIO!I48)</f>
        <v/>
      </c>
      <c r="F48">
        <f>IF(INVENTARIO!N48="","",INVENTARIO!N48)</f>
        <v/>
      </c>
      <c r="G48">
        <f>IF(INVENTARIO!P48="","",INVENTARIO!P48)</f>
        <v/>
      </c>
      <c r="H48">
        <f>IF(INVENTARIO!Q48="","",INVENTARIO!Q48)</f>
        <v/>
      </c>
      <c r="I48">
        <f>IF(INVENTARIO!R48="","",INVENTARIO!R48)</f>
        <v/>
      </c>
      <c r="J48">
        <f>IF(G48="PUBLICA(1)",1,IF(G48="USO INTERNO(2)",2,IF(G48="RESTRINGIDO(3)",3,0)))+IF(H48="BAJA(1)",1,IF(H48="MEDIA(2)",2,IF(H48="ALTA(3)",3,0)))+IF(I48="BAJA(1)",1,IF(I48="MEDIA(2)",2,IF(I48="ALTA(3)",3,0)))</f>
        <v/>
      </c>
      <c r="K48">
        <f>IF(J48="", "", IF(J48&gt;=8,"ALTA",IF(J48&gt;=6,"MEDIA","BAJA")))</f>
        <v/>
      </c>
      <c r="L48">
        <f>IF(INVENTARIO!Y48="","",INVENTARIO!Y48)</f>
        <v/>
      </c>
      <c r="M48">
        <f>IF(INVENTARIO!Z48="","",INVENTARIO!Z48)</f>
        <v/>
      </c>
      <c r="N48">
        <f>IF(INVENTARIO!AA48="","",INVENTARIO!AA48)</f>
        <v/>
      </c>
      <c r="O48">
        <f>IF(INVENTARIO!AB48="","",INVENTARIO!AB48)</f>
        <v/>
      </c>
      <c r="P48">
        <f>IF(INVENTARIO!AC48="","",INVENTARIO!AC48)</f>
        <v/>
      </c>
      <c r="Q48">
        <f>IF(AND(K48="",N48="",L48=""),"",IF(AND((K48="ALTA"),OR(LEFT(N48,2)="L0",LEFT(N48,2)="L1",L48="No Iniciado")),"CRÍTICO - Incumplimiento Normativo SEPS",IF(AND(OR(LEFT(N48,2)="L4",LEFT(N48,2)="L5"),AND(P48&lt;&gt;"",P48&lt;&gt;"N/A")),"CONFORME - Control Efectivo ISO 27001","OBSERVACIÓN - Revisar Controles")))</f>
        <v/>
      </c>
    </row>
    <row r="49">
      <c r="A49">
        <f>IF(INVENTARIO!A49="","",INVENTARIO!A49)</f>
        <v/>
      </c>
      <c r="B49">
        <f>IF(INVENTARIO!E49="","",INVENTARIO!E49)</f>
        <v/>
      </c>
      <c r="C49">
        <f>IF(INVENTARIO!F49="","",INVENTARIO!F49)</f>
        <v/>
      </c>
      <c r="D49">
        <f>IF(INVENTARIO!H49="","",INVENTARIO!H49)</f>
        <v/>
      </c>
      <c r="E49">
        <f>IF(INVENTARIO!I49="","",INVENTARIO!I49)</f>
        <v/>
      </c>
      <c r="F49">
        <f>IF(INVENTARIO!N49="","",INVENTARIO!N49)</f>
        <v/>
      </c>
      <c r="G49">
        <f>IF(INVENTARIO!P49="","",INVENTARIO!P49)</f>
        <v/>
      </c>
      <c r="H49">
        <f>IF(INVENTARIO!Q49="","",INVENTARIO!Q49)</f>
        <v/>
      </c>
      <c r="I49">
        <f>IF(INVENTARIO!R49="","",INVENTARIO!R49)</f>
        <v/>
      </c>
      <c r="J49">
        <f>IF(G49="PUBLICA(1)",1,IF(G49="USO INTERNO(2)",2,IF(G49="RESTRINGIDO(3)",3,0)))+IF(H49="BAJA(1)",1,IF(H49="MEDIA(2)",2,IF(H49="ALTA(3)",3,0)))+IF(I49="BAJA(1)",1,IF(I49="MEDIA(2)",2,IF(I49="ALTA(3)",3,0)))</f>
        <v/>
      </c>
      <c r="K49">
        <f>IF(J49="", "", IF(J49&gt;=8,"ALTA",IF(J49&gt;=6,"MEDIA","BAJA")))</f>
        <v/>
      </c>
      <c r="L49">
        <f>IF(INVENTARIO!Y49="","",INVENTARIO!Y49)</f>
        <v/>
      </c>
      <c r="M49">
        <f>IF(INVENTARIO!Z49="","",INVENTARIO!Z49)</f>
        <v/>
      </c>
      <c r="N49">
        <f>IF(INVENTARIO!AA49="","",INVENTARIO!AA49)</f>
        <v/>
      </c>
      <c r="O49">
        <f>IF(INVENTARIO!AB49="","",INVENTARIO!AB49)</f>
        <v/>
      </c>
      <c r="P49">
        <f>IF(INVENTARIO!AC49="","",INVENTARIO!AC49)</f>
        <v/>
      </c>
      <c r="Q49">
        <f>IF(AND(K49="",N49="",L49=""),"",IF(AND((K49="ALTA"),OR(LEFT(N49,2)="L0",LEFT(N49,2)="L1",L49="No Iniciado")),"CRÍTICO - Incumplimiento Normativo SEPS",IF(AND(OR(LEFT(N49,2)="L4",LEFT(N49,2)="L5"),AND(P49&lt;&gt;"",P49&lt;&gt;"N/A")),"CONFORME - Control Efectivo ISO 27001","OBSERVACIÓN - Revisar Controles")))</f>
        <v/>
      </c>
    </row>
    <row r="50">
      <c r="A50">
        <f>IF(INVENTARIO!A50="","",INVENTARIO!A50)</f>
        <v/>
      </c>
      <c r="B50">
        <f>IF(INVENTARIO!E50="","",INVENTARIO!E50)</f>
        <v/>
      </c>
      <c r="C50">
        <f>IF(INVENTARIO!F50="","",INVENTARIO!F50)</f>
        <v/>
      </c>
      <c r="D50">
        <f>IF(INVENTARIO!H50="","",INVENTARIO!H50)</f>
        <v/>
      </c>
      <c r="E50">
        <f>IF(INVENTARIO!I50="","",INVENTARIO!I50)</f>
        <v/>
      </c>
      <c r="F50">
        <f>IF(INVENTARIO!N50="","",INVENTARIO!N50)</f>
        <v/>
      </c>
      <c r="G50">
        <f>IF(INVENTARIO!P50="","",INVENTARIO!P50)</f>
        <v/>
      </c>
      <c r="H50">
        <f>IF(INVENTARIO!Q50="","",INVENTARIO!Q50)</f>
        <v/>
      </c>
      <c r="I50">
        <f>IF(INVENTARIO!R50="","",INVENTARIO!R50)</f>
        <v/>
      </c>
      <c r="J50">
        <f>IF(G50="PUBLICA(1)",1,IF(G50="USO INTERNO(2)",2,IF(G50="RESTRINGIDO(3)",3,0)))+IF(H50="BAJA(1)",1,IF(H50="MEDIA(2)",2,IF(H50="ALTA(3)",3,0)))+IF(I50="BAJA(1)",1,IF(I50="MEDIA(2)",2,IF(I50="ALTA(3)",3,0)))</f>
        <v/>
      </c>
      <c r="K50">
        <f>IF(J50="", "", IF(J50&gt;=8,"ALTA",IF(J50&gt;=6,"MEDIA","BAJA")))</f>
        <v/>
      </c>
      <c r="L50">
        <f>IF(INVENTARIO!Y50="","",INVENTARIO!Y50)</f>
        <v/>
      </c>
      <c r="M50">
        <f>IF(INVENTARIO!Z50="","",INVENTARIO!Z50)</f>
        <v/>
      </c>
      <c r="N50">
        <f>IF(INVENTARIO!AA50="","",INVENTARIO!AA50)</f>
        <v/>
      </c>
      <c r="O50">
        <f>IF(INVENTARIO!AB50="","",INVENTARIO!AB50)</f>
        <v/>
      </c>
      <c r="P50">
        <f>IF(INVENTARIO!AC50="","",INVENTARIO!AC50)</f>
        <v/>
      </c>
      <c r="Q50">
        <f>IF(AND(K50="",N50="",L50=""),"",IF(AND((K50="ALTA"),OR(LEFT(N50,2)="L0",LEFT(N50,2)="L1",L50="No Iniciado")),"CRÍTICO - Incumplimiento Normativo SEPS",IF(AND(OR(LEFT(N50,2)="L4",LEFT(N50,2)="L5"),AND(P50&lt;&gt;"",P50&lt;&gt;"N/A")),"CONFORME - Control Efectivo ISO 27001","OBSERVACIÓN - Revisar Controles")))</f>
        <v/>
      </c>
    </row>
    <row r="51">
      <c r="A51">
        <f>IF(INVENTARIO!A51="","",INVENTARIO!A51)</f>
        <v/>
      </c>
      <c r="B51">
        <f>IF(INVENTARIO!E51="","",INVENTARIO!E51)</f>
        <v/>
      </c>
      <c r="C51">
        <f>IF(INVENTARIO!F51="","",INVENTARIO!F51)</f>
        <v/>
      </c>
      <c r="D51">
        <f>IF(INVENTARIO!H51="","",INVENTARIO!H51)</f>
        <v/>
      </c>
      <c r="E51">
        <f>IF(INVENTARIO!I51="","",INVENTARIO!I51)</f>
        <v/>
      </c>
      <c r="F51">
        <f>IF(INVENTARIO!N51="","",INVENTARIO!N51)</f>
        <v/>
      </c>
      <c r="G51">
        <f>IF(INVENTARIO!P51="","",INVENTARIO!P51)</f>
        <v/>
      </c>
      <c r="H51">
        <f>IF(INVENTARIO!Q51="","",INVENTARIO!Q51)</f>
        <v/>
      </c>
      <c r="I51">
        <f>IF(INVENTARIO!R51="","",INVENTARIO!R51)</f>
        <v/>
      </c>
      <c r="J51">
        <f>IF(G51="PUBLICA(1)",1,IF(G51="USO INTERNO(2)",2,IF(G51="RESTRINGIDO(3)",3,0)))+IF(H51="BAJA(1)",1,IF(H51="MEDIA(2)",2,IF(H51="ALTA(3)",3,0)))+IF(I51="BAJA(1)",1,IF(I51="MEDIA(2)",2,IF(I51="ALTA(3)",3,0)))</f>
        <v/>
      </c>
      <c r="K51">
        <f>IF(J51="", "", IF(J51&gt;=8,"ALTA",IF(J51&gt;=6,"MEDIA","BAJA")))</f>
        <v/>
      </c>
      <c r="L51">
        <f>IF(INVENTARIO!Y51="","",INVENTARIO!Y51)</f>
        <v/>
      </c>
      <c r="M51">
        <f>IF(INVENTARIO!Z51="","",INVENTARIO!Z51)</f>
        <v/>
      </c>
      <c r="N51">
        <f>IF(INVENTARIO!AA51="","",INVENTARIO!AA51)</f>
        <v/>
      </c>
      <c r="O51">
        <f>IF(INVENTARIO!AB51="","",INVENTARIO!AB51)</f>
        <v/>
      </c>
      <c r="P51">
        <f>IF(INVENTARIO!AC51="","",INVENTARIO!AC51)</f>
        <v/>
      </c>
      <c r="Q51">
        <f>IF(AND(K51="",N51="",L51=""),"",IF(AND((K51="ALTA"),OR(LEFT(N51,2)="L0",LEFT(N51,2)="L1",L51="No Iniciado")),"CRÍTICO - Incumplimiento Normativo SEPS",IF(AND(OR(LEFT(N51,2)="L4",LEFT(N51,2)="L5"),AND(P51&lt;&gt;"",P51&lt;&gt;"N/A")),"CONFORME - Control Efectivo ISO 27001","OBSERVACIÓN - Revisar Controles")))</f>
        <v/>
      </c>
    </row>
    <row r="52">
      <c r="A52">
        <f>IF(INVENTARIO!A52="","",INVENTARIO!A52)</f>
        <v/>
      </c>
      <c r="B52">
        <f>IF(INVENTARIO!E52="","",INVENTARIO!E52)</f>
        <v/>
      </c>
      <c r="C52">
        <f>IF(INVENTARIO!F52="","",INVENTARIO!F52)</f>
        <v/>
      </c>
      <c r="D52">
        <f>IF(INVENTARIO!H52="","",INVENTARIO!H52)</f>
        <v/>
      </c>
      <c r="E52">
        <f>IF(INVENTARIO!I52="","",INVENTARIO!I52)</f>
        <v/>
      </c>
      <c r="F52">
        <f>IF(INVENTARIO!N52="","",INVENTARIO!N52)</f>
        <v/>
      </c>
      <c r="G52">
        <f>IF(INVENTARIO!P52="","",INVENTARIO!P52)</f>
        <v/>
      </c>
      <c r="H52">
        <f>IF(INVENTARIO!Q52="","",INVENTARIO!Q52)</f>
        <v/>
      </c>
      <c r="I52">
        <f>IF(INVENTARIO!R52="","",INVENTARIO!R52)</f>
        <v/>
      </c>
      <c r="J52">
        <f>IF(G52="PUBLICA(1)",1,IF(G52="USO INTERNO(2)",2,IF(G52="RESTRINGIDO(3)",3,0)))+IF(H52="BAJA(1)",1,IF(H52="MEDIA(2)",2,IF(H52="ALTA(3)",3,0)))+IF(I52="BAJA(1)",1,IF(I52="MEDIA(2)",2,IF(I52="ALTA(3)",3,0)))</f>
        <v/>
      </c>
      <c r="K52">
        <f>IF(J52="", "", IF(J52&gt;=8,"ALTA",IF(J52&gt;=6,"MEDIA","BAJA")))</f>
        <v/>
      </c>
      <c r="L52">
        <f>IF(INVENTARIO!Y52="","",INVENTARIO!Y52)</f>
        <v/>
      </c>
      <c r="M52">
        <f>IF(INVENTARIO!Z52="","",INVENTARIO!Z52)</f>
        <v/>
      </c>
      <c r="N52">
        <f>IF(INVENTARIO!AA52="","",INVENTARIO!AA52)</f>
        <v/>
      </c>
      <c r="O52">
        <f>IF(INVENTARIO!AB52="","",INVENTARIO!AB52)</f>
        <v/>
      </c>
      <c r="P52">
        <f>IF(INVENTARIO!AC52="","",INVENTARIO!AC52)</f>
        <v/>
      </c>
      <c r="Q52">
        <f>IF(AND(K52="",N52="",L52=""),"",IF(AND((K52="ALTA"),OR(LEFT(N52,2)="L0",LEFT(N52,2)="L1",L52="No Iniciado")),"CRÍTICO - Incumplimiento Normativo SEPS",IF(AND(OR(LEFT(N52,2)="L4",LEFT(N52,2)="L5"),AND(P52&lt;&gt;"",P52&lt;&gt;"N/A")),"CONFORME - Control Efectivo ISO 27001","OBSERVACIÓN - Revisar Controles")))</f>
        <v/>
      </c>
    </row>
    <row r="53">
      <c r="A53">
        <f>IF(INVENTARIO!A53="","",INVENTARIO!A53)</f>
        <v/>
      </c>
      <c r="B53">
        <f>IF(INVENTARIO!E53="","",INVENTARIO!E53)</f>
        <v/>
      </c>
      <c r="C53">
        <f>IF(INVENTARIO!F53="","",INVENTARIO!F53)</f>
        <v/>
      </c>
      <c r="D53">
        <f>IF(INVENTARIO!H53="","",INVENTARIO!H53)</f>
        <v/>
      </c>
      <c r="E53">
        <f>IF(INVENTARIO!I53="","",INVENTARIO!I53)</f>
        <v/>
      </c>
      <c r="F53">
        <f>IF(INVENTARIO!N53="","",INVENTARIO!N53)</f>
        <v/>
      </c>
      <c r="G53">
        <f>IF(INVENTARIO!P53="","",INVENTARIO!P53)</f>
        <v/>
      </c>
      <c r="H53">
        <f>IF(INVENTARIO!Q53="","",INVENTARIO!Q53)</f>
        <v/>
      </c>
      <c r="I53">
        <f>IF(INVENTARIO!R53="","",INVENTARIO!R53)</f>
        <v/>
      </c>
      <c r="J53">
        <f>IF(G53="PUBLICA(1)",1,IF(G53="USO INTERNO(2)",2,IF(G53="RESTRINGIDO(3)",3,0)))+IF(H53="BAJA(1)",1,IF(H53="MEDIA(2)",2,IF(H53="ALTA(3)",3,0)))+IF(I53="BAJA(1)",1,IF(I53="MEDIA(2)",2,IF(I53="ALTA(3)",3,0)))</f>
        <v/>
      </c>
      <c r="K53">
        <f>IF(J53="", "", IF(J53&gt;=8,"ALTA",IF(J53&gt;=6,"MEDIA","BAJA")))</f>
        <v/>
      </c>
      <c r="L53">
        <f>IF(INVENTARIO!Y53="","",INVENTARIO!Y53)</f>
        <v/>
      </c>
      <c r="M53">
        <f>IF(INVENTARIO!Z53="","",INVENTARIO!Z53)</f>
        <v/>
      </c>
      <c r="N53">
        <f>IF(INVENTARIO!AA53="","",INVENTARIO!AA53)</f>
        <v/>
      </c>
      <c r="O53">
        <f>IF(INVENTARIO!AB53="","",INVENTARIO!AB53)</f>
        <v/>
      </c>
      <c r="P53">
        <f>IF(INVENTARIO!AC53="","",INVENTARIO!AC53)</f>
        <v/>
      </c>
      <c r="Q53">
        <f>IF(AND(K53="",N53="",L53=""),"",IF(AND((K53="ALTA"),OR(LEFT(N53,2)="L0",LEFT(N53,2)="L1",L53="No Iniciado")),"CRÍTICO - Incumplimiento Normativo SEPS",IF(AND(OR(LEFT(N53,2)="L4",LEFT(N53,2)="L5"),AND(P53&lt;&gt;"",P53&lt;&gt;"N/A")),"CONFORME - Control Efectivo ISO 27001","OBSERVACIÓN - Revisar Controles")))</f>
        <v/>
      </c>
    </row>
    <row r="54">
      <c r="A54">
        <f>IF(INVENTARIO!A54="","",INVENTARIO!A54)</f>
        <v/>
      </c>
      <c r="B54">
        <f>IF(INVENTARIO!E54="","",INVENTARIO!E54)</f>
        <v/>
      </c>
      <c r="C54">
        <f>IF(INVENTARIO!F54="","",INVENTARIO!F54)</f>
        <v/>
      </c>
      <c r="D54">
        <f>IF(INVENTARIO!H54="","",INVENTARIO!H54)</f>
        <v/>
      </c>
      <c r="E54">
        <f>IF(INVENTARIO!I54="","",INVENTARIO!I54)</f>
        <v/>
      </c>
      <c r="F54">
        <f>IF(INVENTARIO!N54="","",INVENTARIO!N54)</f>
        <v/>
      </c>
      <c r="G54">
        <f>IF(INVENTARIO!P54="","",INVENTARIO!P54)</f>
        <v/>
      </c>
      <c r="H54">
        <f>IF(INVENTARIO!Q54="","",INVENTARIO!Q54)</f>
        <v/>
      </c>
      <c r="I54">
        <f>IF(INVENTARIO!R54="","",INVENTARIO!R54)</f>
        <v/>
      </c>
      <c r="J54">
        <f>IF(G54="PUBLICA(1)",1,IF(G54="USO INTERNO(2)",2,IF(G54="RESTRINGIDO(3)",3,0)))+IF(H54="BAJA(1)",1,IF(H54="MEDIA(2)",2,IF(H54="ALTA(3)",3,0)))+IF(I54="BAJA(1)",1,IF(I54="MEDIA(2)",2,IF(I54="ALTA(3)",3,0)))</f>
        <v/>
      </c>
      <c r="K54">
        <f>IF(J54="", "", IF(J54&gt;=8,"ALTA",IF(J54&gt;=6,"MEDIA","BAJA")))</f>
        <v/>
      </c>
      <c r="L54">
        <f>IF(INVENTARIO!Y54="","",INVENTARIO!Y54)</f>
        <v/>
      </c>
      <c r="M54">
        <f>IF(INVENTARIO!Z54="","",INVENTARIO!Z54)</f>
        <v/>
      </c>
      <c r="N54">
        <f>IF(INVENTARIO!AA54="","",INVENTARIO!AA54)</f>
        <v/>
      </c>
      <c r="O54">
        <f>IF(INVENTARIO!AB54="","",INVENTARIO!AB54)</f>
        <v/>
      </c>
      <c r="P54">
        <f>IF(INVENTARIO!AC54="","",INVENTARIO!AC54)</f>
        <v/>
      </c>
      <c r="Q54">
        <f>IF(AND(K54="",N54="",L54=""),"",IF(AND((K54="ALTA"),OR(LEFT(N54,2)="L0",LEFT(N54,2)="L1",L54="No Iniciado")),"CRÍTICO - Incumplimiento Normativo SEPS",IF(AND(OR(LEFT(N54,2)="L4",LEFT(N54,2)="L5"),AND(P54&lt;&gt;"",P54&lt;&gt;"N/A")),"CONFORME - Control Efectivo ISO 27001","OBSERVACIÓN - Revisar Controles")))</f>
        <v/>
      </c>
    </row>
    <row r="55">
      <c r="A55">
        <f>IF(INVENTARIO!A55="","",INVENTARIO!A55)</f>
        <v/>
      </c>
      <c r="B55">
        <f>IF(INVENTARIO!E55="","",INVENTARIO!E55)</f>
        <v/>
      </c>
      <c r="C55">
        <f>IF(INVENTARIO!F55="","",INVENTARIO!F55)</f>
        <v/>
      </c>
      <c r="D55">
        <f>IF(INVENTARIO!H55="","",INVENTARIO!H55)</f>
        <v/>
      </c>
      <c r="E55">
        <f>IF(INVENTARIO!I55="","",INVENTARIO!I55)</f>
        <v/>
      </c>
      <c r="F55">
        <f>IF(INVENTARIO!N55="","",INVENTARIO!N55)</f>
        <v/>
      </c>
      <c r="G55">
        <f>IF(INVENTARIO!P55="","",INVENTARIO!P55)</f>
        <v/>
      </c>
      <c r="H55">
        <f>IF(INVENTARIO!Q55="","",INVENTARIO!Q55)</f>
        <v/>
      </c>
      <c r="I55">
        <f>IF(INVENTARIO!R55="","",INVENTARIO!R55)</f>
        <v/>
      </c>
      <c r="J55">
        <f>IF(G55="PUBLICA(1)",1,IF(G55="USO INTERNO(2)",2,IF(G55="RESTRINGIDO(3)",3,0)))+IF(H55="BAJA(1)",1,IF(H55="MEDIA(2)",2,IF(H55="ALTA(3)",3,0)))+IF(I55="BAJA(1)",1,IF(I55="MEDIA(2)",2,IF(I55="ALTA(3)",3,0)))</f>
        <v/>
      </c>
      <c r="K55">
        <f>IF(J55="", "", IF(J55&gt;=8,"ALTA",IF(J55&gt;=6,"MEDIA","BAJA")))</f>
        <v/>
      </c>
      <c r="L55">
        <f>IF(INVENTARIO!Y55="","",INVENTARIO!Y55)</f>
        <v/>
      </c>
      <c r="M55">
        <f>IF(INVENTARIO!Z55="","",INVENTARIO!Z55)</f>
        <v/>
      </c>
      <c r="N55">
        <f>IF(INVENTARIO!AA55="","",INVENTARIO!AA55)</f>
        <v/>
      </c>
      <c r="O55">
        <f>IF(INVENTARIO!AB55="","",INVENTARIO!AB55)</f>
        <v/>
      </c>
      <c r="P55">
        <f>IF(INVENTARIO!AC55="","",INVENTARIO!AC55)</f>
        <v/>
      </c>
      <c r="Q55">
        <f>IF(AND(K55="",N55="",L55=""),"",IF(AND((K55="ALTA"),OR(LEFT(N55,2)="L0",LEFT(N55,2)="L1",L55="No Iniciado")),"CRÍTICO - Incumplimiento Normativo SEPS",IF(AND(OR(LEFT(N55,2)="L4",LEFT(N55,2)="L5"),AND(P55&lt;&gt;"",P55&lt;&gt;"N/A")),"CONFORME - Control Efectivo ISO 27001","OBSERVACIÓN - Revisar Controles")))</f>
        <v/>
      </c>
    </row>
    <row r="56">
      <c r="A56">
        <f>IF(INVENTARIO!A56="","",INVENTARIO!A56)</f>
        <v/>
      </c>
      <c r="B56">
        <f>IF(INVENTARIO!E56="","",INVENTARIO!E56)</f>
        <v/>
      </c>
      <c r="C56">
        <f>IF(INVENTARIO!F56="","",INVENTARIO!F56)</f>
        <v/>
      </c>
      <c r="D56">
        <f>IF(INVENTARIO!H56="","",INVENTARIO!H56)</f>
        <v/>
      </c>
      <c r="E56">
        <f>IF(INVENTARIO!I56="","",INVENTARIO!I56)</f>
        <v/>
      </c>
      <c r="F56">
        <f>IF(INVENTARIO!N56="","",INVENTARIO!N56)</f>
        <v/>
      </c>
      <c r="G56">
        <f>IF(INVENTARIO!P56="","",INVENTARIO!P56)</f>
        <v/>
      </c>
      <c r="H56">
        <f>IF(INVENTARIO!Q56="","",INVENTARIO!Q56)</f>
        <v/>
      </c>
      <c r="I56">
        <f>IF(INVENTARIO!R56="","",INVENTARIO!R56)</f>
        <v/>
      </c>
      <c r="J56">
        <f>IF(G56="PUBLICA(1)",1,IF(G56="USO INTERNO(2)",2,IF(G56="RESTRINGIDO(3)",3,0)))+IF(H56="BAJA(1)",1,IF(H56="MEDIA(2)",2,IF(H56="ALTA(3)",3,0)))+IF(I56="BAJA(1)",1,IF(I56="MEDIA(2)",2,IF(I56="ALTA(3)",3,0)))</f>
        <v/>
      </c>
      <c r="K56">
        <f>IF(J56="", "", IF(J56&gt;=8,"ALTA",IF(J56&gt;=6,"MEDIA","BAJA")))</f>
        <v/>
      </c>
      <c r="L56">
        <f>IF(INVENTARIO!Y56="","",INVENTARIO!Y56)</f>
        <v/>
      </c>
      <c r="M56">
        <f>IF(INVENTARIO!Z56="","",INVENTARIO!Z56)</f>
        <v/>
      </c>
      <c r="N56">
        <f>IF(INVENTARIO!AA56="","",INVENTARIO!AA56)</f>
        <v/>
      </c>
      <c r="O56">
        <f>IF(INVENTARIO!AB56="","",INVENTARIO!AB56)</f>
        <v/>
      </c>
      <c r="P56">
        <f>IF(INVENTARIO!AC56="","",INVENTARIO!AC56)</f>
        <v/>
      </c>
      <c r="Q56">
        <f>IF(AND(K56="",N56="",L56=""),"",IF(AND((K56="ALTA"),OR(LEFT(N56,2)="L0",LEFT(N56,2)="L1",L56="No Iniciado")),"CRÍTICO - Incumplimiento Normativo SEPS",IF(AND(OR(LEFT(N56,2)="L4",LEFT(N56,2)="L5"),AND(P56&lt;&gt;"",P56&lt;&gt;"N/A")),"CONFORME - Control Efectivo ISO 27001","OBSERVACIÓN - Revisar Controles")))</f>
        <v/>
      </c>
    </row>
    <row r="57">
      <c r="A57">
        <f>IF(INVENTARIO!A57="","",INVENTARIO!A57)</f>
        <v/>
      </c>
      <c r="B57">
        <f>IF(INVENTARIO!E57="","",INVENTARIO!E57)</f>
        <v/>
      </c>
      <c r="C57">
        <f>IF(INVENTARIO!F57="","",INVENTARIO!F57)</f>
        <v/>
      </c>
      <c r="D57">
        <f>IF(INVENTARIO!H57="","",INVENTARIO!H57)</f>
        <v/>
      </c>
      <c r="E57">
        <f>IF(INVENTARIO!I57="","",INVENTARIO!I57)</f>
        <v/>
      </c>
      <c r="F57">
        <f>IF(INVENTARIO!N57="","",INVENTARIO!N57)</f>
        <v/>
      </c>
      <c r="G57">
        <f>IF(INVENTARIO!P57="","",INVENTARIO!P57)</f>
        <v/>
      </c>
      <c r="H57">
        <f>IF(INVENTARIO!Q57="","",INVENTARIO!Q57)</f>
        <v/>
      </c>
      <c r="I57">
        <f>IF(INVENTARIO!R57="","",INVENTARIO!R57)</f>
        <v/>
      </c>
      <c r="J57">
        <f>IF(G57="PUBLICA(1)",1,IF(G57="USO INTERNO(2)",2,IF(G57="RESTRINGIDO(3)",3,0)))+IF(H57="BAJA(1)",1,IF(H57="MEDIA(2)",2,IF(H57="ALTA(3)",3,0)))+IF(I57="BAJA(1)",1,IF(I57="MEDIA(2)",2,IF(I57="ALTA(3)",3,0)))</f>
        <v/>
      </c>
      <c r="K57">
        <f>IF(J57="", "", IF(J57&gt;=8,"ALTA",IF(J57&gt;=6,"MEDIA","BAJA")))</f>
        <v/>
      </c>
      <c r="L57">
        <f>IF(INVENTARIO!Y57="","",INVENTARIO!Y57)</f>
        <v/>
      </c>
      <c r="M57">
        <f>IF(INVENTARIO!Z57="","",INVENTARIO!Z57)</f>
        <v/>
      </c>
      <c r="N57">
        <f>IF(INVENTARIO!AA57="","",INVENTARIO!AA57)</f>
        <v/>
      </c>
      <c r="O57">
        <f>IF(INVENTARIO!AB57="","",INVENTARIO!AB57)</f>
        <v/>
      </c>
      <c r="P57">
        <f>IF(INVENTARIO!AC57="","",INVENTARIO!AC57)</f>
        <v/>
      </c>
      <c r="Q57">
        <f>IF(AND(K57="",N57="",L57=""),"",IF(AND((K57="ALTA"),OR(LEFT(N57,2)="L0",LEFT(N57,2)="L1",L57="No Iniciado")),"CRÍTICO - Incumplimiento Normativo SEPS",IF(AND(OR(LEFT(N57,2)="L4",LEFT(N57,2)="L5"),AND(P57&lt;&gt;"",P57&lt;&gt;"N/A")),"CONFORME - Control Efectivo ISO 27001","OBSERVACIÓN - Revisar Controles")))</f>
        <v/>
      </c>
    </row>
    <row r="58">
      <c r="A58">
        <f>IF(INVENTARIO!A58="","",INVENTARIO!A58)</f>
        <v/>
      </c>
      <c r="B58">
        <f>IF(INVENTARIO!E58="","",INVENTARIO!E58)</f>
        <v/>
      </c>
      <c r="C58">
        <f>IF(INVENTARIO!F58="","",INVENTARIO!F58)</f>
        <v/>
      </c>
      <c r="D58">
        <f>IF(INVENTARIO!H58="","",INVENTARIO!H58)</f>
        <v/>
      </c>
      <c r="E58">
        <f>IF(INVENTARIO!I58="","",INVENTARIO!I58)</f>
        <v/>
      </c>
      <c r="F58">
        <f>IF(INVENTARIO!N58="","",INVENTARIO!N58)</f>
        <v/>
      </c>
      <c r="G58">
        <f>IF(INVENTARIO!P58="","",INVENTARIO!P58)</f>
        <v/>
      </c>
      <c r="H58">
        <f>IF(INVENTARIO!Q58="","",INVENTARIO!Q58)</f>
        <v/>
      </c>
      <c r="I58">
        <f>IF(INVENTARIO!R58="","",INVENTARIO!R58)</f>
        <v/>
      </c>
      <c r="J58">
        <f>IF(G58="PUBLICA(1)",1,IF(G58="USO INTERNO(2)",2,IF(G58="RESTRINGIDO(3)",3,0)))+IF(H58="BAJA(1)",1,IF(H58="MEDIA(2)",2,IF(H58="ALTA(3)",3,0)))+IF(I58="BAJA(1)",1,IF(I58="MEDIA(2)",2,IF(I58="ALTA(3)",3,0)))</f>
        <v/>
      </c>
      <c r="K58">
        <f>IF(J58="", "", IF(J58&gt;=8,"ALTA",IF(J58&gt;=6,"MEDIA","BAJA")))</f>
        <v/>
      </c>
      <c r="L58">
        <f>IF(INVENTARIO!Y58="","",INVENTARIO!Y58)</f>
        <v/>
      </c>
      <c r="M58">
        <f>IF(INVENTARIO!Z58="","",INVENTARIO!Z58)</f>
        <v/>
      </c>
      <c r="N58">
        <f>IF(INVENTARIO!AA58="","",INVENTARIO!AA58)</f>
        <v/>
      </c>
      <c r="O58">
        <f>IF(INVENTARIO!AB58="","",INVENTARIO!AB58)</f>
        <v/>
      </c>
      <c r="P58">
        <f>IF(INVENTARIO!AC58="","",INVENTARIO!AC58)</f>
        <v/>
      </c>
      <c r="Q58">
        <f>IF(AND(K58="",N58="",L58=""),"",IF(AND((K58="ALTA"),OR(LEFT(N58,2)="L0",LEFT(N58,2)="L1",L58="No Iniciado")),"CRÍTICO - Incumplimiento Normativo SEPS",IF(AND(OR(LEFT(N58,2)="L4",LEFT(N58,2)="L5"),AND(P58&lt;&gt;"",P58&lt;&gt;"N/A")),"CONFORME - Control Efectivo ISO 27001","OBSERVACIÓN - Revisar Controles")))</f>
        <v/>
      </c>
    </row>
    <row r="59">
      <c r="A59">
        <f>IF(INVENTARIO!A59="","",INVENTARIO!A59)</f>
        <v/>
      </c>
      <c r="B59">
        <f>IF(INVENTARIO!E59="","",INVENTARIO!E59)</f>
        <v/>
      </c>
      <c r="C59">
        <f>IF(INVENTARIO!F59="","",INVENTARIO!F59)</f>
        <v/>
      </c>
      <c r="D59">
        <f>IF(INVENTARIO!H59="","",INVENTARIO!H59)</f>
        <v/>
      </c>
      <c r="E59">
        <f>IF(INVENTARIO!I59="","",INVENTARIO!I59)</f>
        <v/>
      </c>
      <c r="F59">
        <f>IF(INVENTARIO!N59="","",INVENTARIO!N59)</f>
        <v/>
      </c>
      <c r="G59">
        <f>IF(INVENTARIO!P59="","",INVENTARIO!P59)</f>
        <v/>
      </c>
      <c r="H59">
        <f>IF(INVENTARIO!Q59="","",INVENTARIO!Q59)</f>
        <v/>
      </c>
      <c r="I59">
        <f>IF(INVENTARIO!R59="","",INVENTARIO!R59)</f>
        <v/>
      </c>
      <c r="J59">
        <f>IF(G59="PUBLICA(1)",1,IF(G59="USO INTERNO(2)",2,IF(G59="RESTRINGIDO(3)",3,0)))+IF(H59="BAJA(1)",1,IF(H59="MEDIA(2)",2,IF(H59="ALTA(3)",3,0)))+IF(I59="BAJA(1)",1,IF(I59="MEDIA(2)",2,IF(I59="ALTA(3)",3,0)))</f>
        <v/>
      </c>
      <c r="K59">
        <f>IF(J59="", "", IF(J59&gt;=8,"ALTA",IF(J59&gt;=6,"MEDIA","BAJA")))</f>
        <v/>
      </c>
      <c r="L59">
        <f>IF(INVENTARIO!Y59="","",INVENTARIO!Y59)</f>
        <v/>
      </c>
      <c r="M59">
        <f>IF(INVENTARIO!Z59="","",INVENTARIO!Z59)</f>
        <v/>
      </c>
      <c r="N59">
        <f>IF(INVENTARIO!AA59="","",INVENTARIO!AA59)</f>
        <v/>
      </c>
      <c r="O59">
        <f>IF(INVENTARIO!AB59="","",INVENTARIO!AB59)</f>
        <v/>
      </c>
      <c r="P59">
        <f>IF(INVENTARIO!AC59="","",INVENTARIO!AC59)</f>
        <v/>
      </c>
      <c r="Q59">
        <f>IF(AND(K59="",N59="",L59=""),"",IF(AND((K59="ALTA"),OR(LEFT(N59,2)="L0",LEFT(N59,2)="L1",L59="No Iniciado")),"CRÍTICO - Incumplimiento Normativo SEPS",IF(AND(OR(LEFT(N59,2)="L4",LEFT(N59,2)="L5"),AND(P59&lt;&gt;"",P59&lt;&gt;"N/A")),"CONFORME - Control Efectivo ISO 27001","OBSERVACIÓN - Revisar Controles")))</f>
        <v/>
      </c>
    </row>
    <row r="60">
      <c r="A60">
        <f>IF(INVENTARIO!A60="","",INVENTARIO!A60)</f>
        <v/>
      </c>
      <c r="B60">
        <f>IF(INVENTARIO!E60="","",INVENTARIO!E60)</f>
        <v/>
      </c>
      <c r="C60">
        <f>IF(INVENTARIO!F60="","",INVENTARIO!F60)</f>
        <v/>
      </c>
      <c r="D60">
        <f>IF(INVENTARIO!H60="","",INVENTARIO!H60)</f>
        <v/>
      </c>
      <c r="E60">
        <f>IF(INVENTARIO!I60="","",INVENTARIO!I60)</f>
        <v/>
      </c>
      <c r="F60">
        <f>IF(INVENTARIO!N60="","",INVENTARIO!N60)</f>
        <v/>
      </c>
      <c r="G60">
        <f>IF(INVENTARIO!P60="","",INVENTARIO!P60)</f>
        <v/>
      </c>
      <c r="H60">
        <f>IF(INVENTARIO!Q60="","",INVENTARIO!Q60)</f>
        <v/>
      </c>
      <c r="I60">
        <f>IF(INVENTARIO!R60="","",INVENTARIO!R60)</f>
        <v/>
      </c>
      <c r="J60">
        <f>IF(G60="PUBLICA(1)",1,IF(G60="USO INTERNO(2)",2,IF(G60="RESTRINGIDO(3)",3,0)))+IF(H60="BAJA(1)",1,IF(H60="MEDIA(2)",2,IF(H60="ALTA(3)",3,0)))+IF(I60="BAJA(1)",1,IF(I60="MEDIA(2)",2,IF(I60="ALTA(3)",3,0)))</f>
        <v/>
      </c>
      <c r="K60">
        <f>IF(J60="", "", IF(J60&gt;=8,"ALTA",IF(J60&gt;=6,"MEDIA","BAJA")))</f>
        <v/>
      </c>
      <c r="L60">
        <f>IF(INVENTARIO!Y60="","",INVENTARIO!Y60)</f>
        <v/>
      </c>
      <c r="M60">
        <f>IF(INVENTARIO!Z60="","",INVENTARIO!Z60)</f>
        <v/>
      </c>
      <c r="N60">
        <f>IF(INVENTARIO!AA60="","",INVENTARIO!AA60)</f>
        <v/>
      </c>
      <c r="O60">
        <f>IF(INVENTARIO!AB60="","",INVENTARIO!AB60)</f>
        <v/>
      </c>
      <c r="P60">
        <f>IF(INVENTARIO!AC60="","",INVENTARIO!AC60)</f>
        <v/>
      </c>
      <c r="Q60">
        <f>IF(AND(K60="",N60="",L60=""),"",IF(AND((K60="ALTA"),OR(LEFT(N60,2)="L0",LEFT(N60,2)="L1",L60="No Iniciado")),"CRÍTICO - Incumplimiento Normativo SEPS",IF(AND(OR(LEFT(N60,2)="L4",LEFT(N60,2)="L5"),AND(P60&lt;&gt;"",P60&lt;&gt;"N/A")),"CONFORME - Control Efectivo ISO 27001","OBSERVACIÓN - Revisar Controles")))</f>
        <v/>
      </c>
    </row>
    <row r="61">
      <c r="A61">
        <f>IF(INVENTARIO!A61="","",INVENTARIO!A61)</f>
        <v/>
      </c>
      <c r="B61">
        <f>IF(INVENTARIO!E61="","",INVENTARIO!E61)</f>
        <v/>
      </c>
      <c r="C61">
        <f>IF(INVENTARIO!F61="","",INVENTARIO!F61)</f>
        <v/>
      </c>
      <c r="D61">
        <f>IF(INVENTARIO!H61="","",INVENTARIO!H61)</f>
        <v/>
      </c>
      <c r="E61">
        <f>IF(INVENTARIO!I61="","",INVENTARIO!I61)</f>
        <v/>
      </c>
      <c r="F61">
        <f>IF(INVENTARIO!N61="","",INVENTARIO!N61)</f>
        <v/>
      </c>
      <c r="G61">
        <f>IF(INVENTARIO!P61="","",INVENTARIO!P61)</f>
        <v/>
      </c>
      <c r="H61">
        <f>IF(INVENTARIO!Q61="","",INVENTARIO!Q61)</f>
        <v/>
      </c>
      <c r="I61">
        <f>IF(INVENTARIO!R61="","",INVENTARIO!R61)</f>
        <v/>
      </c>
      <c r="J61">
        <f>IF(G61="PUBLICA(1)",1,IF(G61="USO INTERNO(2)",2,IF(G61="RESTRINGIDO(3)",3,0)))+IF(H61="BAJA(1)",1,IF(H61="MEDIA(2)",2,IF(H61="ALTA(3)",3,0)))+IF(I61="BAJA(1)",1,IF(I61="MEDIA(2)",2,IF(I61="ALTA(3)",3,0)))</f>
        <v/>
      </c>
      <c r="K61">
        <f>IF(J61="", "", IF(J61&gt;=8,"ALTA",IF(J61&gt;=6,"MEDIA","BAJA")))</f>
        <v/>
      </c>
      <c r="L61">
        <f>IF(INVENTARIO!Y61="","",INVENTARIO!Y61)</f>
        <v/>
      </c>
      <c r="M61">
        <f>IF(INVENTARIO!Z61="","",INVENTARIO!Z61)</f>
        <v/>
      </c>
      <c r="N61">
        <f>IF(INVENTARIO!AA61="","",INVENTARIO!AA61)</f>
        <v/>
      </c>
      <c r="O61">
        <f>IF(INVENTARIO!AB61="","",INVENTARIO!AB61)</f>
        <v/>
      </c>
      <c r="P61">
        <f>IF(INVENTARIO!AC61="","",INVENTARIO!AC61)</f>
        <v/>
      </c>
      <c r="Q61">
        <f>IF(AND(K61="",N61="",L61=""),"",IF(AND((K61="ALTA"),OR(LEFT(N61,2)="L0",LEFT(N61,2)="L1",L61="No Iniciado")),"CRÍTICO - Incumplimiento Normativo SEPS",IF(AND(OR(LEFT(N61,2)="L4",LEFT(N61,2)="L5"),AND(P61&lt;&gt;"",P61&lt;&gt;"N/A")),"CONFORME - Control Efectivo ISO 27001","OBSERVACIÓN - Revisar Controles")))</f>
        <v/>
      </c>
    </row>
    <row r="62">
      <c r="A62">
        <f>IF(INVENTARIO!A62="","",INVENTARIO!A62)</f>
        <v/>
      </c>
      <c r="B62">
        <f>IF(INVENTARIO!E62="","",INVENTARIO!E62)</f>
        <v/>
      </c>
      <c r="C62">
        <f>IF(INVENTARIO!F62="","",INVENTARIO!F62)</f>
        <v/>
      </c>
      <c r="D62">
        <f>IF(INVENTARIO!H62="","",INVENTARIO!H62)</f>
        <v/>
      </c>
      <c r="E62">
        <f>IF(INVENTARIO!I62="","",INVENTARIO!I62)</f>
        <v/>
      </c>
      <c r="F62">
        <f>IF(INVENTARIO!N62="","",INVENTARIO!N62)</f>
        <v/>
      </c>
      <c r="G62">
        <f>IF(INVENTARIO!P62="","",INVENTARIO!P62)</f>
        <v/>
      </c>
      <c r="H62">
        <f>IF(INVENTARIO!Q62="","",INVENTARIO!Q62)</f>
        <v/>
      </c>
      <c r="I62">
        <f>IF(INVENTARIO!R62="","",INVENTARIO!R62)</f>
        <v/>
      </c>
      <c r="J62">
        <f>IF(G62="PUBLICA(1)",1,IF(G62="USO INTERNO(2)",2,IF(G62="RESTRINGIDO(3)",3,0)))+IF(H62="BAJA(1)",1,IF(H62="MEDIA(2)",2,IF(H62="ALTA(3)",3,0)))+IF(I62="BAJA(1)",1,IF(I62="MEDIA(2)",2,IF(I62="ALTA(3)",3,0)))</f>
        <v/>
      </c>
      <c r="K62">
        <f>IF(J62="", "", IF(J62&gt;=8,"ALTA",IF(J62&gt;=6,"MEDIA","BAJA")))</f>
        <v/>
      </c>
      <c r="L62">
        <f>IF(INVENTARIO!Y62="","",INVENTARIO!Y62)</f>
        <v/>
      </c>
      <c r="M62">
        <f>IF(INVENTARIO!Z62="","",INVENTARIO!Z62)</f>
        <v/>
      </c>
      <c r="N62">
        <f>IF(INVENTARIO!AA62="","",INVENTARIO!AA62)</f>
        <v/>
      </c>
      <c r="O62">
        <f>IF(INVENTARIO!AB62="","",INVENTARIO!AB62)</f>
        <v/>
      </c>
      <c r="P62">
        <f>IF(INVENTARIO!AC62="","",INVENTARIO!AC62)</f>
        <v/>
      </c>
      <c r="Q62">
        <f>IF(AND(K62="",N62="",L62=""),"",IF(AND((K62="ALTA"),OR(LEFT(N62,2)="L0",LEFT(N62,2)="L1",L62="No Iniciado")),"CRÍTICO - Incumplimiento Normativo SEPS",IF(AND(OR(LEFT(N62,2)="L4",LEFT(N62,2)="L5"),AND(P62&lt;&gt;"",P62&lt;&gt;"N/A")),"CONFORME - Control Efectivo ISO 27001","OBSERVACIÓN - Revisar Controles")))</f>
        <v/>
      </c>
    </row>
    <row r="63">
      <c r="A63">
        <f>IF(INVENTARIO!A63="","",INVENTARIO!A63)</f>
        <v/>
      </c>
      <c r="B63">
        <f>IF(INVENTARIO!E63="","",INVENTARIO!E63)</f>
        <v/>
      </c>
      <c r="C63">
        <f>IF(INVENTARIO!F63="","",INVENTARIO!F63)</f>
        <v/>
      </c>
      <c r="D63">
        <f>IF(INVENTARIO!H63="","",INVENTARIO!H63)</f>
        <v/>
      </c>
      <c r="E63">
        <f>IF(INVENTARIO!I63="","",INVENTARIO!I63)</f>
        <v/>
      </c>
      <c r="F63">
        <f>IF(INVENTARIO!N63="","",INVENTARIO!N63)</f>
        <v/>
      </c>
      <c r="G63">
        <f>IF(INVENTARIO!P63="","",INVENTARIO!P63)</f>
        <v/>
      </c>
      <c r="H63">
        <f>IF(INVENTARIO!Q63="","",INVENTARIO!Q63)</f>
        <v/>
      </c>
      <c r="I63">
        <f>IF(INVENTARIO!R63="","",INVENTARIO!R63)</f>
        <v/>
      </c>
      <c r="J63">
        <f>IF(G63="PUBLICA(1)",1,IF(G63="USO INTERNO(2)",2,IF(G63="RESTRINGIDO(3)",3,0)))+IF(H63="BAJA(1)",1,IF(H63="MEDIA(2)",2,IF(H63="ALTA(3)",3,0)))+IF(I63="BAJA(1)",1,IF(I63="MEDIA(2)",2,IF(I63="ALTA(3)",3,0)))</f>
        <v/>
      </c>
      <c r="K63">
        <f>IF(J63="", "", IF(J63&gt;=8,"ALTA",IF(J63&gt;=6,"MEDIA","BAJA")))</f>
        <v/>
      </c>
      <c r="L63">
        <f>IF(INVENTARIO!Y63="","",INVENTARIO!Y63)</f>
        <v/>
      </c>
      <c r="M63">
        <f>IF(INVENTARIO!Z63="","",INVENTARIO!Z63)</f>
        <v/>
      </c>
      <c r="N63">
        <f>IF(INVENTARIO!AA63="","",INVENTARIO!AA63)</f>
        <v/>
      </c>
      <c r="O63">
        <f>IF(INVENTARIO!AB63="","",INVENTARIO!AB63)</f>
        <v/>
      </c>
      <c r="P63">
        <f>IF(INVENTARIO!AC63="","",INVENTARIO!AC63)</f>
        <v/>
      </c>
      <c r="Q63">
        <f>IF(AND(K63="",N63="",L63=""),"",IF(AND((K63="ALTA"),OR(LEFT(N63,2)="L0",LEFT(N63,2)="L1",L63="No Iniciado")),"CRÍTICO - Incumplimiento Normativo SEPS",IF(AND(OR(LEFT(N63,2)="L4",LEFT(N63,2)="L5"),AND(P63&lt;&gt;"",P63&lt;&gt;"N/A")),"CONFORME - Control Efectivo ISO 27001","OBSERVACIÓN - Revisar Controles")))</f>
        <v/>
      </c>
    </row>
    <row r="64">
      <c r="A64">
        <f>IF(INVENTARIO!A64="","",INVENTARIO!A64)</f>
        <v/>
      </c>
      <c r="B64">
        <f>IF(INVENTARIO!E64="","",INVENTARIO!E64)</f>
        <v/>
      </c>
      <c r="C64">
        <f>IF(INVENTARIO!F64="","",INVENTARIO!F64)</f>
        <v/>
      </c>
      <c r="D64">
        <f>IF(INVENTARIO!H64="","",INVENTARIO!H64)</f>
        <v/>
      </c>
      <c r="E64">
        <f>IF(INVENTARIO!I64="","",INVENTARIO!I64)</f>
        <v/>
      </c>
      <c r="F64">
        <f>IF(INVENTARIO!N64="","",INVENTARIO!N64)</f>
        <v/>
      </c>
      <c r="G64">
        <f>IF(INVENTARIO!P64="","",INVENTARIO!P64)</f>
        <v/>
      </c>
      <c r="H64">
        <f>IF(INVENTARIO!Q64="","",INVENTARIO!Q64)</f>
        <v/>
      </c>
      <c r="I64">
        <f>IF(INVENTARIO!R64="","",INVENTARIO!R64)</f>
        <v/>
      </c>
      <c r="J64">
        <f>IF(G64="PUBLICA(1)",1,IF(G64="USO INTERNO(2)",2,IF(G64="RESTRINGIDO(3)",3,0)))+IF(H64="BAJA(1)",1,IF(H64="MEDIA(2)",2,IF(H64="ALTA(3)",3,0)))+IF(I64="BAJA(1)",1,IF(I64="MEDIA(2)",2,IF(I64="ALTA(3)",3,0)))</f>
        <v/>
      </c>
      <c r="K64">
        <f>IF(J64="", "", IF(J64&gt;=8,"ALTA",IF(J64&gt;=6,"MEDIA","BAJA")))</f>
        <v/>
      </c>
      <c r="L64">
        <f>IF(INVENTARIO!Y64="","",INVENTARIO!Y64)</f>
        <v/>
      </c>
      <c r="M64">
        <f>IF(INVENTARIO!Z64="","",INVENTARIO!Z64)</f>
        <v/>
      </c>
      <c r="N64">
        <f>IF(INVENTARIO!AA64="","",INVENTARIO!AA64)</f>
        <v/>
      </c>
      <c r="O64">
        <f>IF(INVENTARIO!AB64="","",INVENTARIO!AB64)</f>
        <v/>
      </c>
      <c r="P64">
        <f>IF(INVENTARIO!AC64="","",INVENTARIO!AC64)</f>
        <v/>
      </c>
      <c r="Q64">
        <f>IF(AND(K64="",N64="",L64=""),"",IF(AND((K64="ALTA"),OR(LEFT(N64,2)="L0",LEFT(N64,2)="L1",L64="No Iniciado")),"CRÍTICO - Incumplimiento Normativo SEPS",IF(AND(OR(LEFT(N64,2)="L4",LEFT(N64,2)="L5"),AND(P64&lt;&gt;"",P64&lt;&gt;"N/A")),"CONFORME - Control Efectivo ISO 27001","OBSERVACIÓN - Revisar Controles")))</f>
        <v/>
      </c>
    </row>
    <row r="65">
      <c r="A65">
        <f>IF(INVENTARIO!A65="","",INVENTARIO!A65)</f>
        <v/>
      </c>
      <c r="B65">
        <f>IF(INVENTARIO!E65="","",INVENTARIO!E65)</f>
        <v/>
      </c>
      <c r="C65">
        <f>IF(INVENTARIO!F65="","",INVENTARIO!F65)</f>
        <v/>
      </c>
      <c r="D65">
        <f>IF(INVENTARIO!H65="","",INVENTARIO!H65)</f>
        <v/>
      </c>
      <c r="E65">
        <f>IF(INVENTARIO!I65="","",INVENTARIO!I65)</f>
        <v/>
      </c>
      <c r="F65">
        <f>IF(INVENTARIO!N65="","",INVENTARIO!N65)</f>
        <v/>
      </c>
      <c r="G65">
        <f>IF(INVENTARIO!P65="","",INVENTARIO!P65)</f>
        <v/>
      </c>
      <c r="H65">
        <f>IF(INVENTARIO!Q65="","",INVENTARIO!Q65)</f>
        <v/>
      </c>
      <c r="I65">
        <f>IF(INVENTARIO!R65="","",INVENTARIO!R65)</f>
        <v/>
      </c>
      <c r="J65">
        <f>IF(G65="PUBLICA(1)",1,IF(G65="USO INTERNO(2)",2,IF(G65="RESTRINGIDO(3)",3,0)))+IF(H65="BAJA(1)",1,IF(H65="MEDIA(2)",2,IF(H65="ALTA(3)",3,0)))+IF(I65="BAJA(1)",1,IF(I65="MEDIA(2)",2,IF(I65="ALTA(3)",3,0)))</f>
        <v/>
      </c>
      <c r="K65">
        <f>IF(J65="", "", IF(J65&gt;=8,"ALTA",IF(J65&gt;=6,"MEDIA","BAJA")))</f>
        <v/>
      </c>
      <c r="L65">
        <f>IF(INVENTARIO!Y65="","",INVENTARIO!Y65)</f>
        <v/>
      </c>
      <c r="M65">
        <f>IF(INVENTARIO!Z65="","",INVENTARIO!Z65)</f>
        <v/>
      </c>
      <c r="N65">
        <f>IF(INVENTARIO!AA65="","",INVENTARIO!AA65)</f>
        <v/>
      </c>
      <c r="O65">
        <f>IF(INVENTARIO!AB65="","",INVENTARIO!AB65)</f>
        <v/>
      </c>
      <c r="P65">
        <f>IF(INVENTARIO!AC65="","",INVENTARIO!AC65)</f>
        <v/>
      </c>
      <c r="Q65">
        <f>IF(AND(K65="",N65="",L65=""),"",IF(AND((K65="ALTA"),OR(LEFT(N65,2)="L0",LEFT(N65,2)="L1",L65="No Iniciado")),"CRÍTICO - Incumplimiento Normativo SEPS",IF(AND(OR(LEFT(N65,2)="L4",LEFT(N65,2)="L5"),AND(P65&lt;&gt;"",P65&lt;&gt;"N/A")),"CONFORME - Control Efectivo ISO 27001","OBSERVACIÓN - Revisar Controles")))</f>
        <v/>
      </c>
    </row>
    <row r="66">
      <c r="A66">
        <f>IF(INVENTARIO!A66="","",INVENTARIO!A66)</f>
        <v/>
      </c>
      <c r="B66">
        <f>IF(INVENTARIO!E66="","",INVENTARIO!E66)</f>
        <v/>
      </c>
      <c r="C66">
        <f>IF(INVENTARIO!F66="","",INVENTARIO!F66)</f>
        <v/>
      </c>
      <c r="D66">
        <f>IF(INVENTARIO!H66="","",INVENTARIO!H66)</f>
        <v/>
      </c>
      <c r="E66">
        <f>IF(INVENTARIO!I66="","",INVENTARIO!I66)</f>
        <v/>
      </c>
      <c r="F66">
        <f>IF(INVENTARIO!N66="","",INVENTARIO!N66)</f>
        <v/>
      </c>
      <c r="G66">
        <f>IF(INVENTARIO!P66="","",INVENTARIO!P66)</f>
        <v/>
      </c>
      <c r="H66">
        <f>IF(INVENTARIO!Q66="","",INVENTARIO!Q66)</f>
        <v/>
      </c>
      <c r="I66">
        <f>IF(INVENTARIO!R66="","",INVENTARIO!R66)</f>
        <v/>
      </c>
      <c r="J66">
        <f>IF(G66="PUBLICA(1)",1,IF(G66="USO INTERNO(2)",2,IF(G66="RESTRINGIDO(3)",3,0)))+IF(H66="BAJA(1)",1,IF(H66="MEDIA(2)",2,IF(H66="ALTA(3)",3,0)))+IF(I66="BAJA(1)",1,IF(I66="MEDIA(2)",2,IF(I66="ALTA(3)",3,0)))</f>
        <v/>
      </c>
      <c r="K66">
        <f>IF(J66="", "", IF(J66&gt;=8,"ALTA",IF(J66&gt;=6,"MEDIA","BAJA")))</f>
        <v/>
      </c>
      <c r="L66">
        <f>IF(INVENTARIO!Y66="","",INVENTARIO!Y66)</f>
        <v/>
      </c>
      <c r="M66">
        <f>IF(INVENTARIO!Z66="","",INVENTARIO!Z66)</f>
        <v/>
      </c>
      <c r="N66">
        <f>IF(INVENTARIO!AA66="","",INVENTARIO!AA66)</f>
        <v/>
      </c>
      <c r="O66">
        <f>IF(INVENTARIO!AB66="","",INVENTARIO!AB66)</f>
        <v/>
      </c>
      <c r="P66">
        <f>IF(INVENTARIO!AC66="","",INVENTARIO!AC66)</f>
        <v/>
      </c>
      <c r="Q66">
        <f>IF(AND(K66="",N66="",L66=""),"",IF(AND((K66="ALTA"),OR(LEFT(N66,2)="L0",LEFT(N66,2)="L1",L66="No Iniciado")),"CRÍTICO - Incumplimiento Normativo SEPS",IF(AND(OR(LEFT(N66,2)="L4",LEFT(N66,2)="L5"),AND(P66&lt;&gt;"",P66&lt;&gt;"N/A")),"CONFORME - Control Efectivo ISO 27001","OBSERVACIÓN - Revisar Controles")))</f>
        <v/>
      </c>
    </row>
    <row r="67">
      <c r="A67">
        <f>IF(INVENTARIO!A67="","",INVENTARIO!A67)</f>
        <v/>
      </c>
      <c r="B67">
        <f>IF(INVENTARIO!E67="","",INVENTARIO!E67)</f>
        <v/>
      </c>
      <c r="C67">
        <f>IF(INVENTARIO!F67="","",INVENTARIO!F67)</f>
        <v/>
      </c>
      <c r="D67">
        <f>IF(INVENTARIO!H67="","",INVENTARIO!H67)</f>
        <v/>
      </c>
      <c r="E67">
        <f>IF(INVENTARIO!I67="","",INVENTARIO!I67)</f>
        <v/>
      </c>
      <c r="F67">
        <f>IF(INVENTARIO!N67="","",INVENTARIO!N67)</f>
        <v/>
      </c>
      <c r="G67">
        <f>IF(INVENTARIO!P67="","",INVENTARIO!P67)</f>
        <v/>
      </c>
      <c r="H67">
        <f>IF(INVENTARIO!Q67="","",INVENTARIO!Q67)</f>
        <v/>
      </c>
      <c r="I67">
        <f>IF(INVENTARIO!R67="","",INVENTARIO!R67)</f>
        <v/>
      </c>
      <c r="J67">
        <f>IF(G67="PUBLICA(1)",1,IF(G67="USO INTERNO(2)",2,IF(G67="RESTRINGIDO(3)",3,0)))+IF(H67="BAJA(1)",1,IF(H67="MEDIA(2)",2,IF(H67="ALTA(3)",3,0)))+IF(I67="BAJA(1)",1,IF(I67="MEDIA(2)",2,IF(I67="ALTA(3)",3,0)))</f>
        <v/>
      </c>
      <c r="K67">
        <f>IF(J67="", "", IF(J67&gt;=8,"ALTA",IF(J67&gt;=6,"MEDIA","BAJA")))</f>
        <v/>
      </c>
      <c r="L67">
        <f>IF(INVENTARIO!Y67="","",INVENTARIO!Y67)</f>
        <v/>
      </c>
      <c r="M67">
        <f>IF(INVENTARIO!Z67="","",INVENTARIO!Z67)</f>
        <v/>
      </c>
      <c r="N67">
        <f>IF(INVENTARIO!AA67="","",INVENTARIO!AA67)</f>
        <v/>
      </c>
      <c r="O67">
        <f>IF(INVENTARIO!AB67="","",INVENTARIO!AB67)</f>
        <v/>
      </c>
      <c r="P67">
        <f>IF(INVENTARIO!AC67="","",INVENTARIO!AC67)</f>
        <v/>
      </c>
      <c r="Q67">
        <f>IF(AND(K67="",N67="",L67=""),"",IF(AND((K67="ALTA"),OR(LEFT(N67,2)="L0",LEFT(N67,2)="L1",L67="No Iniciado")),"CRÍTICO - Incumplimiento Normativo SEPS",IF(AND(OR(LEFT(N67,2)="L4",LEFT(N67,2)="L5"),AND(P67&lt;&gt;"",P67&lt;&gt;"N/A")),"CONFORME - Control Efectivo ISO 27001","OBSERVACIÓN - Revisar Controles")))</f>
        <v/>
      </c>
    </row>
    <row r="68">
      <c r="A68">
        <f>IF(INVENTARIO!A68="","",INVENTARIO!A68)</f>
        <v/>
      </c>
      <c r="B68">
        <f>IF(INVENTARIO!E68="","",INVENTARIO!E68)</f>
        <v/>
      </c>
      <c r="C68">
        <f>IF(INVENTARIO!F68="","",INVENTARIO!F68)</f>
        <v/>
      </c>
      <c r="D68">
        <f>IF(INVENTARIO!H68="","",INVENTARIO!H68)</f>
        <v/>
      </c>
      <c r="E68">
        <f>IF(INVENTARIO!I68="","",INVENTARIO!I68)</f>
        <v/>
      </c>
      <c r="F68">
        <f>IF(INVENTARIO!N68="","",INVENTARIO!N68)</f>
        <v/>
      </c>
      <c r="G68">
        <f>IF(INVENTARIO!P68="","",INVENTARIO!P68)</f>
        <v/>
      </c>
      <c r="H68">
        <f>IF(INVENTARIO!Q68="","",INVENTARIO!Q68)</f>
        <v/>
      </c>
      <c r="I68">
        <f>IF(INVENTARIO!R68="","",INVENTARIO!R68)</f>
        <v/>
      </c>
      <c r="J68">
        <f>IF(G68="PUBLICA(1)",1,IF(G68="USO INTERNO(2)",2,IF(G68="RESTRINGIDO(3)",3,0)))+IF(H68="BAJA(1)",1,IF(H68="MEDIA(2)",2,IF(H68="ALTA(3)",3,0)))+IF(I68="BAJA(1)",1,IF(I68="MEDIA(2)",2,IF(I68="ALTA(3)",3,0)))</f>
        <v/>
      </c>
      <c r="K68">
        <f>IF(J68="", "", IF(J68&gt;=8,"ALTA",IF(J68&gt;=6,"MEDIA","BAJA")))</f>
        <v/>
      </c>
      <c r="L68">
        <f>IF(INVENTARIO!Y68="","",INVENTARIO!Y68)</f>
        <v/>
      </c>
      <c r="M68">
        <f>IF(INVENTARIO!Z68="","",INVENTARIO!Z68)</f>
        <v/>
      </c>
      <c r="N68">
        <f>IF(INVENTARIO!AA68="","",INVENTARIO!AA68)</f>
        <v/>
      </c>
      <c r="O68">
        <f>IF(INVENTARIO!AB68="","",INVENTARIO!AB68)</f>
        <v/>
      </c>
      <c r="P68">
        <f>IF(INVENTARIO!AC68="","",INVENTARIO!AC68)</f>
        <v/>
      </c>
      <c r="Q68">
        <f>IF(AND(K68="",N68="",L68=""),"",IF(AND((K68="ALTA"),OR(LEFT(N68,2)="L0",LEFT(N68,2)="L1",L68="No Iniciado")),"CRÍTICO - Incumplimiento Normativo SEPS",IF(AND(OR(LEFT(N68,2)="L4",LEFT(N68,2)="L5"),AND(P68&lt;&gt;"",P68&lt;&gt;"N/A")),"CONFORME - Control Efectivo ISO 27001","OBSERVACIÓN - Revisar Controles")))</f>
        <v/>
      </c>
    </row>
    <row r="69">
      <c r="A69">
        <f>IF(INVENTARIO!A69="","",INVENTARIO!A69)</f>
        <v/>
      </c>
      <c r="B69">
        <f>IF(INVENTARIO!E69="","",INVENTARIO!E69)</f>
        <v/>
      </c>
      <c r="C69">
        <f>IF(INVENTARIO!F69="","",INVENTARIO!F69)</f>
        <v/>
      </c>
      <c r="D69">
        <f>IF(INVENTARIO!H69="","",INVENTARIO!H69)</f>
        <v/>
      </c>
      <c r="E69">
        <f>IF(INVENTARIO!I69="","",INVENTARIO!I69)</f>
        <v/>
      </c>
      <c r="F69">
        <f>IF(INVENTARIO!N69="","",INVENTARIO!N69)</f>
        <v/>
      </c>
      <c r="G69">
        <f>IF(INVENTARIO!P69="","",INVENTARIO!P69)</f>
        <v/>
      </c>
      <c r="H69">
        <f>IF(INVENTARIO!Q69="","",INVENTARIO!Q69)</f>
        <v/>
      </c>
      <c r="I69">
        <f>IF(INVENTARIO!R69="","",INVENTARIO!R69)</f>
        <v/>
      </c>
      <c r="J69">
        <f>IF(G69="PUBLICA(1)",1,IF(G69="USO INTERNO(2)",2,IF(G69="RESTRINGIDO(3)",3,0)))+IF(H69="BAJA(1)",1,IF(H69="MEDIA(2)",2,IF(H69="ALTA(3)",3,0)))+IF(I69="BAJA(1)",1,IF(I69="MEDIA(2)",2,IF(I69="ALTA(3)",3,0)))</f>
        <v/>
      </c>
      <c r="K69">
        <f>IF(J69="", "", IF(J69&gt;=8,"ALTA",IF(J69&gt;=6,"MEDIA","BAJA")))</f>
        <v/>
      </c>
      <c r="L69">
        <f>IF(INVENTARIO!Y69="","",INVENTARIO!Y69)</f>
        <v/>
      </c>
      <c r="M69">
        <f>IF(INVENTARIO!Z69="","",INVENTARIO!Z69)</f>
        <v/>
      </c>
      <c r="N69">
        <f>IF(INVENTARIO!AA69="","",INVENTARIO!AA69)</f>
        <v/>
      </c>
      <c r="O69">
        <f>IF(INVENTARIO!AB69="","",INVENTARIO!AB69)</f>
        <v/>
      </c>
      <c r="P69">
        <f>IF(INVENTARIO!AC69="","",INVENTARIO!AC69)</f>
        <v/>
      </c>
      <c r="Q69">
        <f>IF(AND(K69="",N69="",L69=""),"",IF(AND((K69="ALTA"),OR(LEFT(N69,2)="L0",LEFT(N69,2)="L1",L69="No Iniciado")),"CRÍTICO - Incumplimiento Normativo SEPS",IF(AND(OR(LEFT(N69,2)="L4",LEFT(N69,2)="L5"),AND(P69&lt;&gt;"",P69&lt;&gt;"N/A")),"CONFORME - Control Efectivo ISO 27001","OBSERVACIÓN - Revisar Controles")))</f>
        <v/>
      </c>
    </row>
    <row r="70">
      <c r="A70">
        <f>IF(INVENTARIO!A70="","",INVENTARIO!A70)</f>
        <v/>
      </c>
      <c r="B70">
        <f>IF(INVENTARIO!E70="","",INVENTARIO!E70)</f>
        <v/>
      </c>
      <c r="C70">
        <f>IF(INVENTARIO!F70="","",INVENTARIO!F70)</f>
        <v/>
      </c>
      <c r="D70">
        <f>IF(INVENTARIO!H70="","",INVENTARIO!H70)</f>
        <v/>
      </c>
      <c r="E70">
        <f>IF(INVENTARIO!I70="","",INVENTARIO!I70)</f>
        <v/>
      </c>
      <c r="F70">
        <f>IF(INVENTARIO!N70="","",INVENTARIO!N70)</f>
        <v/>
      </c>
      <c r="G70">
        <f>IF(INVENTARIO!P70="","",INVENTARIO!P70)</f>
        <v/>
      </c>
      <c r="H70">
        <f>IF(INVENTARIO!Q70="","",INVENTARIO!Q70)</f>
        <v/>
      </c>
      <c r="I70">
        <f>IF(INVENTARIO!R70="","",INVENTARIO!R70)</f>
        <v/>
      </c>
      <c r="J70">
        <f>IF(G70="PUBLICA(1)",1,IF(G70="USO INTERNO(2)",2,IF(G70="RESTRINGIDO(3)",3,0)))+IF(H70="BAJA(1)",1,IF(H70="MEDIA(2)",2,IF(H70="ALTA(3)",3,0)))+IF(I70="BAJA(1)",1,IF(I70="MEDIA(2)",2,IF(I70="ALTA(3)",3,0)))</f>
        <v/>
      </c>
      <c r="K70">
        <f>IF(J70="", "", IF(J70&gt;=8,"ALTA",IF(J70&gt;=6,"MEDIA","BAJA")))</f>
        <v/>
      </c>
      <c r="L70">
        <f>IF(INVENTARIO!Y70="","",INVENTARIO!Y70)</f>
        <v/>
      </c>
      <c r="M70">
        <f>IF(INVENTARIO!Z70="","",INVENTARIO!Z70)</f>
        <v/>
      </c>
      <c r="N70">
        <f>IF(INVENTARIO!AA70="","",INVENTARIO!AA70)</f>
        <v/>
      </c>
      <c r="O70">
        <f>IF(INVENTARIO!AB70="","",INVENTARIO!AB70)</f>
        <v/>
      </c>
      <c r="P70">
        <f>IF(INVENTARIO!AC70="","",INVENTARIO!AC70)</f>
        <v/>
      </c>
      <c r="Q70">
        <f>IF(AND(K70="",N70="",L70=""),"",IF(AND((K70="ALTA"),OR(LEFT(N70,2)="L0",LEFT(N70,2)="L1",L70="No Iniciado")),"CRÍTICO - Incumplimiento Normativo SEPS",IF(AND(OR(LEFT(N70,2)="L4",LEFT(N70,2)="L5"),AND(P70&lt;&gt;"",P70&lt;&gt;"N/A")),"CONFORME - Control Efectivo ISO 27001","OBSERVACIÓN - Revisar Controles")))</f>
        <v/>
      </c>
    </row>
    <row r="71">
      <c r="A71">
        <f>IF(INVENTARIO!A71="","",INVENTARIO!A71)</f>
        <v/>
      </c>
      <c r="B71">
        <f>IF(INVENTARIO!E71="","",INVENTARIO!E71)</f>
        <v/>
      </c>
      <c r="C71">
        <f>IF(INVENTARIO!F71="","",INVENTARIO!F71)</f>
        <v/>
      </c>
      <c r="D71">
        <f>IF(INVENTARIO!H71="","",INVENTARIO!H71)</f>
        <v/>
      </c>
      <c r="E71">
        <f>IF(INVENTARIO!I71="","",INVENTARIO!I71)</f>
        <v/>
      </c>
      <c r="F71">
        <f>IF(INVENTARIO!N71="","",INVENTARIO!N71)</f>
        <v/>
      </c>
      <c r="G71">
        <f>IF(INVENTARIO!P71="","",INVENTARIO!P71)</f>
        <v/>
      </c>
      <c r="H71">
        <f>IF(INVENTARIO!Q71="","",INVENTARIO!Q71)</f>
        <v/>
      </c>
      <c r="I71">
        <f>IF(INVENTARIO!R71="","",INVENTARIO!R71)</f>
        <v/>
      </c>
      <c r="J71">
        <f>IF(G71="PUBLICA(1)",1,IF(G71="USO INTERNO(2)",2,IF(G71="RESTRINGIDO(3)",3,0)))+IF(H71="BAJA(1)",1,IF(H71="MEDIA(2)",2,IF(H71="ALTA(3)",3,0)))+IF(I71="BAJA(1)",1,IF(I71="MEDIA(2)",2,IF(I71="ALTA(3)",3,0)))</f>
        <v/>
      </c>
      <c r="K71">
        <f>IF(J71="", "", IF(J71&gt;=8,"ALTA",IF(J71&gt;=6,"MEDIA","BAJA")))</f>
        <v/>
      </c>
      <c r="L71">
        <f>IF(INVENTARIO!Y71="","",INVENTARIO!Y71)</f>
        <v/>
      </c>
      <c r="M71">
        <f>IF(INVENTARIO!Z71="","",INVENTARIO!Z71)</f>
        <v/>
      </c>
      <c r="N71">
        <f>IF(INVENTARIO!AA71="","",INVENTARIO!AA71)</f>
        <v/>
      </c>
      <c r="O71">
        <f>IF(INVENTARIO!AB71="","",INVENTARIO!AB71)</f>
        <v/>
      </c>
      <c r="P71">
        <f>IF(INVENTARIO!AC71="","",INVENTARIO!AC71)</f>
        <v/>
      </c>
      <c r="Q71">
        <f>IF(AND(K71="",N71="",L71=""),"",IF(AND((K71="ALTA"),OR(LEFT(N71,2)="L0",LEFT(N71,2)="L1",L71="No Iniciado")),"CRÍTICO - Incumplimiento Normativo SEPS",IF(AND(OR(LEFT(N71,2)="L4",LEFT(N71,2)="L5"),AND(P71&lt;&gt;"",P71&lt;&gt;"N/A")),"CONFORME - Control Efectivo ISO 27001","OBSERVACIÓN - Revisar Controles")))</f>
        <v/>
      </c>
    </row>
    <row r="72">
      <c r="A72">
        <f>IF(INVENTARIO!A72="","",INVENTARIO!A72)</f>
        <v/>
      </c>
      <c r="B72">
        <f>IF(INVENTARIO!E72="","",INVENTARIO!E72)</f>
        <v/>
      </c>
      <c r="C72">
        <f>IF(INVENTARIO!F72="","",INVENTARIO!F72)</f>
        <v/>
      </c>
      <c r="D72">
        <f>IF(INVENTARIO!H72="","",INVENTARIO!H72)</f>
        <v/>
      </c>
      <c r="E72">
        <f>IF(INVENTARIO!I72="","",INVENTARIO!I72)</f>
        <v/>
      </c>
      <c r="F72">
        <f>IF(INVENTARIO!N72="","",INVENTARIO!N72)</f>
        <v/>
      </c>
      <c r="G72">
        <f>IF(INVENTARIO!P72="","",INVENTARIO!P72)</f>
        <v/>
      </c>
      <c r="H72">
        <f>IF(INVENTARIO!Q72="","",INVENTARIO!Q72)</f>
        <v/>
      </c>
      <c r="I72">
        <f>IF(INVENTARIO!R72="","",INVENTARIO!R72)</f>
        <v/>
      </c>
      <c r="J72">
        <f>IF(G72="PUBLICA(1)",1,IF(G72="USO INTERNO(2)",2,IF(G72="RESTRINGIDO(3)",3,0)))+IF(H72="BAJA(1)",1,IF(H72="MEDIA(2)",2,IF(H72="ALTA(3)",3,0)))+IF(I72="BAJA(1)",1,IF(I72="MEDIA(2)",2,IF(I72="ALTA(3)",3,0)))</f>
        <v/>
      </c>
      <c r="K72">
        <f>IF(J72="", "", IF(J72&gt;=8,"ALTA",IF(J72&gt;=6,"MEDIA","BAJA")))</f>
        <v/>
      </c>
      <c r="L72">
        <f>IF(INVENTARIO!Y72="","",INVENTARIO!Y72)</f>
        <v/>
      </c>
      <c r="M72">
        <f>IF(INVENTARIO!Z72="","",INVENTARIO!Z72)</f>
        <v/>
      </c>
      <c r="N72">
        <f>IF(INVENTARIO!AA72="","",INVENTARIO!AA72)</f>
        <v/>
      </c>
      <c r="O72">
        <f>IF(INVENTARIO!AB72="","",INVENTARIO!AB72)</f>
        <v/>
      </c>
      <c r="P72">
        <f>IF(INVENTARIO!AC72="","",INVENTARIO!AC72)</f>
        <v/>
      </c>
      <c r="Q72">
        <f>IF(AND(K72="",N72="",L72=""),"",IF(AND((K72="ALTA"),OR(LEFT(N72,2)="L0",LEFT(N72,2)="L1",L72="No Iniciado")),"CRÍTICO - Incumplimiento Normativo SEPS",IF(AND(OR(LEFT(N72,2)="L4",LEFT(N72,2)="L5"),AND(P72&lt;&gt;"",P72&lt;&gt;"N/A")),"CONFORME - Control Efectivo ISO 27001","OBSERVACIÓN - Revisar Controles")))</f>
        <v/>
      </c>
    </row>
    <row r="73">
      <c r="A73">
        <f>IF(INVENTARIO!A73="","",INVENTARIO!A73)</f>
        <v/>
      </c>
      <c r="B73">
        <f>IF(INVENTARIO!E73="","",INVENTARIO!E73)</f>
        <v/>
      </c>
      <c r="C73">
        <f>IF(INVENTARIO!F73="","",INVENTARIO!F73)</f>
        <v/>
      </c>
      <c r="D73">
        <f>IF(INVENTARIO!H73="","",INVENTARIO!H73)</f>
        <v/>
      </c>
      <c r="E73">
        <f>IF(INVENTARIO!I73="","",INVENTARIO!I73)</f>
        <v/>
      </c>
      <c r="F73">
        <f>IF(INVENTARIO!N73="","",INVENTARIO!N73)</f>
        <v/>
      </c>
      <c r="G73">
        <f>IF(INVENTARIO!P73="","",INVENTARIO!P73)</f>
        <v/>
      </c>
      <c r="H73">
        <f>IF(INVENTARIO!Q73="","",INVENTARIO!Q73)</f>
        <v/>
      </c>
      <c r="I73">
        <f>IF(INVENTARIO!R73="","",INVENTARIO!R73)</f>
        <v/>
      </c>
      <c r="J73">
        <f>IF(G73="PUBLICA(1)",1,IF(G73="USO INTERNO(2)",2,IF(G73="RESTRINGIDO(3)",3,0)))+IF(H73="BAJA(1)",1,IF(H73="MEDIA(2)",2,IF(H73="ALTA(3)",3,0)))+IF(I73="BAJA(1)",1,IF(I73="MEDIA(2)",2,IF(I73="ALTA(3)",3,0)))</f>
        <v/>
      </c>
      <c r="K73">
        <f>IF(J73="", "", IF(J73&gt;=8,"ALTA",IF(J73&gt;=6,"MEDIA","BAJA")))</f>
        <v/>
      </c>
      <c r="L73">
        <f>IF(INVENTARIO!Y73="","",INVENTARIO!Y73)</f>
        <v/>
      </c>
      <c r="M73">
        <f>IF(INVENTARIO!Z73="","",INVENTARIO!Z73)</f>
        <v/>
      </c>
      <c r="N73">
        <f>IF(INVENTARIO!AA73="","",INVENTARIO!AA73)</f>
        <v/>
      </c>
      <c r="O73">
        <f>IF(INVENTARIO!AB73="","",INVENTARIO!AB73)</f>
        <v/>
      </c>
      <c r="P73">
        <f>IF(INVENTARIO!AC73="","",INVENTARIO!AC73)</f>
        <v/>
      </c>
      <c r="Q73">
        <f>IF(AND(K73="",N73="",L73=""),"",IF(AND((K73="ALTA"),OR(LEFT(N73,2)="L0",LEFT(N73,2)="L1",L73="No Iniciado")),"CRÍTICO - Incumplimiento Normativo SEPS",IF(AND(OR(LEFT(N73,2)="L4",LEFT(N73,2)="L5"),AND(P73&lt;&gt;"",P73&lt;&gt;"N/A")),"CONFORME - Control Efectivo ISO 27001","OBSERVACIÓN - Revisar Controles")))</f>
        <v/>
      </c>
    </row>
    <row r="74">
      <c r="A74">
        <f>IF(INVENTARIO!A74="","",INVENTARIO!A74)</f>
        <v/>
      </c>
      <c r="B74">
        <f>IF(INVENTARIO!E74="","",INVENTARIO!E74)</f>
        <v/>
      </c>
      <c r="C74">
        <f>IF(INVENTARIO!F74="","",INVENTARIO!F74)</f>
        <v/>
      </c>
      <c r="D74">
        <f>IF(INVENTARIO!H74="","",INVENTARIO!H74)</f>
        <v/>
      </c>
      <c r="E74">
        <f>IF(INVENTARIO!I74="","",INVENTARIO!I74)</f>
        <v/>
      </c>
      <c r="F74">
        <f>IF(INVENTARIO!N74="","",INVENTARIO!N74)</f>
        <v/>
      </c>
      <c r="G74">
        <f>IF(INVENTARIO!P74="","",INVENTARIO!P74)</f>
        <v/>
      </c>
      <c r="H74">
        <f>IF(INVENTARIO!Q74="","",INVENTARIO!Q74)</f>
        <v/>
      </c>
      <c r="I74">
        <f>IF(INVENTARIO!R74="","",INVENTARIO!R74)</f>
        <v/>
      </c>
      <c r="J74">
        <f>IF(G74="PUBLICA(1)",1,IF(G74="USO INTERNO(2)",2,IF(G74="RESTRINGIDO(3)",3,0)))+IF(H74="BAJA(1)",1,IF(H74="MEDIA(2)",2,IF(H74="ALTA(3)",3,0)))+IF(I74="BAJA(1)",1,IF(I74="MEDIA(2)",2,IF(I74="ALTA(3)",3,0)))</f>
        <v/>
      </c>
      <c r="K74">
        <f>IF(J74="", "", IF(J74&gt;=8,"ALTA",IF(J74&gt;=6,"MEDIA","BAJA")))</f>
        <v/>
      </c>
      <c r="L74">
        <f>IF(INVENTARIO!Y74="","",INVENTARIO!Y74)</f>
        <v/>
      </c>
      <c r="M74">
        <f>IF(INVENTARIO!Z74="","",INVENTARIO!Z74)</f>
        <v/>
      </c>
      <c r="N74">
        <f>IF(INVENTARIO!AA74="","",INVENTARIO!AA74)</f>
        <v/>
      </c>
      <c r="O74">
        <f>IF(INVENTARIO!AB74="","",INVENTARIO!AB74)</f>
        <v/>
      </c>
      <c r="P74">
        <f>IF(INVENTARIO!AC74="","",INVENTARIO!AC74)</f>
        <v/>
      </c>
      <c r="Q74">
        <f>IF(AND(K74="",N74="",L74=""),"",IF(AND((K74="ALTA"),OR(LEFT(N74,2)="L0",LEFT(N74,2)="L1",L74="No Iniciado")),"CRÍTICO - Incumplimiento Normativo SEPS",IF(AND(OR(LEFT(N74,2)="L4",LEFT(N74,2)="L5"),AND(P74&lt;&gt;"",P74&lt;&gt;"N/A")),"CONFORME - Control Efectivo ISO 27001","OBSERVACIÓN - Revisar Controles")))</f>
        <v/>
      </c>
    </row>
    <row r="75">
      <c r="A75">
        <f>IF(INVENTARIO!A75="","",INVENTARIO!A75)</f>
        <v/>
      </c>
      <c r="B75">
        <f>IF(INVENTARIO!E75="","",INVENTARIO!E75)</f>
        <v/>
      </c>
      <c r="C75">
        <f>IF(INVENTARIO!F75="","",INVENTARIO!F75)</f>
        <v/>
      </c>
      <c r="D75">
        <f>IF(INVENTARIO!H75="","",INVENTARIO!H75)</f>
        <v/>
      </c>
      <c r="E75">
        <f>IF(INVENTARIO!I75="","",INVENTARIO!I75)</f>
        <v/>
      </c>
      <c r="F75">
        <f>IF(INVENTARIO!N75="","",INVENTARIO!N75)</f>
        <v/>
      </c>
      <c r="G75">
        <f>IF(INVENTARIO!P75="","",INVENTARIO!P75)</f>
        <v/>
      </c>
      <c r="H75">
        <f>IF(INVENTARIO!Q75="","",INVENTARIO!Q75)</f>
        <v/>
      </c>
      <c r="I75">
        <f>IF(INVENTARIO!R75="","",INVENTARIO!R75)</f>
        <v/>
      </c>
      <c r="J75">
        <f>IF(G75="PUBLICA(1)",1,IF(G75="USO INTERNO(2)",2,IF(G75="RESTRINGIDO(3)",3,0)))+IF(H75="BAJA(1)",1,IF(H75="MEDIA(2)",2,IF(H75="ALTA(3)",3,0)))+IF(I75="BAJA(1)",1,IF(I75="MEDIA(2)",2,IF(I75="ALTA(3)",3,0)))</f>
        <v/>
      </c>
      <c r="K75">
        <f>IF(J75="", "", IF(J75&gt;=8,"ALTA",IF(J75&gt;=6,"MEDIA","BAJA")))</f>
        <v/>
      </c>
      <c r="L75">
        <f>IF(INVENTARIO!Y75="","",INVENTARIO!Y75)</f>
        <v/>
      </c>
      <c r="M75">
        <f>IF(INVENTARIO!Z75="","",INVENTARIO!Z75)</f>
        <v/>
      </c>
      <c r="N75">
        <f>IF(INVENTARIO!AA75="","",INVENTARIO!AA75)</f>
        <v/>
      </c>
      <c r="O75">
        <f>IF(INVENTARIO!AB75="","",INVENTARIO!AB75)</f>
        <v/>
      </c>
      <c r="P75">
        <f>IF(INVENTARIO!AC75="","",INVENTARIO!AC75)</f>
        <v/>
      </c>
      <c r="Q75">
        <f>IF(AND(K75="",N75="",L75=""),"",IF(AND((K75="ALTA"),OR(LEFT(N75,2)="L0",LEFT(N75,2)="L1",L75="No Iniciado")),"CRÍTICO - Incumplimiento Normativo SEPS",IF(AND(OR(LEFT(N75,2)="L4",LEFT(N75,2)="L5"),AND(P75&lt;&gt;"",P75&lt;&gt;"N/A")),"CONFORME - Control Efectivo ISO 27001","OBSERVACIÓN - Revisar Controles")))</f>
        <v/>
      </c>
    </row>
    <row r="76">
      <c r="A76">
        <f>IF(INVENTARIO!A76="","",INVENTARIO!A76)</f>
        <v/>
      </c>
      <c r="B76">
        <f>IF(INVENTARIO!E76="","",INVENTARIO!E76)</f>
        <v/>
      </c>
      <c r="C76">
        <f>IF(INVENTARIO!F76="","",INVENTARIO!F76)</f>
        <v/>
      </c>
      <c r="D76">
        <f>IF(INVENTARIO!H76="","",INVENTARIO!H76)</f>
        <v/>
      </c>
      <c r="E76">
        <f>IF(INVENTARIO!I76="","",INVENTARIO!I76)</f>
        <v/>
      </c>
      <c r="F76">
        <f>IF(INVENTARIO!N76="","",INVENTARIO!N76)</f>
        <v/>
      </c>
      <c r="G76">
        <f>IF(INVENTARIO!P76="","",INVENTARIO!P76)</f>
        <v/>
      </c>
      <c r="H76">
        <f>IF(INVENTARIO!Q76="","",INVENTARIO!Q76)</f>
        <v/>
      </c>
      <c r="I76">
        <f>IF(INVENTARIO!R76="","",INVENTARIO!R76)</f>
        <v/>
      </c>
      <c r="J76">
        <f>IF(G76="PUBLICA(1)",1,IF(G76="USO INTERNO(2)",2,IF(G76="RESTRINGIDO(3)",3,0)))+IF(H76="BAJA(1)",1,IF(H76="MEDIA(2)",2,IF(H76="ALTA(3)",3,0)))+IF(I76="BAJA(1)",1,IF(I76="MEDIA(2)",2,IF(I76="ALTA(3)",3,0)))</f>
        <v/>
      </c>
      <c r="K76">
        <f>IF(J76="", "", IF(J76&gt;=8,"ALTA",IF(J76&gt;=6,"MEDIA","BAJA")))</f>
        <v/>
      </c>
      <c r="L76">
        <f>IF(INVENTARIO!Y76="","",INVENTARIO!Y76)</f>
        <v/>
      </c>
      <c r="M76">
        <f>IF(INVENTARIO!Z76="","",INVENTARIO!Z76)</f>
        <v/>
      </c>
      <c r="N76">
        <f>IF(INVENTARIO!AA76="","",INVENTARIO!AA76)</f>
        <v/>
      </c>
      <c r="O76">
        <f>IF(INVENTARIO!AB76="","",INVENTARIO!AB76)</f>
        <v/>
      </c>
      <c r="P76">
        <f>IF(INVENTARIO!AC76="","",INVENTARIO!AC76)</f>
        <v/>
      </c>
      <c r="Q76">
        <f>IF(AND(K76="",N76="",L76=""),"",IF(AND((K76="ALTA"),OR(LEFT(N76,2)="L0",LEFT(N76,2)="L1",L76="No Iniciado")),"CRÍTICO - Incumplimiento Normativo SEPS",IF(AND(OR(LEFT(N76,2)="L4",LEFT(N76,2)="L5"),AND(P76&lt;&gt;"",P76&lt;&gt;"N/A")),"CONFORME - Control Efectivo ISO 27001","OBSERVACIÓN - Revisar Controles")))</f>
        <v/>
      </c>
    </row>
    <row r="77">
      <c r="A77">
        <f>IF(INVENTARIO!A77="","",INVENTARIO!A77)</f>
        <v/>
      </c>
      <c r="B77">
        <f>IF(INVENTARIO!E77="","",INVENTARIO!E77)</f>
        <v/>
      </c>
      <c r="C77">
        <f>IF(INVENTARIO!F77="","",INVENTARIO!F77)</f>
        <v/>
      </c>
      <c r="D77">
        <f>IF(INVENTARIO!H77="","",INVENTARIO!H77)</f>
        <v/>
      </c>
      <c r="E77">
        <f>IF(INVENTARIO!I77="","",INVENTARIO!I77)</f>
        <v/>
      </c>
      <c r="F77">
        <f>IF(INVENTARIO!N77="","",INVENTARIO!N77)</f>
        <v/>
      </c>
      <c r="G77">
        <f>IF(INVENTARIO!P77="","",INVENTARIO!P77)</f>
        <v/>
      </c>
      <c r="H77">
        <f>IF(INVENTARIO!Q77="","",INVENTARIO!Q77)</f>
        <v/>
      </c>
      <c r="I77">
        <f>IF(INVENTARIO!R77="","",INVENTARIO!R77)</f>
        <v/>
      </c>
      <c r="J77">
        <f>IF(G77="PUBLICA(1)",1,IF(G77="USO INTERNO(2)",2,IF(G77="RESTRINGIDO(3)",3,0)))+IF(H77="BAJA(1)",1,IF(H77="MEDIA(2)",2,IF(H77="ALTA(3)",3,0)))+IF(I77="BAJA(1)",1,IF(I77="MEDIA(2)",2,IF(I77="ALTA(3)",3,0)))</f>
        <v/>
      </c>
      <c r="K77">
        <f>IF(J77="", "", IF(J77&gt;=8,"ALTA",IF(J77&gt;=6,"MEDIA","BAJA")))</f>
        <v/>
      </c>
      <c r="L77">
        <f>IF(INVENTARIO!Y77="","",INVENTARIO!Y77)</f>
        <v/>
      </c>
      <c r="M77">
        <f>IF(INVENTARIO!Z77="","",INVENTARIO!Z77)</f>
        <v/>
      </c>
      <c r="N77">
        <f>IF(INVENTARIO!AA77="","",INVENTARIO!AA77)</f>
        <v/>
      </c>
      <c r="O77">
        <f>IF(INVENTARIO!AB77="","",INVENTARIO!AB77)</f>
        <v/>
      </c>
      <c r="P77">
        <f>IF(INVENTARIO!AC77="","",INVENTARIO!AC77)</f>
        <v/>
      </c>
      <c r="Q77">
        <f>IF(AND(K77="",N77="",L77=""),"",IF(AND((K77="ALTA"),OR(LEFT(N77,2)="L0",LEFT(N77,2)="L1",L77="No Iniciado")),"CRÍTICO - Incumplimiento Normativo SEPS",IF(AND(OR(LEFT(N77,2)="L4",LEFT(N77,2)="L5"),AND(P77&lt;&gt;"",P77&lt;&gt;"N/A")),"CONFORME - Control Efectivo ISO 27001","OBSERVACIÓN - Revisar Controles")))</f>
        <v/>
      </c>
    </row>
    <row r="78">
      <c r="A78">
        <f>IF(INVENTARIO!A78="","",INVENTARIO!A78)</f>
        <v/>
      </c>
      <c r="B78">
        <f>IF(INVENTARIO!E78="","",INVENTARIO!E78)</f>
        <v/>
      </c>
      <c r="C78">
        <f>IF(INVENTARIO!F78="","",INVENTARIO!F78)</f>
        <v/>
      </c>
      <c r="D78">
        <f>IF(INVENTARIO!H78="","",INVENTARIO!H78)</f>
        <v/>
      </c>
      <c r="E78">
        <f>IF(INVENTARIO!I78="","",INVENTARIO!I78)</f>
        <v/>
      </c>
      <c r="F78">
        <f>IF(INVENTARIO!N78="","",INVENTARIO!N78)</f>
        <v/>
      </c>
      <c r="G78">
        <f>IF(INVENTARIO!P78="","",INVENTARIO!P78)</f>
        <v/>
      </c>
      <c r="H78">
        <f>IF(INVENTARIO!Q78="","",INVENTARIO!Q78)</f>
        <v/>
      </c>
      <c r="I78">
        <f>IF(INVENTARIO!R78="","",INVENTARIO!R78)</f>
        <v/>
      </c>
      <c r="J78">
        <f>IF(G78="PUBLICA(1)",1,IF(G78="USO INTERNO(2)",2,IF(G78="RESTRINGIDO(3)",3,0)))+IF(H78="BAJA(1)",1,IF(H78="MEDIA(2)",2,IF(H78="ALTA(3)",3,0)))+IF(I78="BAJA(1)",1,IF(I78="MEDIA(2)",2,IF(I78="ALTA(3)",3,0)))</f>
        <v/>
      </c>
      <c r="K78">
        <f>IF(J78="", "", IF(J78&gt;=8,"ALTA",IF(J78&gt;=6,"MEDIA","BAJA")))</f>
        <v/>
      </c>
      <c r="L78">
        <f>IF(INVENTARIO!Y78="","",INVENTARIO!Y78)</f>
        <v/>
      </c>
      <c r="M78">
        <f>IF(INVENTARIO!Z78="","",INVENTARIO!Z78)</f>
        <v/>
      </c>
      <c r="N78">
        <f>IF(INVENTARIO!AA78="","",INVENTARIO!AA78)</f>
        <v/>
      </c>
      <c r="O78">
        <f>IF(INVENTARIO!AB78="","",INVENTARIO!AB78)</f>
        <v/>
      </c>
      <c r="P78">
        <f>IF(INVENTARIO!AC78="","",INVENTARIO!AC78)</f>
        <v/>
      </c>
      <c r="Q78">
        <f>IF(AND(K78="",N78="",L78=""),"",IF(AND((K78="ALTA"),OR(LEFT(N78,2)="L0",LEFT(N78,2)="L1",L78="No Iniciado")),"CRÍTICO - Incumplimiento Normativo SEPS",IF(AND(OR(LEFT(N78,2)="L4",LEFT(N78,2)="L5"),AND(P78&lt;&gt;"",P78&lt;&gt;"N/A")),"CONFORME - Control Efectivo ISO 27001","OBSERVACIÓN - Revisar Controles")))</f>
        <v/>
      </c>
    </row>
    <row r="79">
      <c r="A79">
        <f>IF(INVENTARIO!A79="","",INVENTARIO!A79)</f>
        <v/>
      </c>
      <c r="B79">
        <f>IF(INVENTARIO!E79="","",INVENTARIO!E79)</f>
        <v/>
      </c>
      <c r="C79">
        <f>IF(INVENTARIO!F79="","",INVENTARIO!F79)</f>
        <v/>
      </c>
      <c r="D79">
        <f>IF(INVENTARIO!H79="","",INVENTARIO!H79)</f>
        <v/>
      </c>
      <c r="E79">
        <f>IF(INVENTARIO!I79="","",INVENTARIO!I79)</f>
        <v/>
      </c>
      <c r="F79">
        <f>IF(INVENTARIO!N79="","",INVENTARIO!N79)</f>
        <v/>
      </c>
      <c r="G79">
        <f>IF(INVENTARIO!P79="","",INVENTARIO!P79)</f>
        <v/>
      </c>
      <c r="H79">
        <f>IF(INVENTARIO!Q79="","",INVENTARIO!Q79)</f>
        <v/>
      </c>
      <c r="I79">
        <f>IF(INVENTARIO!R79="","",INVENTARIO!R79)</f>
        <v/>
      </c>
      <c r="J79">
        <f>IF(G79="PUBLICA(1)",1,IF(G79="USO INTERNO(2)",2,IF(G79="RESTRINGIDO(3)",3,0)))+IF(H79="BAJA(1)",1,IF(H79="MEDIA(2)",2,IF(H79="ALTA(3)",3,0)))+IF(I79="BAJA(1)",1,IF(I79="MEDIA(2)",2,IF(I79="ALTA(3)",3,0)))</f>
        <v/>
      </c>
      <c r="K79">
        <f>IF(J79="", "", IF(J79&gt;=8,"ALTA",IF(J79&gt;=6,"MEDIA","BAJA")))</f>
        <v/>
      </c>
      <c r="L79">
        <f>IF(INVENTARIO!Y79="","",INVENTARIO!Y79)</f>
        <v/>
      </c>
      <c r="M79">
        <f>IF(INVENTARIO!Z79="","",INVENTARIO!Z79)</f>
        <v/>
      </c>
      <c r="N79">
        <f>IF(INVENTARIO!AA79="","",INVENTARIO!AA79)</f>
        <v/>
      </c>
      <c r="O79">
        <f>IF(INVENTARIO!AB79="","",INVENTARIO!AB79)</f>
        <v/>
      </c>
      <c r="P79">
        <f>IF(INVENTARIO!AC79="","",INVENTARIO!AC79)</f>
        <v/>
      </c>
      <c r="Q79">
        <f>IF(AND(K79="",N79="",L79=""),"",IF(AND((K79="ALTA"),OR(LEFT(N79,2)="L0",LEFT(N79,2)="L1",L79="No Iniciado")),"CRÍTICO - Incumplimiento Normativo SEPS",IF(AND(OR(LEFT(N79,2)="L4",LEFT(N79,2)="L5"),AND(P79&lt;&gt;"",P79&lt;&gt;"N/A")),"CONFORME - Control Efectivo ISO 27001","OBSERVACIÓN - Revisar Controles")))</f>
        <v/>
      </c>
    </row>
    <row r="80">
      <c r="A80">
        <f>IF(INVENTARIO!A80="","",INVENTARIO!A80)</f>
        <v/>
      </c>
      <c r="B80">
        <f>IF(INVENTARIO!E80="","",INVENTARIO!E80)</f>
        <v/>
      </c>
      <c r="C80">
        <f>IF(INVENTARIO!F80="","",INVENTARIO!F80)</f>
        <v/>
      </c>
      <c r="D80">
        <f>IF(INVENTARIO!H80="","",INVENTARIO!H80)</f>
        <v/>
      </c>
      <c r="E80">
        <f>IF(INVENTARIO!I80="","",INVENTARIO!I80)</f>
        <v/>
      </c>
      <c r="F80">
        <f>IF(INVENTARIO!N80="","",INVENTARIO!N80)</f>
        <v/>
      </c>
      <c r="G80">
        <f>IF(INVENTARIO!P80="","",INVENTARIO!P80)</f>
        <v/>
      </c>
      <c r="H80">
        <f>IF(INVENTARIO!Q80="","",INVENTARIO!Q80)</f>
        <v/>
      </c>
      <c r="I80">
        <f>IF(INVENTARIO!R80="","",INVENTARIO!R80)</f>
        <v/>
      </c>
      <c r="J80">
        <f>IF(G80="PUBLICA(1)",1,IF(G80="USO INTERNO(2)",2,IF(G80="RESTRINGIDO(3)",3,0)))+IF(H80="BAJA(1)",1,IF(H80="MEDIA(2)",2,IF(H80="ALTA(3)",3,0)))+IF(I80="BAJA(1)",1,IF(I80="MEDIA(2)",2,IF(I80="ALTA(3)",3,0)))</f>
        <v/>
      </c>
      <c r="K80">
        <f>IF(J80="", "", IF(J80&gt;=8,"ALTA",IF(J80&gt;=6,"MEDIA","BAJA")))</f>
        <v/>
      </c>
      <c r="L80">
        <f>IF(INVENTARIO!Y80="","",INVENTARIO!Y80)</f>
        <v/>
      </c>
      <c r="M80">
        <f>IF(INVENTARIO!Z80="","",INVENTARIO!Z80)</f>
        <v/>
      </c>
      <c r="N80">
        <f>IF(INVENTARIO!AA80="","",INVENTARIO!AA80)</f>
        <v/>
      </c>
      <c r="O80">
        <f>IF(INVENTARIO!AB80="","",INVENTARIO!AB80)</f>
        <v/>
      </c>
      <c r="P80">
        <f>IF(INVENTARIO!AC80="","",INVENTARIO!AC80)</f>
        <v/>
      </c>
      <c r="Q80">
        <f>IF(AND(K80="",N80="",L80=""),"",IF(AND((K80="ALTA"),OR(LEFT(N80,2)="L0",LEFT(N80,2)="L1",L80="No Iniciado")),"CRÍTICO - Incumplimiento Normativo SEPS",IF(AND(OR(LEFT(N80,2)="L4",LEFT(N80,2)="L5"),AND(P80&lt;&gt;"",P80&lt;&gt;"N/A")),"CONFORME - Control Efectivo ISO 27001","OBSERVACIÓN - Revisar Controles")))</f>
        <v/>
      </c>
    </row>
    <row r="81">
      <c r="A81">
        <f>IF(INVENTARIO!A81="","",INVENTARIO!A81)</f>
        <v/>
      </c>
      <c r="B81">
        <f>IF(INVENTARIO!E81="","",INVENTARIO!E81)</f>
        <v/>
      </c>
      <c r="C81">
        <f>IF(INVENTARIO!F81="","",INVENTARIO!F81)</f>
        <v/>
      </c>
      <c r="D81">
        <f>IF(INVENTARIO!H81="","",INVENTARIO!H81)</f>
        <v/>
      </c>
      <c r="E81">
        <f>IF(INVENTARIO!I81="","",INVENTARIO!I81)</f>
        <v/>
      </c>
      <c r="F81">
        <f>IF(INVENTARIO!N81="","",INVENTARIO!N81)</f>
        <v/>
      </c>
      <c r="G81">
        <f>IF(INVENTARIO!P81="","",INVENTARIO!P81)</f>
        <v/>
      </c>
      <c r="H81">
        <f>IF(INVENTARIO!Q81="","",INVENTARIO!Q81)</f>
        <v/>
      </c>
      <c r="I81">
        <f>IF(INVENTARIO!R81="","",INVENTARIO!R81)</f>
        <v/>
      </c>
      <c r="J81">
        <f>IF(G81="PUBLICA(1)",1,IF(G81="USO INTERNO(2)",2,IF(G81="RESTRINGIDO(3)",3,0)))+IF(H81="BAJA(1)",1,IF(H81="MEDIA(2)",2,IF(H81="ALTA(3)",3,0)))+IF(I81="BAJA(1)",1,IF(I81="MEDIA(2)",2,IF(I81="ALTA(3)",3,0)))</f>
        <v/>
      </c>
      <c r="K81">
        <f>IF(J81="", "", IF(J81&gt;=8,"ALTA",IF(J81&gt;=6,"MEDIA","BAJA")))</f>
        <v/>
      </c>
      <c r="L81">
        <f>IF(INVENTARIO!Y81="","",INVENTARIO!Y81)</f>
        <v/>
      </c>
      <c r="M81">
        <f>IF(INVENTARIO!Z81="","",INVENTARIO!Z81)</f>
        <v/>
      </c>
      <c r="N81">
        <f>IF(INVENTARIO!AA81="","",INVENTARIO!AA81)</f>
        <v/>
      </c>
      <c r="O81">
        <f>IF(INVENTARIO!AB81="","",INVENTARIO!AB81)</f>
        <v/>
      </c>
      <c r="P81">
        <f>IF(INVENTARIO!AC81="","",INVENTARIO!AC81)</f>
        <v/>
      </c>
      <c r="Q81">
        <f>IF(AND(K81="",N81="",L81=""),"",IF(AND((K81="ALTA"),OR(LEFT(N81,2)="L0",LEFT(N81,2)="L1",L81="No Iniciado")),"CRÍTICO - Incumplimiento Normativo SEPS",IF(AND(OR(LEFT(N81,2)="L4",LEFT(N81,2)="L5"),AND(P81&lt;&gt;"",P81&lt;&gt;"N/A")),"CONFORME - Control Efectivo ISO 27001","OBSERVACIÓN - Revisar Controles")))</f>
        <v/>
      </c>
    </row>
    <row r="82">
      <c r="A82">
        <f>IF(INVENTARIO!A82="","",INVENTARIO!A82)</f>
        <v/>
      </c>
      <c r="B82">
        <f>IF(INVENTARIO!E82="","",INVENTARIO!E82)</f>
        <v/>
      </c>
      <c r="C82">
        <f>IF(INVENTARIO!F82="","",INVENTARIO!F82)</f>
        <v/>
      </c>
      <c r="D82">
        <f>IF(INVENTARIO!H82="","",INVENTARIO!H82)</f>
        <v/>
      </c>
      <c r="E82">
        <f>IF(INVENTARIO!I82="","",INVENTARIO!I82)</f>
        <v/>
      </c>
      <c r="F82">
        <f>IF(INVENTARIO!N82="","",INVENTARIO!N82)</f>
        <v/>
      </c>
      <c r="G82">
        <f>IF(INVENTARIO!P82="","",INVENTARIO!P82)</f>
        <v/>
      </c>
      <c r="H82">
        <f>IF(INVENTARIO!Q82="","",INVENTARIO!Q82)</f>
        <v/>
      </c>
      <c r="I82">
        <f>IF(INVENTARIO!R82="","",INVENTARIO!R82)</f>
        <v/>
      </c>
      <c r="J82">
        <f>IF(G82="PUBLICA(1)",1,IF(G82="USO INTERNO(2)",2,IF(G82="RESTRINGIDO(3)",3,0)))+IF(H82="BAJA(1)",1,IF(H82="MEDIA(2)",2,IF(H82="ALTA(3)",3,0)))+IF(I82="BAJA(1)",1,IF(I82="MEDIA(2)",2,IF(I82="ALTA(3)",3,0)))</f>
        <v/>
      </c>
      <c r="K82">
        <f>IF(J82="", "", IF(J82&gt;=8,"ALTA",IF(J82&gt;=6,"MEDIA","BAJA")))</f>
        <v/>
      </c>
      <c r="L82">
        <f>IF(INVENTARIO!Y82="","",INVENTARIO!Y82)</f>
        <v/>
      </c>
      <c r="M82">
        <f>IF(INVENTARIO!Z82="","",INVENTARIO!Z82)</f>
        <v/>
      </c>
      <c r="N82">
        <f>IF(INVENTARIO!AA82="","",INVENTARIO!AA82)</f>
        <v/>
      </c>
      <c r="O82">
        <f>IF(INVENTARIO!AB82="","",INVENTARIO!AB82)</f>
        <v/>
      </c>
      <c r="P82">
        <f>IF(INVENTARIO!AC82="","",INVENTARIO!AC82)</f>
        <v/>
      </c>
      <c r="Q82">
        <f>IF(AND(K82="",N82="",L82=""),"",IF(AND((K82="ALTA"),OR(LEFT(N82,2)="L0",LEFT(N82,2)="L1",L82="No Iniciado")),"CRÍTICO - Incumplimiento Normativo SEPS",IF(AND(OR(LEFT(N82,2)="L4",LEFT(N82,2)="L5"),AND(P82&lt;&gt;"",P82&lt;&gt;"N/A")),"CONFORME - Control Efectivo ISO 27001","OBSERVACIÓN - Revisar Controles")))</f>
        <v/>
      </c>
    </row>
    <row r="83">
      <c r="A83">
        <f>IF(INVENTARIO!A83="","",INVENTARIO!A83)</f>
        <v/>
      </c>
      <c r="B83">
        <f>IF(INVENTARIO!E83="","",INVENTARIO!E83)</f>
        <v/>
      </c>
      <c r="C83">
        <f>IF(INVENTARIO!F83="","",INVENTARIO!F83)</f>
        <v/>
      </c>
      <c r="D83">
        <f>IF(INVENTARIO!H83="","",INVENTARIO!H83)</f>
        <v/>
      </c>
      <c r="E83">
        <f>IF(INVENTARIO!I83="","",INVENTARIO!I83)</f>
        <v/>
      </c>
      <c r="F83">
        <f>IF(INVENTARIO!N83="","",INVENTARIO!N83)</f>
        <v/>
      </c>
      <c r="G83">
        <f>IF(INVENTARIO!P83="","",INVENTARIO!P83)</f>
        <v/>
      </c>
      <c r="H83">
        <f>IF(INVENTARIO!Q83="","",INVENTARIO!Q83)</f>
        <v/>
      </c>
      <c r="I83">
        <f>IF(INVENTARIO!R83="","",INVENTARIO!R83)</f>
        <v/>
      </c>
      <c r="J83">
        <f>IF(G83="PUBLICA(1)",1,IF(G83="USO INTERNO(2)",2,IF(G83="RESTRINGIDO(3)",3,0)))+IF(H83="BAJA(1)",1,IF(H83="MEDIA(2)",2,IF(H83="ALTA(3)",3,0)))+IF(I83="BAJA(1)",1,IF(I83="MEDIA(2)",2,IF(I83="ALTA(3)",3,0)))</f>
        <v/>
      </c>
      <c r="K83">
        <f>IF(J83="", "", IF(J83&gt;=8,"ALTA",IF(J83&gt;=6,"MEDIA","BAJA")))</f>
        <v/>
      </c>
      <c r="L83">
        <f>IF(INVENTARIO!Y83="","",INVENTARIO!Y83)</f>
        <v/>
      </c>
      <c r="M83">
        <f>IF(INVENTARIO!Z83="","",INVENTARIO!Z83)</f>
        <v/>
      </c>
      <c r="N83">
        <f>IF(INVENTARIO!AA83="","",INVENTARIO!AA83)</f>
        <v/>
      </c>
      <c r="O83">
        <f>IF(INVENTARIO!AB83="","",INVENTARIO!AB83)</f>
        <v/>
      </c>
      <c r="P83">
        <f>IF(INVENTARIO!AC83="","",INVENTARIO!AC83)</f>
        <v/>
      </c>
      <c r="Q83">
        <f>IF(AND(K83="",N83="",L83=""),"",IF(AND((K83="ALTA"),OR(LEFT(N83,2)="L0",LEFT(N83,2)="L1",L83="No Iniciado")),"CRÍTICO - Incumplimiento Normativo SEPS",IF(AND(OR(LEFT(N83,2)="L4",LEFT(N83,2)="L5"),AND(P83&lt;&gt;"",P83&lt;&gt;"N/A")),"CONFORME - Control Efectivo ISO 27001","OBSERVACIÓN - Revisar Controles")))</f>
        <v/>
      </c>
    </row>
    <row r="84">
      <c r="A84">
        <f>IF(INVENTARIO!A84="","",INVENTARIO!A84)</f>
        <v/>
      </c>
      <c r="B84">
        <f>IF(INVENTARIO!E84="","",INVENTARIO!E84)</f>
        <v/>
      </c>
      <c r="C84">
        <f>IF(INVENTARIO!F84="","",INVENTARIO!F84)</f>
        <v/>
      </c>
      <c r="D84">
        <f>IF(INVENTARIO!H84="","",INVENTARIO!H84)</f>
        <v/>
      </c>
      <c r="E84">
        <f>IF(INVENTARIO!I84="","",INVENTARIO!I84)</f>
        <v/>
      </c>
      <c r="F84">
        <f>IF(INVENTARIO!N84="","",INVENTARIO!N84)</f>
        <v/>
      </c>
      <c r="G84">
        <f>IF(INVENTARIO!P84="","",INVENTARIO!P84)</f>
        <v/>
      </c>
      <c r="H84">
        <f>IF(INVENTARIO!Q84="","",INVENTARIO!Q84)</f>
        <v/>
      </c>
      <c r="I84">
        <f>IF(INVENTARIO!R84="","",INVENTARIO!R84)</f>
        <v/>
      </c>
      <c r="J84">
        <f>IF(G84="PUBLICA(1)",1,IF(G84="USO INTERNO(2)",2,IF(G84="RESTRINGIDO(3)",3,0)))+IF(H84="BAJA(1)",1,IF(H84="MEDIA(2)",2,IF(H84="ALTA(3)",3,0)))+IF(I84="BAJA(1)",1,IF(I84="MEDIA(2)",2,IF(I84="ALTA(3)",3,0)))</f>
        <v/>
      </c>
      <c r="K84">
        <f>IF(J84="", "", IF(J84&gt;=8,"ALTA",IF(J84&gt;=6,"MEDIA","BAJA")))</f>
        <v/>
      </c>
      <c r="L84">
        <f>IF(INVENTARIO!Y84="","",INVENTARIO!Y84)</f>
        <v/>
      </c>
      <c r="M84">
        <f>IF(INVENTARIO!Z84="","",INVENTARIO!Z84)</f>
        <v/>
      </c>
      <c r="N84">
        <f>IF(INVENTARIO!AA84="","",INVENTARIO!AA84)</f>
        <v/>
      </c>
      <c r="O84">
        <f>IF(INVENTARIO!AB84="","",INVENTARIO!AB84)</f>
        <v/>
      </c>
      <c r="P84">
        <f>IF(INVENTARIO!AC84="","",INVENTARIO!AC84)</f>
        <v/>
      </c>
      <c r="Q84">
        <f>IF(AND(K84="",N84="",L84=""),"",IF(AND((K84="ALTA"),OR(LEFT(N84,2)="L0",LEFT(N84,2)="L1",L84="No Iniciado")),"CRÍTICO - Incumplimiento Normativo SEPS",IF(AND(OR(LEFT(N84,2)="L4",LEFT(N84,2)="L5"),AND(P84&lt;&gt;"",P84&lt;&gt;"N/A")),"CONFORME - Control Efectivo ISO 27001","OBSERVACIÓN - Revisar Controles")))</f>
        <v/>
      </c>
    </row>
    <row r="85">
      <c r="A85">
        <f>IF(INVENTARIO!A85="","",INVENTARIO!A85)</f>
        <v/>
      </c>
      <c r="B85">
        <f>IF(INVENTARIO!E85="","",INVENTARIO!E85)</f>
        <v/>
      </c>
      <c r="C85">
        <f>IF(INVENTARIO!F85="","",INVENTARIO!F85)</f>
        <v/>
      </c>
      <c r="D85">
        <f>IF(INVENTARIO!H85="","",INVENTARIO!H85)</f>
        <v/>
      </c>
      <c r="E85">
        <f>IF(INVENTARIO!I85="","",INVENTARIO!I85)</f>
        <v/>
      </c>
      <c r="F85">
        <f>IF(INVENTARIO!N85="","",INVENTARIO!N85)</f>
        <v/>
      </c>
      <c r="G85">
        <f>IF(INVENTARIO!P85="","",INVENTARIO!P85)</f>
        <v/>
      </c>
      <c r="H85">
        <f>IF(INVENTARIO!Q85="","",INVENTARIO!Q85)</f>
        <v/>
      </c>
      <c r="I85">
        <f>IF(INVENTARIO!R85="","",INVENTARIO!R85)</f>
        <v/>
      </c>
      <c r="J85">
        <f>IF(G85="PUBLICA(1)",1,IF(G85="USO INTERNO(2)",2,IF(G85="RESTRINGIDO(3)",3,0)))+IF(H85="BAJA(1)",1,IF(H85="MEDIA(2)",2,IF(H85="ALTA(3)",3,0)))+IF(I85="BAJA(1)",1,IF(I85="MEDIA(2)",2,IF(I85="ALTA(3)",3,0)))</f>
        <v/>
      </c>
      <c r="K85">
        <f>IF(J85="", "", IF(J85&gt;=8,"ALTA",IF(J85&gt;=6,"MEDIA","BAJA")))</f>
        <v/>
      </c>
      <c r="L85">
        <f>IF(INVENTARIO!Y85="","",INVENTARIO!Y85)</f>
        <v/>
      </c>
      <c r="M85">
        <f>IF(INVENTARIO!Z85="","",INVENTARIO!Z85)</f>
        <v/>
      </c>
      <c r="N85">
        <f>IF(INVENTARIO!AA85="","",INVENTARIO!AA85)</f>
        <v/>
      </c>
      <c r="O85">
        <f>IF(INVENTARIO!AB85="","",INVENTARIO!AB85)</f>
        <v/>
      </c>
      <c r="P85">
        <f>IF(INVENTARIO!AC85="","",INVENTARIO!AC85)</f>
        <v/>
      </c>
      <c r="Q85">
        <f>IF(AND(K85="",N85="",L85=""),"",IF(AND((K85="ALTA"),OR(LEFT(N85,2)="L0",LEFT(N85,2)="L1",L85="No Iniciado")),"CRÍTICO - Incumplimiento Normativo SEPS",IF(AND(OR(LEFT(N85,2)="L4",LEFT(N85,2)="L5"),AND(P85&lt;&gt;"",P85&lt;&gt;"N/A")),"CONFORME - Control Efectivo ISO 27001","OBSERVACIÓN - Revisar Controles")))</f>
        <v/>
      </c>
    </row>
    <row r="86">
      <c r="A86">
        <f>IF(INVENTARIO!A86="","",INVENTARIO!A86)</f>
        <v/>
      </c>
      <c r="B86">
        <f>IF(INVENTARIO!E86="","",INVENTARIO!E86)</f>
        <v/>
      </c>
      <c r="C86">
        <f>IF(INVENTARIO!F86="","",INVENTARIO!F86)</f>
        <v/>
      </c>
      <c r="D86">
        <f>IF(INVENTARIO!H86="","",INVENTARIO!H86)</f>
        <v/>
      </c>
      <c r="E86">
        <f>IF(INVENTARIO!I86="","",INVENTARIO!I86)</f>
        <v/>
      </c>
      <c r="F86">
        <f>IF(INVENTARIO!N86="","",INVENTARIO!N86)</f>
        <v/>
      </c>
      <c r="G86">
        <f>IF(INVENTARIO!P86="","",INVENTARIO!P86)</f>
        <v/>
      </c>
      <c r="H86">
        <f>IF(INVENTARIO!Q86="","",INVENTARIO!Q86)</f>
        <v/>
      </c>
      <c r="I86">
        <f>IF(INVENTARIO!R86="","",INVENTARIO!R86)</f>
        <v/>
      </c>
      <c r="J86">
        <f>IF(G86="PUBLICA(1)",1,IF(G86="USO INTERNO(2)",2,IF(G86="RESTRINGIDO(3)",3,0)))+IF(H86="BAJA(1)",1,IF(H86="MEDIA(2)",2,IF(H86="ALTA(3)",3,0)))+IF(I86="BAJA(1)",1,IF(I86="MEDIA(2)",2,IF(I86="ALTA(3)",3,0)))</f>
        <v/>
      </c>
      <c r="K86">
        <f>IF(J86="", "", IF(J86&gt;=8,"ALTA",IF(J86&gt;=6,"MEDIA","BAJA")))</f>
        <v/>
      </c>
      <c r="L86">
        <f>IF(INVENTARIO!Y86="","",INVENTARIO!Y86)</f>
        <v/>
      </c>
      <c r="M86">
        <f>IF(INVENTARIO!Z86="","",INVENTARIO!Z86)</f>
        <v/>
      </c>
      <c r="N86">
        <f>IF(INVENTARIO!AA86="","",INVENTARIO!AA86)</f>
        <v/>
      </c>
      <c r="O86">
        <f>IF(INVENTARIO!AB86="","",INVENTARIO!AB86)</f>
        <v/>
      </c>
      <c r="P86">
        <f>IF(INVENTARIO!AC86="","",INVENTARIO!AC86)</f>
        <v/>
      </c>
      <c r="Q86">
        <f>IF(AND(K86="",N86="",L86=""),"",IF(AND((K86="ALTA"),OR(LEFT(N86,2)="L0",LEFT(N86,2)="L1",L86="No Iniciado")),"CRÍTICO - Incumplimiento Normativo SEPS",IF(AND(OR(LEFT(N86,2)="L4",LEFT(N86,2)="L5"),AND(P86&lt;&gt;"",P86&lt;&gt;"N/A")),"CONFORME - Control Efectivo ISO 27001","OBSERVACIÓN - Revisar Controles")))</f>
        <v/>
      </c>
    </row>
    <row r="87">
      <c r="A87">
        <f>IF(INVENTARIO!A87="","",INVENTARIO!A87)</f>
        <v/>
      </c>
      <c r="B87">
        <f>IF(INVENTARIO!E87="","",INVENTARIO!E87)</f>
        <v/>
      </c>
      <c r="C87">
        <f>IF(INVENTARIO!F87="","",INVENTARIO!F87)</f>
        <v/>
      </c>
      <c r="D87">
        <f>IF(INVENTARIO!H87="","",INVENTARIO!H87)</f>
        <v/>
      </c>
      <c r="E87">
        <f>IF(INVENTARIO!I87="","",INVENTARIO!I87)</f>
        <v/>
      </c>
      <c r="F87">
        <f>IF(INVENTARIO!N87="","",INVENTARIO!N87)</f>
        <v/>
      </c>
      <c r="G87">
        <f>IF(INVENTARIO!P87="","",INVENTARIO!P87)</f>
        <v/>
      </c>
      <c r="H87">
        <f>IF(INVENTARIO!Q87="","",INVENTARIO!Q87)</f>
        <v/>
      </c>
      <c r="I87">
        <f>IF(INVENTARIO!R87="","",INVENTARIO!R87)</f>
        <v/>
      </c>
      <c r="J87">
        <f>IF(G87="PUBLICA(1)",1,IF(G87="USO INTERNO(2)",2,IF(G87="RESTRINGIDO(3)",3,0)))+IF(H87="BAJA(1)",1,IF(H87="MEDIA(2)",2,IF(H87="ALTA(3)",3,0)))+IF(I87="BAJA(1)",1,IF(I87="MEDIA(2)",2,IF(I87="ALTA(3)",3,0)))</f>
        <v/>
      </c>
      <c r="K87">
        <f>IF(J87="", "", IF(J87&gt;=8,"ALTA",IF(J87&gt;=6,"MEDIA","BAJA")))</f>
        <v/>
      </c>
      <c r="L87">
        <f>IF(INVENTARIO!Y87="","",INVENTARIO!Y87)</f>
        <v/>
      </c>
      <c r="M87">
        <f>IF(INVENTARIO!Z87="","",INVENTARIO!Z87)</f>
        <v/>
      </c>
      <c r="N87">
        <f>IF(INVENTARIO!AA87="","",INVENTARIO!AA87)</f>
        <v/>
      </c>
      <c r="O87">
        <f>IF(INVENTARIO!AB87="","",INVENTARIO!AB87)</f>
        <v/>
      </c>
      <c r="P87">
        <f>IF(INVENTARIO!AC87="","",INVENTARIO!AC87)</f>
        <v/>
      </c>
      <c r="Q87">
        <f>IF(AND(K87="",N87="",L87=""),"",IF(AND((K87="ALTA"),OR(LEFT(N87,2)="L0",LEFT(N87,2)="L1",L87="No Iniciado")),"CRÍTICO - Incumplimiento Normativo SEPS",IF(AND(OR(LEFT(N87,2)="L4",LEFT(N87,2)="L5"),AND(P87&lt;&gt;"",P87&lt;&gt;"N/A")),"CONFORME - Control Efectivo ISO 27001","OBSERVACIÓN - Revisar Controles")))</f>
        <v/>
      </c>
    </row>
    <row r="88">
      <c r="A88">
        <f>IF(INVENTARIO!A88="","",INVENTARIO!A88)</f>
        <v/>
      </c>
      <c r="B88">
        <f>IF(INVENTARIO!E88="","",INVENTARIO!E88)</f>
        <v/>
      </c>
      <c r="C88">
        <f>IF(INVENTARIO!F88="","",INVENTARIO!F88)</f>
        <v/>
      </c>
      <c r="D88">
        <f>IF(INVENTARIO!H88="","",INVENTARIO!H88)</f>
        <v/>
      </c>
      <c r="E88">
        <f>IF(INVENTARIO!I88="","",INVENTARIO!I88)</f>
        <v/>
      </c>
      <c r="F88">
        <f>IF(INVENTARIO!N88="","",INVENTARIO!N88)</f>
        <v/>
      </c>
      <c r="G88">
        <f>IF(INVENTARIO!P88="","",INVENTARIO!P88)</f>
        <v/>
      </c>
      <c r="H88">
        <f>IF(INVENTARIO!Q88="","",INVENTARIO!Q88)</f>
        <v/>
      </c>
      <c r="I88">
        <f>IF(INVENTARIO!R88="","",INVENTARIO!R88)</f>
        <v/>
      </c>
      <c r="J88">
        <f>IF(G88="PUBLICA(1)",1,IF(G88="USO INTERNO(2)",2,IF(G88="RESTRINGIDO(3)",3,0)))+IF(H88="BAJA(1)",1,IF(H88="MEDIA(2)",2,IF(H88="ALTA(3)",3,0)))+IF(I88="BAJA(1)",1,IF(I88="MEDIA(2)",2,IF(I88="ALTA(3)",3,0)))</f>
        <v/>
      </c>
      <c r="K88">
        <f>IF(J88="", "", IF(J88&gt;=8,"ALTA",IF(J88&gt;=6,"MEDIA","BAJA")))</f>
        <v/>
      </c>
      <c r="L88">
        <f>IF(INVENTARIO!Y88="","",INVENTARIO!Y88)</f>
        <v/>
      </c>
      <c r="M88">
        <f>IF(INVENTARIO!Z88="","",INVENTARIO!Z88)</f>
        <v/>
      </c>
      <c r="N88">
        <f>IF(INVENTARIO!AA88="","",INVENTARIO!AA88)</f>
        <v/>
      </c>
      <c r="O88">
        <f>IF(INVENTARIO!AB88="","",INVENTARIO!AB88)</f>
        <v/>
      </c>
      <c r="P88">
        <f>IF(INVENTARIO!AC88="","",INVENTARIO!AC88)</f>
        <v/>
      </c>
      <c r="Q88">
        <f>IF(AND(K88="",N88="",L88=""),"",IF(AND((K88="ALTA"),OR(LEFT(N88,2)="L0",LEFT(N88,2)="L1",L88="No Iniciado")),"CRÍTICO - Incumplimiento Normativo SEPS",IF(AND(OR(LEFT(N88,2)="L4",LEFT(N88,2)="L5"),AND(P88&lt;&gt;"",P88&lt;&gt;"N/A")),"CONFORME - Control Efectivo ISO 27001","OBSERVACIÓN - Revisar Controles")))</f>
        <v/>
      </c>
    </row>
    <row r="89">
      <c r="A89">
        <f>IF(INVENTARIO!A89="","",INVENTARIO!A89)</f>
        <v/>
      </c>
      <c r="B89">
        <f>IF(INVENTARIO!E89="","",INVENTARIO!E89)</f>
        <v/>
      </c>
      <c r="C89">
        <f>IF(INVENTARIO!F89="","",INVENTARIO!F89)</f>
        <v/>
      </c>
      <c r="D89">
        <f>IF(INVENTARIO!H89="","",INVENTARIO!H89)</f>
        <v/>
      </c>
      <c r="E89">
        <f>IF(INVENTARIO!I89="","",INVENTARIO!I89)</f>
        <v/>
      </c>
      <c r="F89">
        <f>IF(INVENTARIO!N89="","",INVENTARIO!N89)</f>
        <v/>
      </c>
      <c r="G89">
        <f>IF(INVENTARIO!P89="","",INVENTARIO!P89)</f>
        <v/>
      </c>
      <c r="H89">
        <f>IF(INVENTARIO!Q89="","",INVENTARIO!Q89)</f>
        <v/>
      </c>
      <c r="I89">
        <f>IF(INVENTARIO!R89="","",INVENTARIO!R89)</f>
        <v/>
      </c>
      <c r="J89">
        <f>IF(G89="PUBLICA(1)",1,IF(G89="USO INTERNO(2)",2,IF(G89="RESTRINGIDO(3)",3,0)))+IF(H89="BAJA(1)",1,IF(H89="MEDIA(2)",2,IF(H89="ALTA(3)",3,0)))+IF(I89="BAJA(1)",1,IF(I89="MEDIA(2)",2,IF(I89="ALTA(3)",3,0)))</f>
        <v/>
      </c>
      <c r="K89">
        <f>IF(J89="", "", IF(J89&gt;=8,"ALTA",IF(J89&gt;=6,"MEDIA","BAJA")))</f>
        <v/>
      </c>
      <c r="L89">
        <f>IF(INVENTARIO!Y89="","",INVENTARIO!Y89)</f>
        <v/>
      </c>
      <c r="M89">
        <f>IF(INVENTARIO!Z89="","",INVENTARIO!Z89)</f>
        <v/>
      </c>
      <c r="N89">
        <f>IF(INVENTARIO!AA89="","",INVENTARIO!AA89)</f>
        <v/>
      </c>
      <c r="O89">
        <f>IF(INVENTARIO!AB89="","",INVENTARIO!AB89)</f>
        <v/>
      </c>
      <c r="P89">
        <f>IF(INVENTARIO!AC89="","",INVENTARIO!AC89)</f>
        <v/>
      </c>
      <c r="Q89">
        <f>IF(AND(K89="",N89="",L89=""),"",IF(AND((K89="ALTA"),OR(LEFT(N89,2)="L0",LEFT(N89,2)="L1",L89="No Iniciado")),"CRÍTICO - Incumplimiento Normativo SEPS",IF(AND(OR(LEFT(N89,2)="L4",LEFT(N89,2)="L5"),AND(P89&lt;&gt;"",P89&lt;&gt;"N/A")),"CONFORME - Control Efectivo ISO 27001","OBSERVACIÓN - Revisar Controles")))</f>
        <v/>
      </c>
    </row>
    <row r="90">
      <c r="A90">
        <f>IF(INVENTARIO!A90="","",INVENTARIO!A90)</f>
        <v/>
      </c>
      <c r="B90">
        <f>IF(INVENTARIO!E90="","",INVENTARIO!E90)</f>
        <v/>
      </c>
      <c r="C90">
        <f>IF(INVENTARIO!F90="","",INVENTARIO!F90)</f>
        <v/>
      </c>
      <c r="D90">
        <f>IF(INVENTARIO!H90="","",INVENTARIO!H90)</f>
        <v/>
      </c>
      <c r="E90">
        <f>IF(INVENTARIO!I90="","",INVENTARIO!I90)</f>
        <v/>
      </c>
      <c r="F90">
        <f>IF(INVENTARIO!N90="","",INVENTARIO!N90)</f>
        <v/>
      </c>
      <c r="G90">
        <f>IF(INVENTARIO!P90="","",INVENTARIO!P90)</f>
        <v/>
      </c>
      <c r="H90">
        <f>IF(INVENTARIO!Q90="","",INVENTARIO!Q90)</f>
        <v/>
      </c>
      <c r="I90">
        <f>IF(INVENTARIO!R90="","",INVENTARIO!R90)</f>
        <v/>
      </c>
      <c r="J90">
        <f>IF(G90="PUBLICA(1)",1,IF(G90="USO INTERNO(2)",2,IF(G90="RESTRINGIDO(3)",3,0)))+IF(H90="BAJA(1)",1,IF(H90="MEDIA(2)",2,IF(H90="ALTA(3)",3,0)))+IF(I90="BAJA(1)",1,IF(I90="MEDIA(2)",2,IF(I90="ALTA(3)",3,0)))</f>
        <v/>
      </c>
      <c r="K90">
        <f>IF(J90="", "", IF(J90&gt;=8,"ALTA",IF(J90&gt;=6,"MEDIA","BAJA")))</f>
        <v/>
      </c>
      <c r="L90">
        <f>IF(INVENTARIO!Y90="","",INVENTARIO!Y90)</f>
        <v/>
      </c>
      <c r="M90">
        <f>IF(INVENTARIO!Z90="","",INVENTARIO!Z90)</f>
        <v/>
      </c>
      <c r="N90">
        <f>IF(INVENTARIO!AA90="","",INVENTARIO!AA90)</f>
        <v/>
      </c>
      <c r="O90">
        <f>IF(INVENTARIO!AB90="","",INVENTARIO!AB90)</f>
        <v/>
      </c>
      <c r="P90">
        <f>IF(INVENTARIO!AC90="","",INVENTARIO!AC90)</f>
        <v/>
      </c>
      <c r="Q90">
        <f>IF(AND(K90="",N90="",L90=""),"",IF(AND((K90="ALTA"),OR(LEFT(N90,2)="L0",LEFT(N90,2)="L1",L90="No Iniciado")),"CRÍTICO - Incumplimiento Normativo SEPS",IF(AND(OR(LEFT(N90,2)="L4",LEFT(N90,2)="L5"),AND(P90&lt;&gt;"",P90&lt;&gt;"N/A")),"CONFORME - Control Efectivo ISO 27001","OBSERVACIÓN - Revisar Controles")))</f>
        <v/>
      </c>
    </row>
    <row r="91">
      <c r="A91">
        <f>IF(INVENTARIO!A91="","",INVENTARIO!A91)</f>
        <v/>
      </c>
      <c r="B91">
        <f>IF(INVENTARIO!E91="","",INVENTARIO!E91)</f>
        <v/>
      </c>
      <c r="C91">
        <f>IF(INVENTARIO!F91="","",INVENTARIO!F91)</f>
        <v/>
      </c>
      <c r="D91">
        <f>IF(INVENTARIO!H91="","",INVENTARIO!H91)</f>
        <v/>
      </c>
      <c r="E91">
        <f>IF(INVENTARIO!I91="","",INVENTARIO!I91)</f>
        <v/>
      </c>
      <c r="F91">
        <f>IF(INVENTARIO!N91="","",INVENTARIO!N91)</f>
        <v/>
      </c>
      <c r="G91">
        <f>IF(INVENTARIO!P91="","",INVENTARIO!P91)</f>
        <v/>
      </c>
      <c r="H91">
        <f>IF(INVENTARIO!Q91="","",INVENTARIO!Q91)</f>
        <v/>
      </c>
      <c r="I91">
        <f>IF(INVENTARIO!R91="","",INVENTARIO!R91)</f>
        <v/>
      </c>
      <c r="J91">
        <f>IF(G91="PUBLICA(1)",1,IF(G91="USO INTERNO(2)",2,IF(G91="RESTRINGIDO(3)",3,0)))+IF(H91="BAJA(1)",1,IF(H91="MEDIA(2)",2,IF(H91="ALTA(3)",3,0)))+IF(I91="BAJA(1)",1,IF(I91="MEDIA(2)",2,IF(I91="ALTA(3)",3,0)))</f>
        <v/>
      </c>
      <c r="K91">
        <f>IF(J91="", "", IF(J91&gt;=8,"ALTA",IF(J91&gt;=6,"MEDIA","BAJA")))</f>
        <v/>
      </c>
      <c r="L91">
        <f>IF(INVENTARIO!Y91="","",INVENTARIO!Y91)</f>
        <v/>
      </c>
      <c r="M91">
        <f>IF(INVENTARIO!Z91="","",INVENTARIO!Z91)</f>
        <v/>
      </c>
      <c r="N91">
        <f>IF(INVENTARIO!AA91="","",INVENTARIO!AA91)</f>
        <v/>
      </c>
      <c r="O91">
        <f>IF(INVENTARIO!AB91="","",INVENTARIO!AB91)</f>
        <v/>
      </c>
      <c r="P91">
        <f>IF(INVENTARIO!AC91="","",INVENTARIO!AC91)</f>
        <v/>
      </c>
      <c r="Q91">
        <f>IF(AND(K91="",N91="",L91=""),"",IF(AND((K91="ALTA"),OR(LEFT(N91,2)="L0",LEFT(N91,2)="L1",L91="No Iniciado")),"CRÍTICO - Incumplimiento Normativo SEPS",IF(AND(OR(LEFT(N91,2)="L4",LEFT(N91,2)="L5"),AND(P91&lt;&gt;"",P91&lt;&gt;"N/A")),"CONFORME - Control Efectivo ISO 27001","OBSERVACIÓN - Revisar Controles")))</f>
        <v/>
      </c>
    </row>
    <row r="92">
      <c r="A92">
        <f>IF(INVENTARIO!A92="","",INVENTARIO!A92)</f>
        <v/>
      </c>
      <c r="B92">
        <f>IF(INVENTARIO!E92="","",INVENTARIO!E92)</f>
        <v/>
      </c>
      <c r="C92">
        <f>IF(INVENTARIO!F92="","",INVENTARIO!F92)</f>
        <v/>
      </c>
      <c r="D92">
        <f>IF(INVENTARIO!H92="","",INVENTARIO!H92)</f>
        <v/>
      </c>
      <c r="E92">
        <f>IF(INVENTARIO!I92="","",INVENTARIO!I92)</f>
        <v/>
      </c>
      <c r="F92">
        <f>IF(INVENTARIO!N92="","",INVENTARIO!N92)</f>
        <v/>
      </c>
      <c r="G92">
        <f>IF(INVENTARIO!P92="","",INVENTARIO!P92)</f>
        <v/>
      </c>
      <c r="H92">
        <f>IF(INVENTARIO!Q92="","",INVENTARIO!Q92)</f>
        <v/>
      </c>
      <c r="I92">
        <f>IF(INVENTARIO!R92="","",INVENTARIO!R92)</f>
        <v/>
      </c>
      <c r="J92">
        <f>IF(G92="PUBLICA(1)",1,IF(G92="USO INTERNO(2)",2,IF(G92="RESTRINGIDO(3)",3,0)))+IF(H92="BAJA(1)",1,IF(H92="MEDIA(2)",2,IF(H92="ALTA(3)",3,0)))+IF(I92="BAJA(1)",1,IF(I92="MEDIA(2)",2,IF(I92="ALTA(3)",3,0)))</f>
        <v/>
      </c>
      <c r="K92">
        <f>IF(J92="", "", IF(J92&gt;=8,"ALTA",IF(J92&gt;=6,"MEDIA","BAJA")))</f>
        <v/>
      </c>
      <c r="L92">
        <f>IF(INVENTARIO!Y92="","",INVENTARIO!Y92)</f>
        <v/>
      </c>
      <c r="M92">
        <f>IF(INVENTARIO!Z92="","",INVENTARIO!Z92)</f>
        <v/>
      </c>
      <c r="N92">
        <f>IF(INVENTARIO!AA92="","",INVENTARIO!AA92)</f>
        <v/>
      </c>
      <c r="O92">
        <f>IF(INVENTARIO!AB92="","",INVENTARIO!AB92)</f>
        <v/>
      </c>
      <c r="P92">
        <f>IF(INVENTARIO!AC92="","",INVENTARIO!AC92)</f>
        <v/>
      </c>
      <c r="Q92">
        <f>IF(AND(K92="",N92="",L92=""),"",IF(AND((K92="ALTA"),OR(LEFT(N92,2)="L0",LEFT(N92,2)="L1",L92="No Iniciado")),"CRÍTICO - Incumplimiento Normativo SEPS",IF(AND(OR(LEFT(N92,2)="L4",LEFT(N92,2)="L5"),AND(P92&lt;&gt;"",P92&lt;&gt;"N/A")),"CONFORME - Control Efectivo ISO 27001","OBSERVACIÓN - Revisar Controles")))</f>
        <v/>
      </c>
    </row>
    <row r="93">
      <c r="A93">
        <f>IF(INVENTARIO!A93="","",INVENTARIO!A93)</f>
        <v/>
      </c>
      <c r="B93">
        <f>IF(INVENTARIO!E93="","",INVENTARIO!E93)</f>
        <v/>
      </c>
      <c r="C93">
        <f>IF(INVENTARIO!F93="","",INVENTARIO!F93)</f>
        <v/>
      </c>
      <c r="D93">
        <f>IF(INVENTARIO!H93="","",INVENTARIO!H93)</f>
        <v/>
      </c>
      <c r="E93">
        <f>IF(INVENTARIO!I93="","",INVENTARIO!I93)</f>
        <v/>
      </c>
      <c r="F93">
        <f>IF(INVENTARIO!N93="","",INVENTARIO!N93)</f>
        <v/>
      </c>
      <c r="G93">
        <f>IF(INVENTARIO!P93="","",INVENTARIO!P93)</f>
        <v/>
      </c>
      <c r="H93">
        <f>IF(INVENTARIO!Q93="","",INVENTARIO!Q93)</f>
        <v/>
      </c>
      <c r="I93">
        <f>IF(INVENTARIO!R93="","",INVENTARIO!R93)</f>
        <v/>
      </c>
      <c r="J93">
        <f>IF(G93="PUBLICA(1)",1,IF(G93="USO INTERNO(2)",2,IF(G93="RESTRINGIDO(3)",3,0)))+IF(H93="BAJA(1)",1,IF(H93="MEDIA(2)",2,IF(H93="ALTA(3)",3,0)))+IF(I93="BAJA(1)",1,IF(I93="MEDIA(2)",2,IF(I93="ALTA(3)",3,0)))</f>
        <v/>
      </c>
      <c r="K93">
        <f>IF(J93="", "", IF(J93&gt;=8,"ALTA",IF(J93&gt;=6,"MEDIA","BAJA")))</f>
        <v/>
      </c>
      <c r="L93">
        <f>IF(INVENTARIO!Y93="","",INVENTARIO!Y93)</f>
        <v/>
      </c>
      <c r="M93">
        <f>IF(INVENTARIO!Z93="","",INVENTARIO!Z93)</f>
        <v/>
      </c>
      <c r="N93">
        <f>IF(INVENTARIO!AA93="","",INVENTARIO!AA93)</f>
        <v/>
      </c>
      <c r="O93">
        <f>IF(INVENTARIO!AB93="","",INVENTARIO!AB93)</f>
        <v/>
      </c>
      <c r="P93">
        <f>IF(INVENTARIO!AC93="","",INVENTARIO!AC93)</f>
        <v/>
      </c>
      <c r="Q93">
        <f>IF(AND(K93="",N93="",L93=""),"",IF(AND((K93="ALTA"),OR(LEFT(N93,2)="L0",LEFT(N93,2)="L1",L93="No Iniciado")),"CRÍTICO - Incumplimiento Normativo SEPS",IF(AND(OR(LEFT(N93,2)="L4",LEFT(N93,2)="L5"),AND(P93&lt;&gt;"",P93&lt;&gt;"N/A")),"CONFORME - Control Efectivo ISO 27001","OBSERVACIÓN - Revisar Controles")))</f>
        <v/>
      </c>
    </row>
    <row r="94">
      <c r="A94">
        <f>IF(INVENTARIO!A94="","",INVENTARIO!A94)</f>
        <v/>
      </c>
      <c r="B94">
        <f>IF(INVENTARIO!E94="","",INVENTARIO!E94)</f>
        <v/>
      </c>
      <c r="C94">
        <f>IF(INVENTARIO!F94="","",INVENTARIO!F94)</f>
        <v/>
      </c>
      <c r="D94">
        <f>IF(INVENTARIO!H94="","",INVENTARIO!H94)</f>
        <v/>
      </c>
      <c r="E94">
        <f>IF(INVENTARIO!I94="","",INVENTARIO!I94)</f>
        <v/>
      </c>
      <c r="F94">
        <f>IF(INVENTARIO!N94="","",INVENTARIO!N94)</f>
        <v/>
      </c>
      <c r="G94">
        <f>IF(INVENTARIO!P94="","",INVENTARIO!P94)</f>
        <v/>
      </c>
      <c r="H94">
        <f>IF(INVENTARIO!Q94="","",INVENTARIO!Q94)</f>
        <v/>
      </c>
      <c r="I94">
        <f>IF(INVENTARIO!R94="","",INVENTARIO!R94)</f>
        <v/>
      </c>
      <c r="J94">
        <f>IF(G94="PUBLICA(1)",1,IF(G94="USO INTERNO(2)",2,IF(G94="RESTRINGIDO(3)",3,0)))+IF(H94="BAJA(1)",1,IF(H94="MEDIA(2)",2,IF(H94="ALTA(3)",3,0)))+IF(I94="BAJA(1)",1,IF(I94="MEDIA(2)",2,IF(I94="ALTA(3)",3,0)))</f>
        <v/>
      </c>
      <c r="K94">
        <f>IF(J94="", "", IF(J94&gt;=8,"ALTA",IF(J94&gt;=6,"MEDIA","BAJA")))</f>
        <v/>
      </c>
      <c r="L94">
        <f>IF(INVENTARIO!Y94="","",INVENTARIO!Y94)</f>
        <v/>
      </c>
      <c r="M94">
        <f>IF(INVENTARIO!Z94="","",INVENTARIO!Z94)</f>
        <v/>
      </c>
      <c r="N94">
        <f>IF(INVENTARIO!AA94="","",INVENTARIO!AA94)</f>
        <v/>
      </c>
      <c r="O94">
        <f>IF(INVENTARIO!AB94="","",INVENTARIO!AB94)</f>
        <v/>
      </c>
      <c r="P94">
        <f>IF(INVENTARIO!AC94="","",INVENTARIO!AC94)</f>
        <v/>
      </c>
      <c r="Q94">
        <f>IF(AND(K94="",N94="",L94=""),"",IF(AND((K94="ALTA"),OR(LEFT(N94,2)="L0",LEFT(N94,2)="L1",L94="No Iniciado")),"CRÍTICO - Incumplimiento Normativo SEPS",IF(AND(OR(LEFT(N94,2)="L4",LEFT(N94,2)="L5"),AND(P94&lt;&gt;"",P94&lt;&gt;"N/A")),"CONFORME - Control Efectivo ISO 27001","OBSERVACIÓN - Revisar Controles")))</f>
        <v/>
      </c>
    </row>
    <row r="95">
      <c r="A95">
        <f>IF(INVENTARIO!A95="","",INVENTARIO!A95)</f>
        <v/>
      </c>
      <c r="B95">
        <f>IF(INVENTARIO!E95="","",INVENTARIO!E95)</f>
        <v/>
      </c>
      <c r="C95">
        <f>IF(INVENTARIO!F95="","",INVENTARIO!F95)</f>
        <v/>
      </c>
      <c r="D95">
        <f>IF(INVENTARIO!H95="","",INVENTARIO!H95)</f>
        <v/>
      </c>
      <c r="E95">
        <f>IF(INVENTARIO!I95="","",INVENTARIO!I95)</f>
        <v/>
      </c>
      <c r="F95">
        <f>IF(INVENTARIO!N95="","",INVENTARIO!N95)</f>
        <v/>
      </c>
      <c r="G95">
        <f>IF(INVENTARIO!P95="","",INVENTARIO!P95)</f>
        <v/>
      </c>
      <c r="H95">
        <f>IF(INVENTARIO!Q95="","",INVENTARIO!Q95)</f>
        <v/>
      </c>
      <c r="I95">
        <f>IF(INVENTARIO!R95="","",INVENTARIO!R95)</f>
        <v/>
      </c>
      <c r="J95">
        <f>IF(G95="PUBLICA(1)",1,IF(G95="USO INTERNO(2)",2,IF(G95="RESTRINGIDO(3)",3,0)))+IF(H95="BAJA(1)",1,IF(H95="MEDIA(2)",2,IF(H95="ALTA(3)",3,0)))+IF(I95="BAJA(1)",1,IF(I95="MEDIA(2)",2,IF(I95="ALTA(3)",3,0)))</f>
        <v/>
      </c>
      <c r="K95">
        <f>IF(J95="", "", IF(J95&gt;=8,"ALTA",IF(J95&gt;=6,"MEDIA","BAJA")))</f>
        <v/>
      </c>
      <c r="L95">
        <f>IF(INVENTARIO!Y95="","",INVENTARIO!Y95)</f>
        <v/>
      </c>
      <c r="M95">
        <f>IF(INVENTARIO!Z95="","",INVENTARIO!Z95)</f>
        <v/>
      </c>
      <c r="N95">
        <f>IF(INVENTARIO!AA95="","",INVENTARIO!AA95)</f>
        <v/>
      </c>
      <c r="O95">
        <f>IF(INVENTARIO!AB95="","",INVENTARIO!AB95)</f>
        <v/>
      </c>
      <c r="P95">
        <f>IF(INVENTARIO!AC95="","",INVENTARIO!AC95)</f>
        <v/>
      </c>
      <c r="Q95">
        <f>IF(AND(K95="",N95="",L95=""),"",IF(AND((K95="ALTA"),OR(LEFT(N95,2)="L0",LEFT(N95,2)="L1",L95="No Iniciado")),"CRÍTICO - Incumplimiento Normativo SEPS",IF(AND(OR(LEFT(N95,2)="L4",LEFT(N95,2)="L5"),AND(P95&lt;&gt;"",P95&lt;&gt;"N/A")),"CONFORME - Control Efectivo ISO 27001","OBSERVACIÓN - Revisar Controles")))</f>
        <v/>
      </c>
    </row>
    <row r="96">
      <c r="A96">
        <f>IF(INVENTARIO!A96="","",INVENTARIO!A96)</f>
        <v/>
      </c>
      <c r="B96">
        <f>IF(INVENTARIO!E96="","",INVENTARIO!E96)</f>
        <v/>
      </c>
      <c r="C96">
        <f>IF(INVENTARIO!F96="","",INVENTARIO!F96)</f>
        <v/>
      </c>
      <c r="D96">
        <f>IF(INVENTARIO!H96="","",INVENTARIO!H96)</f>
        <v/>
      </c>
      <c r="E96">
        <f>IF(INVENTARIO!I96="","",INVENTARIO!I96)</f>
        <v/>
      </c>
      <c r="F96">
        <f>IF(INVENTARIO!N96="","",INVENTARIO!N96)</f>
        <v/>
      </c>
      <c r="G96">
        <f>IF(INVENTARIO!P96="","",INVENTARIO!P96)</f>
        <v/>
      </c>
      <c r="H96">
        <f>IF(INVENTARIO!Q96="","",INVENTARIO!Q96)</f>
        <v/>
      </c>
      <c r="I96">
        <f>IF(INVENTARIO!R96="","",INVENTARIO!R96)</f>
        <v/>
      </c>
      <c r="J96">
        <f>IF(G96="PUBLICA(1)",1,IF(G96="USO INTERNO(2)",2,IF(G96="RESTRINGIDO(3)",3,0)))+IF(H96="BAJA(1)",1,IF(H96="MEDIA(2)",2,IF(H96="ALTA(3)",3,0)))+IF(I96="BAJA(1)",1,IF(I96="MEDIA(2)",2,IF(I96="ALTA(3)",3,0)))</f>
        <v/>
      </c>
      <c r="K96">
        <f>IF(J96="", "", IF(J96&gt;=8,"ALTA",IF(J96&gt;=6,"MEDIA","BAJA")))</f>
        <v/>
      </c>
      <c r="L96">
        <f>IF(INVENTARIO!Y96="","",INVENTARIO!Y96)</f>
        <v/>
      </c>
      <c r="M96">
        <f>IF(INVENTARIO!Z96="","",INVENTARIO!Z96)</f>
        <v/>
      </c>
      <c r="N96">
        <f>IF(INVENTARIO!AA96="","",INVENTARIO!AA96)</f>
        <v/>
      </c>
      <c r="O96">
        <f>IF(INVENTARIO!AB96="","",INVENTARIO!AB96)</f>
        <v/>
      </c>
      <c r="P96">
        <f>IF(INVENTARIO!AC96="","",INVENTARIO!AC96)</f>
        <v/>
      </c>
      <c r="Q96">
        <f>IF(AND(K96="",N96="",L96=""),"",IF(AND((K96="ALTA"),OR(LEFT(N96,2)="L0",LEFT(N96,2)="L1",L96="No Iniciado")),"CRÍTICO - Incumplimiento Normativo SEPS",IF(AND(OR(LEFT(N96,2)="L4",LEFT(N96,2)="L5"),AND(P96&lt;&gt;"",P96&lt;&gt;"N/A")),"CONFORME - Control Efectivo ISO 27001","OBSERVACIÓN - Revisar Controles")))</f>
        <v/>
      </c>
    </row>
    <row r="97">
      <c r="A97">
        <f>IF(INVENTARIO!A97="","",INVENTARIO!A97)</f>
        <v/>
      </c>
      <c r="B97">
        <f>IF(INVENTARIO!E97="","",INVENTARIO!E97)</f>
        <v/>
      </c>
      <c r="C97">
        <f>IF(INVENTARIO!F97="","",INVENTARIO!F97)</f>
        <v/>
      </c>
      <c r="D97">
        <f>IF(INVENTARIO!H97="","",INVENTARIO!H97)</f>
        <v/>
      </c>
      <c r="E97">
        <f>IF(INVENTARIO!I97="","",INVENTARIO!I97)</f>
        <v/>
      </c>
      <c r="F97">
        <f>IF(INVENTARIO!N97="","",INVENTARIO!N97)</f>
        <v/>
      </c>
      <c r="G97">
        <f>IF(INVENTARIO!P97="","",INVENTARIO!P97)</f>
        <v/>
      </c>
      <c r="H97">
        <f>IF(INVENTARIO!Q97="","",INVENTARIO!Q97)</f>
        <v/>
      </c>
      <c r="I97">
        <f>IF(INVENTARIO!R97="","",INVENTARIO!R97)</f>
        <v/>
      </c>
      <c r="J97">
        <f>IF(G97="PUBLICA(1)",1,IF(G97="USO INTERNO(2)",2,IF(G97="RESTRINGIDO(3)",3,0)))+IF(H97="BAJA(1)",1,IF(H97="MEDIA(2)",2,IF(H97="ALTA(3)",3,0)))+IF(I97="BAJA(1)",1,IF(I97="MEDIA(2)",2,IF(I97="ALTA(3)",3,0)))</f>
        <v/>
      </c>
      <c r="K97">
        <f>IF(J97="", "", IF(J97&gt;=8,"ALTA",IF(J97&gt;=6,"MEDIA","BAJA")))</f>
        <v/>
      </c>
      <c r="L97">
        <f>IF(INVENTARIO!Y97="","",INVENTARIO!Y97)</f>
        <v/>
      </c>
      <c r="M97">
        <f>IF(INVENTARIO!Z97="","",INVENTARIO!Z97)</f>
        <v/>
      </c>
      <c r="N97">
        <f>IF(INVENTARIO!AA97="","",INVENTARIO!AA97)</f>
        <v/>
      </c>
      <c r="O97">
        <f>IF(INVENTARIO!AB97="","",INVENTARIO!AB97)</f>
        <v/>
      </c>
      <c r="P97">
        <f>IF(INVENTARIO!AC97="","",INVENTARIO!AC97)</f>
        <v/>
      </c>
      <c r="Q97">
        <f>IF(AND(K97="",N97="",L97=""),"",IF(AND((K97="ALTA"),OR(LEFT(N97,2)="L0",LEFT(N97,2)="L1",L97="No Iniciado")),"CRÍTICO - Incumplimiento Normativo SEPS",IF(AND(OR(LEFT(N97,2)="L4",LEFT(N97,2)="L5"),AND(P97&lt;&gt;"",P97&lt;&gt;"N/A")),"CONFORME - Control Efectivo ISO 27001","OBSERVACIÓN - Revisar Controles")))</f>
        <v/>
      </c>
    </row>
    <row r="98">
      <c r="A98">
        <f>IF(INVENTARIO!A98="","",INVENTARIO!A98)</f>
        <v/>
      </c>
      <c r="B98">
        <f>IF(INVENTARIO!E98="","",INVENTARIO!E98)</f>
        <v/>
      </c>
      <c r="C98">
        <f>IF(INVENTARIO!F98="","",INVENTARIO!F98)</f>
        <v/>
      </c>
      <c r="D98">
        <f>IF(INVENTARIO!H98="","",INVENTARIO!H98)</f>
        <v/>
      </c>
      <c r="E98">
        <f>IF(INVENTARIO!I98="","",INVENTARIO!I98)</f>
        <v/>
      </c>
      <c r="F98">
        <f>IF(INVENTARIO!N98="","",INVENTARIO!N98)</f>
        <v/>
      </c>
      <c r="G98">
        <f>IF(INVENTARIO!P98="","",INVENTARIO!P98)</f>
        <v/>
      </c>
      <c r="H98">
        <f>IF(INVENTARIO!Q98="","",INVENTARIO!Q98)</f>
        <v/>
      </c>
      <c r="I98">
        <f>IF(INVENTARIO!R98="","",INVENTARIO!R98)</f>
        <v/>
      </c>
      <c r="J98">
        <f>IF(G98="PUBLICA(1)",1,IF(G98="USO INTERNO(2)",2,IF(G98="RESTRINGIDO(3)",3,0)))+IF(H98="BAJA(1)",1,IF(H98="MEDIA(2)",2,IF(H98="ALTA(3)",3,0)))+IF(I98="BAJA(1)",1,IF(I98="MEDIA(2)",2,IF(I98="ALTA(3)",3,0)))</f>
        <v/>
      </c>
      <c r="K98">
        <f>IF(J98="", "", IF(J98&gt;=8,"ALTA",IF(J98&gt;=6,"MEDIA","BAJA")))</f>
        <v/>
      </c>
      <c r="L98">
        <f>IF(INVENTARIO!Y98="","",INVENTARIO!Y98)</f>
        <v/>
      </c>
      <c r="M98">
        <f>IF(INVENTARIO!Z98="","",INVENTARIO!Z98)</f>
        <v/>
      </c>
      <c r="N98">
        <f>IF(INVENTARIO!AA98="","",INVENTARIO!AA98)</f>
        <v/>
      </c>
      <c r="O98">
        <f>IF(INVENTARIO!AB98="","",INVENTARIO!AB98)</f>
        <v/>
      </c>
      <c r="P98">
        <f>IF(INVENTARIO!AC98="","",INVENTARIO!AC98)</f>
        <v/>
      </c>
      <c r="Q98">
        <f>IF(AND(K98="",N98="",L98=""),"",IF(AND((K98="ALTA"),OR(LEFT(N98,2)="L0",LEFT(N98,2)="L1",L98="No Iniciado")),"CRÍTICO - Incumplimiento Normativo SEPS",IF(AND(OR(LEFT(N98,2)="L4",LEFT(N98,2)="L5"),AND(P98&lt;&gt;"",P98&lt;&gt;"N/A")),"CONFORME - Control Efectivo ISO 27001","OBSERVACIÓN - Revisar Controles")))</f>
        <v/>
      </c>
    </row>
    <row r="99">
      <c r="A99">
        <f>IF(INVENTARIO!A99="","",INVENTARIO!A99)</f>
        <v/>
      </c>
      <c r="B99">
        <f>IF(INVENTARIO!E99="","",INVENTARIO!E99)</f>
        <v/>
      </c>
      <c r="C99">
        <f>IF(INVENTARIO!F99="","",INVENTARIO!F99)</f>
        <v/>
      </c>
      <c r="D99">
        <f>IF(INVENTARIO!H99="","",INVENTARIO!H99)</f>
        <v/>
      </c>
      <c r="E99">
        <f>IF(INVENTARIO!I99="","",INVENTARIO!I99)</f>
        <v/>
      </c>
      <c r="F99">
        <f>IF(INVENTARIO!N99="","",INVENTARIO!N99)</f>
        <v/>
      </c>
      <c r="G99">
        <f>IF(INVENTARIO!P99="","",INVENTARIO!P99)</f>
        <v/>
      </c>
      <c r="H99">
        <f>IF(INVENTARIO!Q99="","",INVENTARIO!Q99)</f>
        <v/>
      </c>
      <c r="I99">
        <f>IF(INVENTARIO!R99="","",INVENTARIO!R99)</f>
        <v/>
      </c>
      <c r="J99">
        <f>IF(G99="PUBLICA(1)",1,IF(G99="USO INTERNO(2)",2,IF(G99="RESTRINGIDO(3)",3,0)))+IF(H99="BAJA(1)",1,IF(H99="MEDIA(2)",2,IF(H99="ALTA(3)",3,0)))+IF(I99="BAJA(1)",1,IF(I99="MEDIA(2)",2,IF(I99="ALTA(3)",3,0)))</f>
        <v/>
      </c>
      <c r="K99">
        <f>IF(J99="", "", IF(J99&gt;=8,"ALTA",IF(J99&gt;=6,"MEDIA","BAJA")))</f>
        <v/>
      </c>
      <c r="L99">
        <f>IF(INVENTARIO!Y99="","",INVENTARIO!Y99)</f>
        <v/>
      </c>
      <c r="M99">
        <f>IF(INVENTARIO!Z99="","",INVENTARIO!Z99)</f>
        <v/>
      </c>
      <c r="N99">
        <f>IF(INVENTARIO!AA99="","",INVENTARIO!AA99)</f>
        <v/>
      </c>
      <c r="O99">
        <f>IF(INVENTARIO!AB99="","",INVENTARIO!AB99)</f>
        <v/>
      </c>
      <c r="P99">
        <f>IF(INVENTARIO!AC99="","",INVENTARIO!AC99)</f>
        <v/>
      </c>
      <c r="Q99">
        <f>IF(AND(K99="",N99="",L99=""),"",IF(AND((K99="ALTA"),OR(LEFT(N99,2)="L0",LEFT(N99,2)="L1",L99="No Iniciado")),"CRÍTICO - Incumplimiento Normativo SEPS",IF(AND(OR(LEFT(N99,2)="L4",LEFT(N99,2)="L5"),AND(P99&lt;&gt;"",P99&lt;&gt;"N/A")),"CONFORME - Control Efectivo ISO 27001","OBSERVACIÓN - Revisar Controles")))</f>
        <v/>
      </c>
    </row>
    <row r="100">
      <c r="A100">
        <f>IF(INVENTARIO!A100="","",INVENTARIO!A100)</f>
        <v/>
      </c>
      <c r="B100">
        <f>IF(INVENTARIO!E100="","",INVENTARIO!E100)</f>
        <v/>
      </c>
      <c r="C100">
        <f>IF(INVENTARIO!F100="","",INVENTARIO!F100)</f>
        <v/>
      </c>
      <c r="D100">
        <f>IF(INVENTARIO!H100="","",INVENTARIO!H100)</f>
        <v/>
      </c>
      <c r="E100">
        <f>IF(INVENTARIO!I100="","",INVENTARIO!I100)</f>
        <v/>
      </c>
      <c r="F100">
        <f>IF(INVENTARIO!N100="","",INVENTARIO!N100)</f>
        <v/>
      </c>
      <c r="G100">
        <f>IF(INVENTARIO!P100="","",INVENTARIO!P100)</f>
        <v/>
      </c>
      <c r="H100">
        <f>IF(INVENTARIO!Q100="","",INVENTARIO!Q100)</f>
        <v/>
      </c>
      <c r="I100">
        <f>IF(INVENTARIO!R100="","",INVENTARIO!R100)</f>
        <v/>
      </c>
      <c r="J100">
        <f>IF(G100="PUBLICA(1)",1,IF(G100="USO INTERNO(2)",2,IF(G100="RESTRINGIDO(3)",3,0)))+IF(H100="BAJA(1)",1,IF(H100="MEDIA(2)",2,IF(H100="ALTA(3)",3,0)))+IF(I100="BAJA(1)",1,IF(I100="MEDIA(2)",2,IF(I100="ALTA(3)",3,0)))</f>
        <v/>
      </c>
      <c r="K100">
        <f>IF(J100="", "", IF(J100&gt;=8,"ALTA",IF(J100&gt;=6,"MEDIA","BAJA")))</f>
        <v/>
      </c>
      <c r="L100">
        <f>IF(INVENTARIO!Y100="","",INVENTARIO!Y100)</f>
        <v/>
      </c>
      <c r="M100">
        <f>IF(INVENTARIO!Z100="","",INVENTARIO!Z100)</f>
        <v/>
      </c>
      <c r="N100">
        <f>IF(INVENTARIO!AA100="","",INVENTARIO!AA100)</f>
        <v/>
      </c>
      <c r="O100">
        <f>IF(INVENTARIO!AB100="","",INVENTARIO!AB100)</f>
        <v/>
      </c>
      <c r="P100">
        <f>IF(INVENTARIO!AC100="","",INVENTARIO!AC100)</f>
        <v/>
      </c>
      <c r="Q100">
        <f>IF(AND(K100="",N100="",L100=""),"",IF(AND((K100="ALTA"),OR(LEFT(N100,2)="L0",LEFT(N100,2)="L1",L100="No Iniciado")),"CRÍTICO - Incumplimiento Normativo SEPS",IF(AND(OR(LEFT(N100,2)="L4",LEFT(N100,2)="L5"),AND(P100&lt;&gt;"",P100&lt;&gt;"N/A")),"CONFORME - Control Efectivo ISO 27001","OBSERVACIÓN - Revisar Controles")))</f>
        <v/>
      </c>
    </row>
    <row r="101">
      <c r="A101">
        <f>IF(INVENTARIO!A101="","",INVENTARIO!A101)</f>
        <v/>
      </c>
      <c r="B101">
        <f>IF(INVENTARIO!E101="","",INVENTARIO!E101)</f>
        <v/>
      </c>
      <c r="C101">
        <f>IF(INVENTARIO!F101="","",INVENTARIO!F101)</f>
        <v/>
      </c>
      <c r="D101">
        <f>IF(INVENTARIO!H101="","",INVENTARIO!H101)</f>
        <v/>
      </c>
      <c r="E101">
        <f>IF(INVENTARIO!I101="","",INVENTARIO!I101)</f>
        <v/>
      </c>
      <c r="F101">
        <f>IF(INVENTARIO!N101="","",INVENTARIO!N101)</f>
        <v/>
      </c>
      <c r="G101">
        <f>IF(INVENTARIO!P101="","",INVENTARIO!P101)</f>
        <v/>
      </c>
      <c r="H101">
        <f>IF(INVENTARIO!Q101="","",INVENTARIO!Q101)</f>
        <v/>
      </c>
      <c r="I101">
        <f>IF(INVENTARIO!R101="","",INVENTARIO!R101)</f>
        <v/>
      </c>
      <c r="J101">
        <f>IF(G101="PUBLICA(1)",1,IF(G101="USO INTERNO(2)",2,IF(G101="RESTRINGIDO(3)",3,0)))+IF(H101="BAJA(1)",1,IF(H101="MEDIA(2)",2,IF(H101="ALTA(3)",3,0)))+IF(I101="BAJA(1)",1,IF(I101="MEDIA(2)",2,IF(I101="ALTA(3)",3,0)))</f>
        <v/>
      </c>
      <c r="K101">
        <f>IF(J101="", "", IF(J101&gt;=8,"ALTA",IF(J101&gt;=6,"MEDIA","BAJA")))</f>
        <v/>
      </c>
      <c r="L101">
        <f>IF(INVENTARIO!Y101="","",INVENTARIO!Y101)</f>
        <v/>
      </c>
      <c r="M101">
        <f>IF(INVENTARIO!Z101="","",INVENTARIO!Z101)</f>
        <v/>
      </c>
      <c r="N101">
        <f>IF(INVENTARIO!AA101="","",INVENTARIO!AA101)</f>
        <v/>
      </c>
      <c r="O101">
        <f>IF(INVENTARIO!AB101="","",INVENTARIO!AB101)</f>
        <v/>
      </c>
      <c r="P101">
        <f>IF(INVENTARIO!AC101="","",INVENTARIO!AC101)</f>
        <v/>
      </c>
      <c r="Q101">
        <f>IF(AND(K101="",N101="",L101=""),"",IF(AND((K101="ALTA"),OR(LEFT(N101,2)="L0",LEFT(N101,2)="L1",L101="No Iniciado")),"CRÍTICO - Incumplimiento Normativo SEPS",IF(AND(OR(LEFT(N101,2)="L4",LEFT(N101,2)="L5"),AND(P101&lt;&gt;"",P101&lt;&gt;"N/A")),"CONFORME - Control Efectivo ISO 27001","OBSERVACIÓN - Revisar Controles")))</f>
        <v/>
      </c>
    </row>
    <row r="102">
      <c r="A102">
        <f>IF(INVENTARIO!A102="","",INVENTARIO!A102)</f>
        <v/>
      </c>
      <c r="B102">
        <f>IF(INVENTARIO!E102="","",INVENTARIO!E102)</f>
        <v/>
      </c>
      <c r="C102">
        <f>IF(INVENTARIO!F102="","",INVENTARIO!F102)</f>
        <v/>
      </c>
      <c r="D102">
        <f>IF(INVENTARIO!H102="","",INVENTARIO!H102)</f>
        <v/>
      </c>
      <c r="E102">
        <f>IF(INVENTARIO!I102="","",INVENTARIO!I102)</f>
        <v/>
      </c>
      <c r="F102">
        <f>IF(INVENTARIO!N102="","",INVENTARIO!N102)</f>
        <v/>
      </c>
      <c r="G102">
        <f>IF(INVENTARIO!P102="","",INVENTARIO!P102)</f>
        <v/>
      </c>
      <c r="H102">
        <f>IF(INVENTARIO!Q102="","",INVENTARIO!Q102)</f>
        <v/>
      </c>
      <c r="I102">
        <f>IF(INVENTARIO!R102="","",INVENTARIO!R102)</f>
        <v/>
      </c>
      <c r="J102">
        <f>IF(G102="PUBLICA(1)",1,IF(G102="USO INTERNO(2)",2,IF(G102="RESTRINGIDO(3)",3,0)))+IF(H102="BAJA(1)",1,IF(H102="MEDIA(2)",2,IF(H102="ALTA(3)",3,0)))+IF(I102="BAJA(1)",1,IF(I102="MEDIA(2)",2,IF(I102="ALTA(3)",3,0)))</f>
        <v/>
      </c>
      <c r="K102">
        <f>IF(J102="", "", IF(J102&gt;=8,"ALTA",IF(J102&gt;=6,"MEDIA","BAJA")))</f>
        <v/>
      </c>
      <c r="L102">
        <f>IF(INVENTARIO!Y102="","",INVENTARIO!Y102)</f>
        <v/>
      </c>
      <c r="M102">
        <f>IF(INVENTARIO!Z102="","",INVENTARIO!Z102)</f>
        <v/>
      </c>
      <c r="N102">
        <f>IF(INVENTARIO!AA102="","",INVENTARIO!AA102)</f>
        <v/>
      </c>
      <c r="O102">
        <f>IF(INVENTARIO!AB102="","",INVENTARIO!AB102)</f>
        <v/>
      </c>
      <c r="P102">
        <f>IF(INVENTARIO!AC102="","",INVENTARIO!AC102)</f>
        <v/>
      </c>
      <c r="Q102">
        <f>IF(AND(K102="",N102="",L102=""),"",IF(AND((K102="ALTA"),OR(LEFT(N102,2)="L0",LEFT(N102,2)="L1",L102="No Iniciado")),"CRÍTICO - Incumplimiento Normativo SEPS",IF(AND(OR(LEFT(N102,2)="L4",LEFT(N102,2)="L5"),AND(P102&lt;&gt;"",P102&lt;&gt;"N/A")),"CONFORME - Control Efectivo ISO 27001","OBSERVACIÓN - Revisar Controles")))</f>
        <v/>
      </c>
    </row>
    <row r="103">
      <c r="A103">
        <f>IF(INVENTARIO!A103="","",INVENTARIO!A103)</f>
        <v/>
      </c>
      <c r="B103">
        <f>IF(INVENTARIO!E103="","",INVENTARIO!E103)</f>
        <v/>
      </c>
      <c r="C103">
        <f>IF(INVENTARIO!F103="","",INVENTARIO!F103)</f>
        <v/>
      </c>
      <c r="D103">
        <f>IF(INVENTARIO!H103="","",INVENTARIO!H103)</f>
        <v/>
      </c>
      <c r="E103">
        <f>IF(INVENTARIO!I103="","",INVENTARIO!I103)</f>
        <v/>
      </c>
      <c r="F103">
        <f>IF(INVENTARIO!N103="","",INVENTARIO!N103)</f>
        <v/>
      </c>
      <c r="G103">
        <f>IF(INVENTARIO!P103="","",INVENTARIO!P103)</f>
        <v/>
      </c>
      <c r="H103">
        <f>IF(INVENTARIO!Q103="","",INVENTARIO!Q103)</f>
        <v/>
      </c>
      <c r="I103">
        <f>IF(INVENTARIO!R103="","",INVENTARIO!R103)</f>
        <v/>
      </c>
      <c r="J103">
        <f>IF(G103="PUBLICA(1)",1,IF(G103="USO INTERNO(2)",2,IF(G103="RESTRINGIDO(3)",3,0)))+IF(H103="BAJA(1)",1,IF(H103="MEDIA(2)",2,IF(H103="ALTA(3)",3,0)))+IF(I103="BAJA(1)",1,IF(I103="MEDIA(2)",2,IF(I103="ALTA(3)",3,0)))</f>
        <v/>
      </c>
      <c r="K103">
        <f>IF(J103="", "", IF(J103&gt;=8,"ALTA",IF(J103&gt;=6,"MEDIA","BAJA")))</f>
        <v/>
      </c>
      <c r="L103">
        <f>IF(INVENTARIO!Y103="","",INVENTARIO!Y103)</f>
        <v/>
      </c>
      <c r="M103">
        <f>IF(INVENTARIO!Z103="","",INVENTARIO!Z103)</f>
        <v/>
      </c>
      <c r="N103">
        <f>IF(INVENTARIO!AA103="","",INVENTARIO!AA103)</f>
        <v/>
      </c>
      <c r="O103">
        <f>IF(INVENTARIO!AB103="","",INVENTARIO!AB103)</f>
        <v/>
      </c>
      <c r="P103">
        <f>IF(INVENTARIO!AC103="","",INVENTARIO!AC103)</f>
        <v/>
      </c>
      <c r="Q103">
        <f>IF(AND(K103="",N103="",L103=""),"",IF(AND((K103="ALTA"),OR(LEFT(N103,2)="L0",LEFT(N103,2)="L1",L103="No Iniciado")),"CRÍTICO - Incumplimiento Normativo SEPS",IF(AND(OR(LEFT(N103,2)="L4",LEFT(N103,2)="L5"),AND(P103&lt;&gt;"",P103&lt;&gt;"N/A")),"CONFORME - Control Efectivo ISO 27001","OBSERVACIÓN - Revisar Controles")))</f>
        <v/>
      </c>
    </row>
    <row r="104">
      <c r="A104">
        <f>IF(INVENTARIO!A104="","",INVENTARIO!A104)</f>
        <v/>
      </c>
      <c r="B104">
        <f>IF(INVENTARIO!E104="","",INVENTARIO!E104)</f>
        <v/>
      </c>
      <c r="C104">
        <f>IF(INVENTARIO!F104="","",INVENTARIO!F104)</f>
        <v/>
      </c>
      <c r="D104">
        <f>IF(INVENTARIO!H104="","",INVENTARIO!H104)</f>
        <v/>
      </c>
      <c r="E104">
        <f>IF(INVENTARIO!I104="","",INVENTARIO!I104)</f>
        <v/>
      </c>
      <c r="F104">
        <f>IF(INVENTARIO!N104="","",INVENTARIO!N104)</f>
        <v/>
      </c>
      <c r="G104">
        <f>IF(INVENTARIO!P104="","",INVENTARIO!P104)</f>
        <v/>
      </c>
      <c r="H104">
        <f>IF(INVENTARIO!Q104="","",INVENTARIO!Q104)</f>
        <v/>
      </c>
      <c r="I104">
        <f>IF(INVENTARIO!R104="","",INVENTARIO!R104)</f>
        <v/>
      </c>
      <c r="J104">
        <f>IF(G104="PUBLICA(1)",1,IF(G104="USO INTERNO(2)",2,IF(G104="RESTRINGIDO(3)",3,0)))+IF(H104="BAJA(1)",1,IF(H104="MEDIA(2)",2,IF(H104="ALTA(3)",3,0)))+IF(I104="BAJA(1)",1,IF(I104="MEDIA(2)",2,IF(I104="ALTA(3)",3,0)))</f>
        <v/>
      </c>
      <c r="K104">
        <f>IF(J104="", "", IF(J104&gt;=8,"ALTA",IF(J104&gt;=6,"MEDIA","BAJA")))</f>
        <v/>
      </c>
      <c r="L104">
        <f>IF(INVENTARIO!Y104="","",INVENTARIO!Y104)</f>
        <v/>
      </c>
      <c r="M104">
        <f>IF(INVENTARIO!Z104="","",INVENTARIO!Z104)</f>
        <v/>
      </c>
      <c r="N104">
        <f>IF(INVENTARIO!AA104="","",INVENTARIO!AA104)</f>
        <v/>
      </c>
      <c r="O104">
        <f>IF(INVENTARIO!AB104="","",INVENTARIO!AB104)</f>
        <v/>
      </c>
      <c r="P104">
        <f>IF(INVENTARIO!AC104="","",INVENTARIO!AC104)</f>
        <v/>
      </c>
      <c r="Q104">
        <f>IF(AND(K104="",N104="",L104=""),"",IF(AND((K104="ALTA"),OR(LEFT(N104,2)="L0",LEFT(N104,2)="L1",L104="No Iniciado")),"CRÍTICO - Incumplimiento Normativo SEPS",IF(AND(OR(LEFT(N104,2)="L4",LEFT(N104,2)="L5"),AND(P104&lt;&gt;"",P104&lt;&gt;"N/A")),"CONFORME - Control Efectivo ISO 27001","OBSERVACIÓN - Revisar Controles")))</f>
        <v/>
      </c>
    </row>
    <row r="105">
      <c r="A105">
        <f>IF(INVENTARIO!A105="","",INVENTARIO!A105)</f>
        <v/>
      </c>
      <c r="B105">
        <f>IF(INVENTARIO!E105="","",INVENTARIO!E105)</f>
        <v/>
      </c>
      <c r="C105">
        <f>IF(INVENTARIO!F105="","",INVENTARIO!F105)</f>
        <v/>
      </c>
      <c r="D105">
        <f>IF(INVENTARIO!H105="","",INVENTARIO!H105)</f>
        <v/>
      </c>
      <c r="E105">
        <f>IF(INVENTARIO!I105="","",INVENTARIO!I105)</f>
        <v/>
      </c>
      <c r="F105">
        <f>IF(INVENTARIO!N105="","",INVENTARIO!N105)</f>
        <v/>
      </c>
      <c r="G105">
        <f>IF(INVENTARIO!P105="","",INVENTARIO!P105)</f>
        <v/>
      </c>
      <c r="H105">
        <f>IF(INVENTARIO!Q105="","",INVENTARIO!Q105)</f>
        <v/>
      </c>
      <c r="I105">
        <f>IF(INVENTARIO!R105="","",INVENTARIO!R105)</f>
        <v/>
      </c>
      <c r="J105">
        <f>IF(G105="PUBLICA(1)",1,IF(G105="USO INTERNO(2)",2,IF(G105="RESTRINGIDO(3)",3,0)))+IF(H105="BAJA(1)",1,IF(H105="MEDIA(2)",2,IF(H105="ALTA(3)",3,0)))+IF(I105="BAJA(1)",1,IF(I105="MEDIA(2)",2,IF(I105="ALTA(3)",3,0)))</f>
        <v/>
      </c>
      <c r="K105">
        <f>IF(J105="", "", IF(J105&gt;=8,"ALTA",IF(J105&gt;=6,"MEDIA","BAJA")))</f>
        <v/>
      </c>
      <c r="L105">
        <f>IF(INVENTARIO!Y105="","",INVENTARIO!Y105)</f>
        <v/>
      </c>
      <c r="M105">
        <f>IF(INVENTARIO!Z105="","",INVENTARIO!Z105)</f>
        <v/>
      </c>
      <c r="N105">
        <f>IF(INVENTARIO!AA105="","",INVENTARIO!AA105)</f>
        <v/>
      </c>
      <c r="O105">
        <f>IF(INVENTARIO!AB105="","",INVENTARIO!AB105)</f>
        <v/>
      </c>
      <c r="P105">
        <f>IF(INVENTARIO!AC105="","",INVENTARIO!AC105)</f>
        <v/>
      </c>
      <c r="Q105">
        <f>IF(AND(K105="",N105="",L105=""),"",IF(AND((K105="ALTA"),OR(LEFT(N105,2)="L0",LEFT(N105,2)="L1",L105="No Iniciado")),"CRÍTICO - Incumplimiento Normativo SEPS",IF(AND(OR(LEFT(N105,2)="L4",LEFT(N105,2)="L5"),AND(P105&lt;&gt;"",P105&lt;&gt;"N/A")),"CONFORME - Control Efectivo ISO 27001","OBSERVACIÓN - Revisar Controles")))</f>
        <v/>
      </c>
    </row>
    <row r="106">
      <c r="A106">
        <f>IF(INVENTARIO!A106="","",INVENTARIO!A106)</f>
        <v/>
      </c>
      <c r="B106">
        <f>IF(INVENTARIO!E106="","",INVENTARIO!E106)</f>
        <v/>
      </c>
      <c r="C106">
        <f>IF(INVENTARIO!F106="","",INVENTARIO!F106)</f>
        <v/>
      </c>
      <c r="D106">
        <f>IF(INVENTARIO!H106="","",INVENTARIO!H106)</f>
        <v/>
      </c>
      <c r="E106">
        <f>IF(INVENTARIO!I106="","",INVENTARIO!I106)</f>
        <v/>
      </c>
      <c r="F106">
        <f>IF(INVENTARIO!N106="","",INVENTARIO!N106)</f>
        <v/>
      </c>
      <c r="G106">
        <f>IF(INVENTARIO!P106="","",INVENTARIO!P106)</f>
        <v/>
      </c>
      <c r="H106">
        <f>IF(INVENTARIO!Q106="","",INVENTARIO!Q106)</f>
        <v/>
      </c>
      <c r="I106">
        <f>IF(INVENTARIO!R106="","",INVENTARIO!R106)</f>
        <v/>
      </c>
      <c r="J106">
        <f>IF(G106="PUBLICA(1)",1,IF(G106="USO INTERNO(2)",2,IF(G106="RESTRINGIDO(3)",3,0)))+IF(H106="BAJA(1)",1,IF(H106="MEDIA(2)",2,IF(H106="ALTA(3)",3,0)))+IF(I106="BAJA(1)",1,IF(I106="MEDIA(2)",2,IF(I106="ALTA(3)",3,0)))</f>
        <v/>
      </c>
      <c r="K106">
        <f>IF(J106="", "", IF(J106&gt;=8,"ALTA",IF(J106&gt;=6,"MEDIA","BAJA")))</f>
        <v/>
      </c>
      <c r="L106">
        <f>IF(INVENTARIO!Y106="","",INVENTARIO!Y106)</f>
        <v/>
      </c>
      <c r="M106">
        <f>IF(INVENTARIO!Z106="","",INVENTARIO!Z106)</f>
        <v/>
      </c>
      <c r="N106">
        <f>IF(INVENTARIO!AA106="","",INVENTARIO!AA106)</f>
        <v/>
      </c>
      <c r="O106">
        <f>IF(INVENTARIO!AB106="","",INVENTARIO!AB106)</f>
        <v/>
      </c>
      <c r="P106">
        <f>IF(INVENTARIO!AC106="","",INVENTARIO!AC106)</f>
        <v/>
      </c>
      <c r="Q106">
        <f>IF(AND(K106="",N106="",L106=""),"",IF(AND((K106="ALTA"),OR(LEFT(N106,2)="L0",LEFT(N106,2)="L1",L106="No Iniciado")),"CRÍTICO - Incumplimiento Normativo SEPS",IF(AND(OR(LEFT(N106,2)="L4",LEFT(N106,2)="L5"),AND(P106&lt;&gt;"",P106&lt;&gt;"N/A")),"CONFORME - Control Efectivo ISO 27001","OBSERVACIÓN - Revisar Controles")))</f>
        <v/>
      </c>
    </row>
    <row r="107">
      <c r="A107">
        <f>IF(INVENTARIO!A107="","",INVENTARIO!A107)</f>
        <v/>
      </c>
      <c r="B107">
        <f>IF(INVENTARIO!E107="","",INVENTARIO!E107)</f>
        <v/>
      </c>
      <c r="C107">
        <f>IF(INVENTARIO!F107="","",INVENTARIO!F107)</f>
        <v/>
      </c>
      <c r="D107">
        <f>IF(INVENTARIO!H107="","",INVENTARIO!H107)</f>
        <v/>
      </c>
      <c r="E107">
        <f>IF(INVENTARIO!I107="","",INVENTARIO!I107)</f>
        <v/>
      </c>
      <c r="F107">
        <f>IF(INVENTARIO!N107="","",INVENTARIO!N107)</f>
        <v/>
      </c>
      <c r="G107">
        <f>IF(INVENTARIO!P107="","",INVENTARIO!P107)</f>
        <v/>
      </c>
      <c r="H107">
        <f>IF(INVENTARIO!Q107="","",INVENTARIO!Q107)</f>
        <v/>
      </c>
      <c r="I107">
        <f>IF(INVENTARIO!R107="","",INVENTARIO!R107)</f>
        <v/>
      </c>
      <c r="J107">
        <f>IF(G107="PUBLICA(1)",1,IF(G107="USO INTERNO(2)",2,IF(G107="RESTRINGIDO(3)",3,0)))+IF(H107="BAJA(1)",1,IF(H107="MEDIA(2)",2,IF(H107="ALTA(3)",3,0)))+IF(I107="BAJA(1)",1,IF(I107="MEDIA(2)",2,IF(I107="ALTA(3)",3,0)))</f>
        <v/>
      </c>
      <c r="K107">
        <f>IF(J107="", "", IF(J107&gt;=8,"ALTA",IF(J107&gt;=6,"MEDIA","BAJA")))</f>
        <v/>
      </c>
      <c r="L107">
        <f>IF(INVENTARIO!Y107="","",INVENTARIO!Y107)</f>
        <v/>
      </c>
      <c r="M107">
        <f>IF(INVENTARIO!Z107="","",INVENTARIO!Z107)</f>
        <v/>
      </c>
      <c r="N107">
        <f>IF(INVENTARIO!AA107="","",INVENTARIO!AA107)</f>
        <v/>
      </c>
      <c r="O107">
        <f>IF(INVENTARIO!AB107="","",INVENTARIO!AB107)</f>
        <v/>
      </c>
      <c r="P107">
        <f>IF(INVENTARIO!AC107="","",INVENTARIO!AC107)</f>
        <v/>
      </c>
      <c r="Q107">
        <f>IF(AND(K107="",N107="",L107=""),"",IF(AND((K107="ALTA"),OR(LEFT(N107,2)="L0",LEFT(N107,2)="L1",L107="No Iniciado")),"CRÍTICO - Incumplimiento Normativo SEPS",IF(AND(OR(LEFT(N107,2)="L4",LEFT(N107,2)="L5"),AND(P107&lt;&gt;"",P107&lt;&gt;"N/A")),"CONFORME - Control Efectivo ISO 27001","OBSERVACIÓN - Revisar Controles")))</f>
        <v/>
      </c>
    </row>
    <row r="108">
      <c r="A108">
        <f>IF(INVENTARIO!A108="","",INVENTARIO!A108)</f>
        <v/>
      </c>
      <c r="B108">
        <f>IF(INVENTARIO!E108="","",INVENTARIO!E108)</f>
        <v/>
      </c>
      <c r="C108">
        <f>IF(INVENTARIO!F108="","",INVENTARIO!F108)</f>
        <v/>
      </c>
      <c r="D108">
        <f>IF(INVENTARIO!H108="","",INVENTARIO!H108)</f>
        <v/>
      </c>
      <c r="E108">
        <f>IF(INVENTARIO!I108="","",INVENTARIO!I108)</f>
        <v/>
      </c>
      <c r="F108">
        <f>IF(INVENTARIO!N108="","",INVENTARIO!N108)</f>
        <v/>
      </c>
      <c r="G108">
        <f>IF(INVENTARIO!P108="","",INVENTARIO!P108)</f>
        <v/>
      </c>
      <c r="H108">
        <f>IF(INVENTARIO!Q108="","",INVENTARIO!Q108)</f>
        <v/>
      </c>
      <c r="I108">
        <f>IF(INVENTARIO!R108="","",INVENTARIO!R108)</f>
        <v/>
      </c>
      <c r="J108">
        <f>IF(G108="PUBLICA(1)",1,IF(G108="USO INTERNO(2)",2,IF(G108="RESTRINGIDO(3)",3,0)))+IF(H108="BAJA(1)",1,IF(H108="MEDIA(2)",2,IF(H108="ALTA(3)",3,0)))+IF(I108="BAJA(1)",1,IF(I108="MEDIA(2)",2,IF(I108="ALTA(3)",3,0)))</f>
        <v/>
      </c>
      <c r="K108">
        <f>IF(J108="", "", IF(J108&gt;=8,"ALTA",IF(J108&gt;=6,"MEDIA","BAJA")))</f>
        <v/>
      </c>
      <c r="L108">
        <f>IF(INVENTARIO!Y108="","",INVENTARIO!Y108)</f>
        <v/>
      </c>
      <c r="M108">
        <f>IF(INVENTARIO!Z108="","",INVENTARIO!Z108)</f>
        <v/>
      </c>
      <c r="N108">
        <f>IF(INVENTARIO!AA108="","",INVENTARIO!AA108)</f>
        <v/>
      </c>
      <c r="O108">
        <f>IF(INVENTARIO!AB108="","",INVENTARIO!AB108)</f>
        <v/>
      </c>
      <c r="P108">
        <f>IF(INVENTARIO!AC108="","",INVENTARIO!AC108)</f>
        <v/>
      </c>
      <c r="Q108">
        <f>IF(AND(K108="",N108="",L108=""),"",IF(AND((K108="ALTA"),OR(LEFT(N108,2)="L0",LEFT(N108,2)="L1",L108="No Iniciado")),"CRÍTICO - Incumplimiento Normativo SEPS",IF(AND(OR(LEFT(N108,2)="L4",LEFT(N108,2)="L5"),AND(P108&lt;&gt;"",P108&lt;&gt;"N/A")),"CONFORME - Control Efectivo ISO 27001","OBSERVACIÓN - Revisar Controles")))</f>
        <v/>
      </c>
    </row>
    <row r="109">
      <c r="A109">
        <f>IF(INVENTARIO!A109="","",INVENTARIO!A109)</f>
        <v/>
      </c>
      <c r="B109">
        <f>IF(INVENTARIO!E109="","",INVENTARIO!E109)</f>
        <v/>
      </c>
      <c r="C109">
        <f>IF(INVENTARIO!F109="","",INVENTARIO!F109)</f>
        <v/>
      </c>
      <c r="D109">
        <f>IF(INVENTARIO!H109="","",INVENTARIO!H109)</f>
        <v/>
      </c>
      <c r="E109">
        <f>IF(INVENTARIO!I109="","",INVENTARIO!I109)</f>
        <v/>
      </c>
      <c r="F109">
        <f>IF(INVENTARIO!N109="","",INVENTARIO!N109)</f>
        <v/>
      </c>
      <c r="G109">
        <f>IF(INVENTARIO!P109="","",INVENTARIO!P109)</f>
        <v/>
      </c>
      <c r="H109">
        <f>IF(INVENTARIO!Q109="","",INVENTARIO!Q109)</f>
        <v/>
      </c>
      <c r="I109">
        <f>IF(INVENTARIO!R109="","",INVENTARIO!R109)</f>
        <v/>
      </c>
      <c r="J109">
        <f>IF(G109="PUBLICA(1)",1,IF(G109="USO INTERNO(2)",2,IF(G109="RESTRINGIDO(3)",3,0)))+IF(H109="BAJA(1)",1,IF(H109="MEDIA(2)",2,IF(H109="ALTA(3)",3,0)))+IF(I109="BAJA(1)",1,IF(I109="MEDIA(2)",2,IF(I109="ALTA(3)",3,0)))</f>
        <v/>
      </c>
      <c r="K109">
        <f>IF(J109="", "", IF(J109&gt;=8,"ALTA",IF(J109&gt;=6,"MEDIA","BAJA")))</f>
        <v/>
      </c>
      <c r="L109">
        <f>IF(INVENTARIO!Y109="","",INVENTARIO!Y109)</f>
        <v/>
      </c>
      <c r="M109">
        <f>IF(INVENTARIO!Z109="","",INVENTARIO!Z109)</f>
        <v/>
      </c>
      <c r="N109">
        <f>IF(INVENTARIO!AA109="","",INVENTARIO!AA109)</f>
        <v/>
      </c>
      <c r="O109">
        <f>IF(INVENTARIO!AB109="","",INVENTARIO!AB109)</f>
        <v/>
      </c>
      <c r="P109">
        <f>IF(INVENTARIO!AC109="","",INVENTARIO!AC109)</f>
        <v/>
      </c>
      <c r="Q109">
        <f>IF(AND(K109="",N109="",L109=""),"",IF(AND((K109="ALTA"),OR(LEFT(N109,2)="L0",LEFT(N109,2)="L1",L109="No Iniciado")),"CRÍTICO - Incumplimiento Normativo SEPS",IF(AND(OR(LEFT(N109,2)="L4",LEFT(N109,2)="L5"),AND(P109&lt;&gt;"",P109&lt;&gt;"N/A")),"CONFORME - Control Efectivo ISO 27001","OBSERVACIÓN - Revisar Controles")))</f>
        <v/>
      </c>
    </row>
    <row r="110">
      <c r="A110">
        <f>IF(INVENTARIO!A110="","",INVENTARIO!A110)</f>
        <v/>
      </c>
      <c r="B110">
        <f>IF(INVENTARIO!E110="","",INVENTARIO!E110)</f>
        <v/>
      </c>
      <c r="C110">
        <f>IF(INVENTARIO!F110="","",INVENTARIO!F110)</f>
        <v/>
      </c>
      <c r="D110">
        <f>IF(INVENTARIO!H110="","",INVENTARIO!H110)</f>
        <v/>
      </c>
      <c r="E110">
        <f>IF(INVENTARIO!I110="","",INVENTARIO!I110)</f>
        <v/>
      </c>
      <c r="F110">
        <f>IF(INVENTARIO!N110="","",INVENTARIO!N110)</f>
        <v/>
      </c>
      <c r="G110">
        <f>IF(INVENTARIO!P110="","",INVENTARIO!P110)</f>
        <v/>
      </c>
      <c r="H110">
        <f>IF(INVENTARIO!Q110="","",INVENTARIO!Q110)</f>
        <v/>
      </c>
      <c r="I110">
        <f>IF(INVENTARIO!R110="","",INVENTARIO!R110)</f>
        <v/>
      </c>
      <c r="J110">
        <f>IF(G110="PUBLICA(1)",1,IF(G110="USO INTERNO(2)",2,IF(G110="RESTRINGIDO(3)",3,0)))+IF(H110="BAJA(1)",1,IF(H110="MEDIA(2)",2,IF(H110="ALTA(3)",3,0)))+IF(I110="BAJA(1)",1,IF(I110="MEDIA(2)",2,IF(I110="ALTA(3)",3,0)))</f>
        <v/>
      </c>
      <c r="K110">
        <f>IF(J110="", "", IF(J110&gt;=8,"ALTA",IF(J110&gt;=6,"MEDIA","BAJA")))</f>
        <v/>
      </c>
      <c r="L110">
        <f>IF(INVENTARIO!Y110="","",INVENTARIO!Y110)</f>
        <v/>
      </c>
      <c r="M110">
        <f>IF(INVENTARIO!Z110="","",INVENTARIO!Z110)</f>
        <v/>
      </c>
      <c r="N110">
        <f>IF(INVENTARIO!AA110="","",INVENTARIO!AA110)</f>
        <v/>
      </c>
      <c r="O110">
        <f>IF(INVENTARIO!AB110="","",INVENTARIO!AB110)</f>
        <v/>
      </c>
      <c r="P110">
        <f>IF(INVENTARIO!AC110="","",INVENTARIO!AC110)</f>
        <v/>
      </c>
      <c r="Q110">
        <f>IF(AND(K110="",N110="",L110=""),"",IF(AND((K110="ALTA"),OR(LEFT(N110,2)="L0",LEFT(N110,2)="L1",L110="No Iniciado")),"CRÍTICO - Incumplimiento Normativo SEPS",IF(AND(OR(LEFT(N110,2)="L4",LEFT(N110,2)="L5"),AND(P110&lt;&gt;"",P110&lt;&gt;"N/A")),"CONFORME - Control Efectivo ISO 27001","OBSERVACIÓN - Revisar Controles")))</f>
        <v/>
      </c>
    </row>
    <row r="111">
      <c r="A111">
        <f>IF(INVENTARIO!A111="","",INVENTARIO!A111)</f>
        <v/>
      </c>
      <c r="B111">
        <f>IF(INVENTARIO!E111="","",INVENTARIO!E111)</f>
        <v/>
      </c>
      <c r="C111">
        <f>IF(INVENTARIO!F111="","",INVENTARIO!F111)</f>
        <v/>
      </c>
      <c r="D111">
        <f>IF(INVENTARIO!H111="","",INVENTARIO!H111)</f>
        <v/>
      </c>
      <c r="E111">
        <f>IF(INVENTARIO!I111="","",INVENTARIO!I111)</f>
        <v/>
      </c>
      <c r="F111">
        <f>IF(INVENTARIO!N111="","",INVENTARIO!N111)</f>
        <v/>
      </c>
      <c r="G111">
        <f>IF(INVENTARIO!P111="","",INVENTARIO!P111)</f>
        <v/>
      </c>
      <c r="H111">
        <f>IF(INVENTARIO!Q111="","",INVENTARIO!Q111)</f>
        <v/>
      </c>
      <c r="I111">
        <f>IF(INVENTARIO!R111="","",INVENTARIO!R111)</f>
        <v/>
      </c>
      <c r="J111">
        <f>IF(G111="PUBLICA(1)",1,IF(G111="USO INTERNO(2)",2,IF(G111="RESTRINGIDO(3)",3,0)))+IF(H111="BAJA(1)",1,IF(H111="MEDIA(2)",2,IF(H111="ALTA(3)",3,0)))+IF(I111="BAJA(1)",1,IF(I111="MEDIA(2)",2,IF(I111="ALTA(3)",3,0)))</f>
        <v/>
      </c>
      <c r="K111">
        <f>IF(J111="", "", IF(J111&gt;=8,"ALTA",IF(J111&gt;=6,"MEDIA","BAJA")))</f>
        <v/>
      </c>
      <c r="L111">
        <f>IF(INVENTARIO!Y111="","",INVENTARIO!Y111)</f>
        <v/>
      </c>
      <c r="M111">
        <f>IF(INVENTARIO!Z111="","",INVENTARIO!Z111)</f>
        <v/>
      </c>
      <c r="N111">
        <f>IF(INVENTARIO!AA111="","",INVENTARIO!AA111)</f>
        <v/>
      </c>
      <c r="O111">
        <f>IF(INVENTARIO!AB111="","",INVENTARIO!AB111)</f>
        <v/>
      </c>
      <c r="P111">
        <f>IF(INVENTARIO!AC111="","",INVENTARIO!AC111)</f>
        <v/>
      </c>
      <c r="Q111">
        <f>IF(AND(K111="",N111="",L111=""),"",IF(AND((K111="ALTA"),OR(LEFT(N111,2)="L0",LEFT(N111,2)="L1",L111="No Iniciado")),"CRÍTICO - Incumplimiento Normativo SEPS",IF(AND(OR(LEFT(N111,2)="L4",LEFT(N111,2)="L5"),AND(P111&lt;&gt;"",P111&lt;&gt;"N/A")),"CONFORME - Control Efectivo ISO 27001","OBSERVACIÓN - Revisar Controles")))</f>
        <v/>
      </c>
    </row>
    <row r="112">
      <c r="A112">
        <f>IF(INVENTARIO!A112="","",INVENTARIO!A112)</f>
        <v/>
      </c>
      <c r="B112">
        <f>IF(INVENTARIO!E112="","",INVENTARIO!E112)</f>
        <v/>
      </c>
      <c r="C112">
        <f>IF(INVENTARIO!F112="","",INVENTARIO!F112)</f>
        <v/>
      </c>
      <c r="D112">
        <f>IF(INVENTARIO!H112="","",INVENTARIO!H112)</f>
        <v/>
      </c>
      <c r="E112">
        <f>IF(INVENTARIO!I112="","",INVENTARIO!I112)</f>
        <v/>
      </c>
      <c r="F112">
        <f>IF(INVENTARIO!N112="","",INVENTARIO!N112)</f>
        <v/>
      </c>
      <c r="G112">
        <f>IF(INVENTARIO!P112="","",INVENTARIO!P112)</f>
        <v/>
      </c>
      <c r="H112">
        <f>IF(INVENTARIO!Q112="","",INVENTARIO!Q112)</f>
        <v/>
      </c>
      <c r="I112">
        <f>IF(INVENTARIO!R112="","",INVENTARIO!R112)</f>
        <v/>
      </c>
      <c r="J112">
        <f>IF(G112="PUBLICA(1)",1,IF(G112="USO INTERNO(2)",2,IF(G112="RESTRINGIDO(3)",3,0)))+IF(H112="BAJA(1)",1,IF(H112="MEDIA(2)",2,IF(H112="ALTA(3)",3,0)))+IF(I112="BAJA(1)",1,IF(I112="MEDIA(2)",2,IF(I112="ALTA(3)",3,0)))</f>
        <v/>
      </c>
      <c r="K112">
        <f>IF(J112="", "", IF(J112&gt;=8,"ALTA",IF(J112&gt;=6,"MEDIA","BAJA")))</f>
        <v/>
      </c>
      <c r="L112">
        <f>IF(INVENTARIO!Y112="","",INVENTARIO!Y112)</f>
        <v/>
      </c>
      <c r="M112">
        <f>IF(INVENTARIO!Z112="","",INVENTARIO!Z112)</f>
        <v/>
      </c>
      <c r="N112">
        <f>IF(INVENTARIO!AA112="","",INVENTARIO!AA112)</f>
        <v/>
      </c>
      <c r="O112">
        <f>IF(INVENTARIO!AB112="","",INVENTARIO!AB112)</f>
        <v/>
      </c>
      <c r="P112">
        <f>IF(INVENTARIO!AC112="","",INVENTARIO!AC112)</f>
        <v/>
      </c>
      <c r="Q112">
        <f>IF(AND(K112="",N112="",L112=""),"",IF(AND((K112="ALTA"),OR(LEFT(N112,2)="L0",LEFT(N112,2)="L1",L112="No Iniciado")),"CRÍTICO - Incumplimiento Normativo SEPS",IF(AND(OR(LEFT(N112,2)="L4",LEFT(N112,2)="L5"),AND(P112&lt;&gt;"",P112&lt;&gt;"N/A")),"CONFORME - Control Efectivo ISO 27001","OBSERVACIÓN - Revisar Controles")))</f>
        <v/>
      </c>
    </row>
    <row r="113">
      <c r="A113">
        <f>IF(INVENTARIO!A113="","",INVENTARIO!A113)</f>
        <v/>
      </c>
      <c r="B113">
        <f>IF(INVENTARIO!E113="","",INVENTARIO!E113)</f>
        <v/>
      </c>
      <c r="C113">
        <f>IF(INVENTARIO!F113="","",INVENTARIO!F113)</f>
        <v/>
      </c>
      <c r="D113">
        <f>IF(INVENTARIO!H113="","",INVENTARIO!H113)</f>
        <v/>
      </c>
      <c r="E113">
        <f>IF(INVENTARIO!I113="","",INVENTARIO!I113)</f>
        <v/>
      </c>
      <c r="F113">
        <f>IF(INVENTARIO!N113="","",INVENTARIO!N113)</f>
        <v/>
      </c>
      <c r="G113">
        <f>IF(INVENTARIO!P113="","",INVENTARIO!P113)</f>
        <v/>
      </c>
      <c r="H113">
        <f>IF(INVENTARIO!Q113="","",INVENTARIO!Q113)</f>
        <v/>
      </c>
      <c r="I113">
        <f>IF(INVENTARIO!R113="","",INVENTARIO!R113)</f>
        <v/>
      </c>
      <c r="J113">
        <f>IF(G113="PUBLICA(1)",1,IF(G113="USO INTERNO(2)",2,IF(G113="RESTRINGIDO(3)",3,0)))+IF(H113="BAJA(1)",1,IF(H113="MEDIA(2)",2,IF(H113="ALTA(3)",3,0)))+IF(I113="BAJA(1)",1,IF(I113="MEDIA(2)",2,IF(I113="ALTA(3)",3,0)))</f>
        <v/>
      </c>
      <c r="K113">
        <f>IF(J113="", "", IF(J113&gt;=8,"ALTA",IF(J113&gt;=6,"MEDIA","BAJA")))</f>
        <v/>
      </c>
      <c r="L113">
        <f>IF(INVENTARIO!Y113="","",INVENTARIO!Y113)</f>
        <v/>
      </c>
      <c r="M113">
        <f>IF(INVENTARIO!Z113="","",INVENTARIO!Z113)</f>
        <v/>
      </c>
      <c r="N113">
        <f>IF(INVENTARIO!AA113="","",INVENTARIO!AA113)</f>
        <v/>
      </c>
      <c r="O113">
        <f>IF(INVENTARIO!AB113="","",INVENTARIO!AB113)</f>
        <v/>
      </c>
      <c r="P113">
        <f>IF(INVENTARIO!AC113="","",INVENTARIO!AC113)</f>
        <v/>
      </c>
      <c r="Q113">
        <f>IF(AND(K113="",N113="",L113=""),"",IF(AND((K113="ALTA"),OR(LEFT(N113,2)="L0",LEFT(N113,2)="L1",L113="No Iniciado")),"CRÍTICO - Incumplimiento Normativo SEPS",IF(AND(OR(LEFT(N113,2)="L4",LEFT(N113,2)="L5"),AND(P113&lt;&gt;"",P113&lt;&gt;"N/A")),"CONFORME - Control Efectivo ISO 27001","OBSERVACIÓN - Revisar Controles")))</f>
        <v/>
      </c>
    </row>
    <row r="114">
      <c r="A114">
        <f>IF(INVENTARIO!A114="","",INVENTARIO!A114)</f>
        <v/>
      </c>
      <c r="B114">
        <f>IF(INVENTARIO!E114="","",INVENTARIO!E114)</f>
        <v/>
      </c>
      <c r="C114">
        <f>IF(INVENTARIO!F114="","",INVENTARIO!F114)</f>
        <v/>
      </c>
      <c r="D114">
        <f>IF(INVENTARIO!H114="","",INVENTARIO!H114)</f>
        <v/>
      </c>
      <c r="E114">
        <f>IF(INVENTARIO!I114="","",INVENTARIO!I114)</f>
        <v/>
      </c>
      <c r="F114">
        <f>IF(INVENTARIO!N114="","",INVENTARIO!N114)</f>
        <v/>
      </c>
      <c r="G114">
        <f>IF(INVENTARIO!P114="","",INVENTARIO!P114)</f>
        <v/>
      </c>
      <c r="H114">
        <f>IF(INVENTARIO!Q114="","",INVENTARIO!Q114)</f>
        <v/>
      </c>
      <c r="I114">
        <f>IF(INVENTARIO!R114="","",INVENTARIO!R114)</f>
        <v/>
      </c>
      <c r="J114">
        <f>IF(G114="PUBLICA(1)",1,IF(G114="USO INTERNO(2)",2,IF(G114="RESTRINGIDO(3)",3,0)))+IF(H114="BAJA(1)",1,IF(H114="MEDIA(2)",2,IF(H114="ALTA(3)",3,0)))+IF(I114="BAJA(1)",1,IF(I114="MEDIA(2)",2,IF(I114="ALTA(3)",3,0)))</f>
        <v/>
      </c>
      <c r="K114">
        <f>IF(J114="", "", IF(J114&gt;=8,"ALTA",IF(J114&gt;=6,"MEDIA","BAJA")))</f>
        <v/>
      </c>
      <c r="L114">
        <f>IF(INVENTARIO!Y114="","",INVENTARIO!Y114)</f>
        <v/>
      </c>
      <c r="M114">
        <f>IF(INVENTARIO!Z114="","",INVENTARIO!Z114)</f>
        <v/>
      </c>
      <c r="N114">
        <f>IF(INVENTARIO!AA114="","",INVENTARIO!AA114)</f>
        <v/>
      </c>
      <c r="O114">
        <f>IF(INVENTARIO!AB114="","",INVENTARIO!AB114)</f>
        <v/>
      </c>
      <c r="P114">
        <f>IF(INVENTARIO!AC114="","",INVENTARIO!AC114)</f>
        <v/>
      </c>
      <c r="Q114">
        <f>IF(AND(K114="",N114="",L114=""),"",IF(AND((K114="ALTA"),OR(LEFT(N114,2)="L0",LEFT(N114,2)="L1",L114="No Iniciado")),"CRÍTICO - Incumplimiento Normativo SEPS",IF(AND(OR(LEFT(N114,2)="L4",LEFT(N114,2)="L5"),AND(P114&lt;&gt;"",P114&lt;&gt;"N/A")),"CONFORME - Control Efectivo ISO 27001","OBSERVACIÓN - Revisar Controles")))</f>
        <v/>
      </c>
    </row>
    <row r="115">
      <c r="A115">
        <f>IF(INVENTARIO!A115="","",INVENTARIO!A115)</f>
        <v/>
      </c>
      <c r="B115">
        <f>IF(INVENTARIO!E115="","",INVENTARIO!E115)</f>
        <v/>
      </c>
      <c r="C115">
        <f>IF(INVENTARIO!F115="","",INVENTARIO!F115)</f>
        <v/>
      </c>
      <c r="D115">
        <f>IF(INVENTARIO!H115="","",INVENTARIO!H115)</f>
        <v/>
      </c>
      <c r="E115">
        <f>IF(INVENTARIO!I115="","",INVENTARIO!I115)</f>
        <v/>
      </c>
      <c r="F115">
        <f>IF(INVENTARIO!N115="","",INVENTARIO!N115)</f>
        <v/>
      </c>
      <c r="G115">
        <f>IF(INVENTARIO!P115="","",INVENTARIO!P115)</f>
        <v/>
      </c>
      <c r="H115">
        <f>IF(INVENTARIO!Q115="","",INVENTARIO!Q115)</f>
        <v/>
      </c>
      <c r="I115">
        <f>IF(INVENTARIO!R115="","",INVENTARIO!R115)</f>
        <v/>
      </c>
      <c r="J115">
        <f>IF(G115="PUBLICA(1)",1,IF(G115="USO INTERNO(2)",2,IF(G115="RESTRINGIDO(3)",3,0)))+IF(H115="BAJA(1)",1,IF(H115="MEDIA(2)",2,IF(H115="ALTA(3)",3,0)))+IF(I115="BAJA(1)",1,IF(I115="MEDIA(2)",2,IF(I115="ALTA(3)",3,0)))</f>
        <v/>
      </c>
      <c r="K115">
        <f>IF(J115="", "", IF(J115&gt;=8,"ALTA",IF(J115&gt;=6,"MEDIA","BAJA")))</f>
        <v/>
      </c>
      <c r="L115">
        <f>IF(INVENTARIO!Y115="","",INVENTARIO!Y115)</f>
        <v/>
      </c>
      <c r="M115">
        <f>IF(INVENTARIO!Z115="","",INVENTARIO!Z115)</f>
        <v/>
      </c>
      <c r="N115">
        <f>IF(INVENTARIO!AA115="","",INVENTARIO!AA115)</f>
        <v/>
      </c>
      <c r="O115">
        <f>IF(INVENTARIO!AB115="","",INVENTARIO!AB115)</f>
        <v/>
      </c>
      <c r="P115">
        <f>IF(INVENTARIO!AC115="","",INVENTARIO!AC115)</f>
        <v/>
      </c>
      <c r="Q115">
        <f>IF(AND(K115="",N115="",L115=""),"",IF(AND((K115="ALTA"),OR(LEFT(N115,2)="L0",LEFT(N115,2)="L1",L115="No Iniciado")),"CRÍTICO - Incumplimiento Normativo SEPS",IF(AND(OR(LEFT(N115,2)="L4",LEFT(N115,2)="L5"),AND(P115&lt;&gt;"",P115&lt;&gt;"N/A")),"CONFORME - Control Efectivo ISO 27001","OBSERVACIÓN - Revisar Controles")))</f>
        <v/>
      </c>
    </row>
    <row r="116">
      <c r="A116">
        <f>IF(INVENTARIO!A116="","",INVENTARIO!A116)</f>
        <v/>
      </c>
      <c r="B116">
        <f>IF(INVENTARIO!E116="","",INVENTARIO!E116)</f>
        <v/>
      </c>
      <c r="C116">
        <f>IF(INVENTARIO!F116="","",INVENTARIO!F116)</f>
        <v/>
      </c>
      <c r="D116">
        <f>IF(INVENTARIO!H116="","",INVENTARIO!H116)</f>
        <v/>
      </c>
      <c r="E116">
        <f>IF(INVENTARIO!I116="","",INVENTARIO!I116)</f>
        <v/>
      </c>
      <c r="F116">
        <f>IF(INVENTARIO!N116="","",INVENTARIO!N116)</f>
        <v/>
      </c>
      <c r="G116">
        <f>IF(INVENTARIO!P116="","",INVENTARIO!P116)</f>
        <v/>
      </c>
      <c r="H116">
        <f>IF(INVENTARIO!Q116="","",INVENTARIO!Q116)</f>
        <v/>
      </c>
      <c r="I116">
        <f>IF(INVENTARIO!R116="","",INVENTARIO!R116)</f>
        <v/>
      </c>
      <c r="J116">
        <f>IF(G116="PUBLICA(1)",1,IF(G116="USO INTERNO(2)",2,IF(G116="RESTRINGIDO(3)",3,0)))+IF(H116="BAJA(1)",1,IF(H116="MEDIA(2)",2,IF(H116="ALTA(3)",3,0)))+IF(I116="BAJA(1)",1,IF(I116="MEDIA(2)",2,IF(I116="ALTA(3)",3,0)))</f>
        <v/>
      </c>
      <c r="K116">
        <f>IF(J116="", "", IF(J116&gt;=8,"ALTA",IF(J116&gt;=6,"MEDIA","BAJA")))</f>
        <v/>
      </c>
      <c r="L116">
        <f>IF(INVENTARIO!Y116="","",INVENTARIO!Y116)</f>
        <v/>
      </c>
      <c r="M116">
        <f>IF(INVENTARIO!Z116="","",INVENTARIO!Z116)</f>
        <v/>
      </c>
      <c r="N116">
        <f>IF(INVENTARIO!AA116="","",INVENTARIO!AA116)</f>
        <v/>
      </c>
      <c r="O116">
        <f>IF(INVENTARIO!AB116="","",INVENTARIO!AB116)</f>
        <v/>
      </c>
      <c r="P116">
        <f>IF(INVENTARIO!AC116="","",INVENTARIO!AC116)</f>
        <v/>
      </c>
      <c r="Q116">
        <f>IF(AND(K116="",N116="",L116=""),"",IF(AND((K116="ALTA"),OR(LEFT(N116,2)="L0",LEFT(N116,2)="L1",L116="No Iniciado")),"CRÍTICO - Incumplimiento Normativo SEPS",IF(AND(OR(LEFT(N116,2)="L4",LEFT(N116,2)="L5"),AND(P116&lt;&gt;"",P116&lt;&gt;"N/A")),"CONFORME - Control Efectivo ISO 27001","OBSERVACIÓN - Revisar Controles")))</f>
        <v/>
      </c>
    </row>
    <row r="117">
      <c r="A117">
        <f>IF(INVENTARIO!A117="","",INVENTARIO!A117)</f>
        <v/>
      </c>
      <c r="B117">
        <f>IF(INVENTARIO!E117="","",INVENTARIO!E117)</f>
        <v/>
      </c>
      <c r="C117">
        <f>IF(INVENTARIO!F117="","",INVENTARIO!F117)</f>
        <v/>
      </c>
      <c r="D117">
        <f>IF(INVENTARIO!H117="","",INVENTARIO!H117)</f>
        <v/>
      </c>
      <c r="E117">
        <f>IF(INVENTARIO!I117="","",INVENTARIO!I117)</f>
        <v/>
      </c>
      <c r="F117">
        <f>IF(INVENTARIO!N117="","",INVENTARIO!N117)</f>
        <v/>
      </c>
      <c r="G117">
        <f>IF(INVENTARIO!P117="","",INVENTARIO!P117)</f>
        <v/>
      </c>
      <c r="H117">
        <f>IF(INVENTARIO!Q117="","",INVENTARIO!Q117)</f>
        <v/>
      </c>
      <c r="I117">
        <f>IF(INVENTARIO!R117="","",INVENTARIO!R117)</f>
        <v/>
      </c>
      <c r="J117">
        <f>IF(G117="PUBLICA(1)",1,IF(G117="USO INTERNO(2)",2,IF(G117="RESTRINGIDO(3)",3,0)))+IF(H117="BAJA(1)",1,IF(H117="MEDIA(2)",2,IF(H117="ALTA(3)",3,0)))+IF(I117="BAJA(1)",1,IF(I117="MEDIA(2)",2,IF(I117="ALTA(3)",3,0)))</f>
        <v/>
      </c>
      <c r="K117">
        <f>IF(J117="", "", IF(J117&gt;=8,"ALTA",IF(J117&gt;=6,"MEDIA","BAJA")))</f>
        <v/>
      </c>
      <c r="L117">
        <f>IF(INVENTARIO!Y117="","",INVENTARIO!Y117)</f>
        <v/>
      </c>
      <c r="M117">
        <f>IF(INVENTARIO!Z117="","",INVENTARIO!Z117)</f>
        <v/>
      </c>
      <c r="N117">
        <f>IF(INVENTARIO!AA117="","",INVENTARIO!AA117)</f>
        <v/>
      </c>
      <c r="O117">
        <f>IF(INVENTARIO!AB117="","",INVENTARIO!AB117)</f>
        <v/>
      </c>
      <c r="P117">
        <f>IF(INVENTARIO!AC117="","",INVENTARIO!AC117)</f>
        <v/>
      </c>
      <c r="Q117">
        <f>IF(AND(K117="",N117="",L117=""),"",IF(AND((K117="ALTA"),OR(LEFT(N117,2)="L0",LEFT(N117,2)="L1",L117="No Iniciado")),"CRÍTICO - Incumplimiento Normativo SEPS",IF(AND(OR(LEFT(N117,2)="L4",LEFT(N117,2)="L5"),AND(P117&lt;&gt;"",P117&lt;&gt;"N/A")),"CONFORME - Control Efectivo ISO 27001","OBSERVACIÓN - Revisar Controles")))</f>
        <v/>
      </c>
    </row>
    <row r="118">
      <c r="A118">
        <f>IF(INVENTARIO!A118="","",INVENTARIO!A118)</f>
        <v/>
      </c>
      <c r="B118">
        <f>IF(INVENTARIO!E118="","",INVENTARIO!E118)</f>
        <v/>
      </c>
      <c r="C118">
        <f>IF(INVENTARIO!F118="","",INVENTARIO!F118)</f>
        <v/>
      </c>
      <c r="D118">
        <f>IF(INVENTARIO!H118="","",INVENTARIO!H118)</f>
        <v/>
      </c>
      <c r="E118">
        <f>IF(INVENTARIO!I118="","",INVENTARIO!I118)</f>
        <v/>
      </c>
      <c r="F118">
        <f>IF(INVENTARIO!N118="","",INVENTARIO!N118)</f>
        <v/>
      </c>
      <c r="G118">
        <f>IF(INVENTARIO!P118="","",INVENTARIO!P118)</f>
        <v/>
      </c>
      <c r="H118">
        <f>IF(INVENTARIO!Q118="","",INVENTARIO!Q118)</f>
        <v/>
      </c>
      <c r="I118">
        <f>IF(INVENTARIO!R118="","",INVENTARIO!R118)</f>
        <v/>
      </c>
      <c r="J118">
        <f>IF(G118="PUBLICA(1)",1,IF(G118="USO INTERNO(2)",2,IF(G118="RESTRINGIDO(3)",3,0)))+IF(H118="BAJA(1)",1,IF(H118="MEDIA(2)",2,IF(H118="ALTA(3)",3,0)))+IF(I118="BAJA(1)",1,IF(I118="MEDIA(2)",2,IF(I118="ALTA(3)",3,0)))</f>
        <v/>
      </c>
      <c r="K118">
        <f>IF(J118="", "", IF(J118&gt;=8,"ALTA",IF(J118&gt;=6,"MEDIA","BAJA")))</f>
        <v/>
      </c>
      <c r="L118">
        <f>IF(INVENTARIO!Y118="","",INVENTARIO!Y118)</f>
        <v/>
      </c>
      <c r="M118">
        <f>IF(INVENTARIO!Z118="","",INVENTARIO!Z118)</f>
        <v/>
      </c>
      <c r="N118">
        <f>IF(INVENTARIO!AA118="","",INVENTARIO!AA118)</f>
        <v/>
      </c>
      <c r="O118">
        <f>IF(INVENTARIO!AB118="","",INVENTARIO!AB118)</f>
        <v/>
      </c>
      <c r="P118">
        <f>IF(INVENTARIO!AC118="","",INVENTARIO!AC118)</f>
        <v/>
      </c>
      <c r="Q118">
        <f>IF(AND(K118="",N118="",L118=""),"",IF(AND((K118="ALTA"),OR(LEFT(N118,2)="L0",LEFT(N118,2)="L1",L118="No Iniciado")),"CRÍTICO - Incumplimiento Normativo SEPS",IF(AND(OR(LEFT(N118,2)="L4",LEFT(N118,2)="L5"),AND(P118&lt;&gt;"",P118&lt;&gt;"N/A")),"CONFORME - Control Efectivo ISO 27001","OBSERVACIÓN - Revisar Controles")))</f>
        <v/>
      </c>
    </row>
    <row r="119">
      <c r="A119">
        <f>IF(INVENTARIO!A119="","",INVENTARIO!A119)</f>
        <v/>
      </c>
      <c r="B119">
        <f>IF(INVENTARIO!E119="","",INVENTARIO!E119)</f>
        <v/>
      </c>
      <c r="C119">
        <f>IF(INVENTARIO!F119="","",INVENTARIO!F119)</f>
        <v/>
      </c>
      <c r="D119">
        <f>IF(INVENTARIO!H119="","",INVENTARIO!H119)</f>
        <v/>
      </c>
      <c r="E119">
        <f>IF(INVENTARIO!I119="","",INVENTARIO!I119)</f>
        <v/>
      </c>
      <c r="F119">
        <f>IF(INVENTARIO!N119="","",INVENTARIO!N119)</f>
        <v/>
      </c>
      <c r="G119">
        <f>IF(INVENTARIO!P119="","",INVENTARIO!P119)</f>
        <v/>
      </c>
      <c r="H119">
        <f>IF(INVENTARIO!Q119="","",INVENTARIO!Q119)</f>
        <v/>
      </c>
      <c r="I119">
        <f>IF(INVENTARIO!R119="","",INVENTARIO!R119)</f>
        <v/>
      </c>
      <c r="J119">
        <f>IF(G119="PUBLICA(1)",1,IF(G119="USO INTERNO(2)",2,IF(G119="RESTRINGIDO(3)",3,0)))+IF(H119="BAJA(1)",1,IF(H119="MEDIA(2)",2,IF(H119="ALTA(3)",3,0)))+IF(I119="BAJA(1)",1,IF(I119="MEDIA(2)",2,IF(I119="ALTA(3)",3,0)))</f>
        <v/>
      </c>
      <c r="K119">
        <f>IF(J119="", "", IF(J119&gt;=8,"ALTA",IF(J119&gt;=6,"MEDIA","BAJA")))</f>
        <v/>
      </c>
      <c r="L119">
        <f>IF(INVENTARIO!Y119="","",INVENTARIO!Y119)</f>
        <v/>
      </c>
      <c r="M119">
        <f>IF(INVENTARIO!Z119="","",INVENTARIO!Z119)</f>
        <v/>
      </c>
      <c r="N119">
        <f>IF(INVENTARIO!AA119="","",INVENTARIO!AA119)</f>
        <v/>
      </c>
      <c r="O119">
        <f>IF(INVENTARIO!AB119="","",INVENTARIO!AB119)</f>
        <v/>
      </c>
      <c r="P119">
        <f>IF(INVENTARIO!AC119="","",INVENTARIO!AC119)</f>
        <v/>
      </c>
      <c r="Q119">
        <f>IF(AND(K119="",N119="",L119=""),"",IF(AND((K119="ALTA"),OR(LEFT(N119,2)="L0",LEFT(N119,2)="L1",L119="No Iniciado")),"CRÍTICO - Incumplimiento Normativo SEPS",IF(AND(OR(LEFT(N119,2)="L4",LEFT(N119,2)="L5"),AND(P119&lt;&gt;"",P119&lt;&gt;"N/A")),"CONFORME - Control Efectivo ISO 27001","OBSERVACIÓN - Revisar Controles")))</f>
        <v/>
      </c>
    </row>
    <row r="120">
      <c r="A120">
        <f>IF(INVENTARIO!A120="","",INVENTARIO!A120)</f>
        <v/>
      </c>
      <c r="B120">
        <f>IF(INVENTARIO!E120="","",INVENTARIO!E120)</f>
        <v/>
      </c>
      <c r="C120">
        <f>IF(INVENTARIO!F120="","",INVENTARIO!F120)</f>
        <v/>
      </c>
      <c r="D120">
        <f>IF(INVENTARIO!H120="","",INVENTARIO!H120)</f>
        <v/>
      </c>
      <c r="E120">
        <f>IF(INVENTARIO!I120="","",INVENTARIO!I120)</f>
        <v/>
      </c>
      <c r="F120">
        <f>IF(INVENTARIO!N120="","",INVENTARIO!N120)</f>
        <v/>
      </c>
      <c r="G120">
        <f>IF(INVENTARIO!P120="","",INVENTARIO!P120)</f>
        <v/>
      </c>
      <c r="H120">
        <f>IF(INVENTARIO!Q120="","",INVENTARIO!Q120)</f>
        <v/>
      </c>
      <c r="I120">
        <f>IF(INVENTARIO!R120="","",INVENTARIO!R120)</f>
        <v/>
      </c>
      <c r="J120">
        <f>IF(G120="PUBLICA(1)",1,IF(G120="USO INTERNO(2)",2,IF(G120="RESTRINGIDO(3)",3,0)))+IF(H120="BAJA(1)",1,IF(H120="MEDIA(2)",2,IF(H120="ALTA(3)",3,0)))+IF(I120="BAJA(1)",1,IF(I120="MEDIA(2)",2,IF(I120="ALTA(3)",3,0)))</f>
        <v/>
      </c>
      <c r="K120">
        <f>IF(J120="", "", IF(J120&gt;=8,"ALTA",IF(J120&gt;=6,"MEDIA","BAJA")))</f>
        <v/>
      </c>
      <c r="L120">
        <f>IF(INVENTARIO!Y120="","",INVENTARIO!Y120)</f>
        <v/>
      </c>
      <c r="M120">
        <f>IF(INVENTARIO!Z120="","",INVENTARIO!Z120)</f>
        <v/>
      </c>
      <c r="N120">
        <f>IF(INVENTARIO!AA120="","",INVENTARIO!AA120)</f>
        <v/>
      </c>
      <c r="O120">
        <f>IF(INVENTARIO!AB120="","",INVENTARIO!AB120)</f>
        <v/>
      </c>
      <c r="P120">
        <f>IF(INVENTARIO!AC120="","",INVENTARIO!AC120)</f>
        <v/>
      </c>
      <c r="Q120">
        <f>IF(AND(K120="",N120="",L120=""),"",IF(AND((K120="ALTA"),OR(LEFT(N120,2)="L0",LEFT(N120,2)="L1",L120="No Iniciado")),"CRÍTICO - Incumplimiento Normativo SEPS",IF(AND(OR(LEFT(N120,2)="L4",LEFT(N120,2)="L5"),AND(P120&lt;&gt;"",P120&lt;&gt;"N/A")),"CONFORME - Control Efectivo ISO 27001","OBSERVACIÓN - Revisar Controles")))</f>
        <v/>
      </c>
    </row>
    <row r="121">
      <c r="A121">
        <f>IF(INVENTARIO!A121="","",INVENTARIO!A121)</f>
        <v/>
      </c>
      <c r="B121">
        <f>IF(INVENTARIO!E121="","",INVENTARIO!E121)</f>
        <v/>
      </c>
      <c r="C121">
        <f>IF(INVENTARIO!F121="","",INVENTARIO!F121)</f>
        <v/>
      </c>
      <c r="D121">
        <f>IF(INVENTARIO!H121="","",INVENTARIO!H121)</f>
        <v/>
      </c>
      <c r="E121">
        <f>IF(INVENTARIO!I121="","",INVENTARIO!I121)</f>
        <v/>
      </c>
      <c r="F121">
        <f>IF(INVENTARIO!N121="","",INVENTARIO!N121)</f>
        <v/>
      </c>
      <c r="G121">
        <f>IF(INVENTARIO!P121="","",INVENTARIO!P121)</f>
        <v/>
      </c>
      <c r="H121">
        <f>IF(INVENTARIO!Q121="","",INVENTARIO!Q121)</f>
        <v/>
      </c>
      <c r="I121">
        <f>IF(INVENTARIO!R121="","",INVENTARIO!R121)</f>
        <v/>
      </c>
      <c r="J121">
        <f>IF(G121="PUBLICA(1)",1,IF(G121="USO INTERNO(2)",2,IF(G121="RESTRINGIDO(3)",3,0)))+IF(H121="BAJA(1)",1,IF(H121="MEDIA(2)",2,IF(H121="ALTA(3)",3,0)))+IF(I121="BAJA(1)",1,IF(I121="MEDIA(2)",2,IF(I121="ALTA(3)",3,0)))</f>
        <v/>
      </c>
      <c r="K121">
        <f>IF(J121="", "", IF(J121&gt;=8,"ALTA",IF(J121&gt;=6,"MEDIA","BAJA")))</f>
        <v/>
      </c>
      <c r="L121">
        <f>IF(INVENTARIO!Y121="","",INVENTARIO!Y121)</f>
        <v/>
      </c>
      <c r="M121">
        <f>IF(INVENTARIO!Z121="","",INVENTARIO!Z121)</f>
        <v/>
      </c>
      <c r="N121">
        <f>IF(INVENTARIO!AA121="","",INVENTARIO!AA121)</f>
        <v/>
      </c>
      <c r="O121">
        <f>IF(INVENTARIO!AB121="","",INVENTARIO!AB121)</f>
        <v/>
      </c>
      <c r="P121">
        <f>IF(INVENTARIO!AC121="","",INVENTARIO!AC121)</f>
        <v/>
      </c>
      <c r="Q121">
        <f>IF(AND(K121="",N121="",L121=""),"",IF(AND((K121="ALTA"),OR(LEFT(N121,2)="L0",LEFT(N121,2)="L1",L121="No Iniciado")),"CRÍTICO - Incumplimiento Normativo SEPS",IF(AND(OR(LEFT(N121,2)="L4",LEFT(N121,2)="L5"),AND(P121&lt;&gt;"",P121&lt;&gt;"N/A")),"CONFORME - Control Efectivo ISO 27001","OBSERVACIÓN - Revisar Controles")))</f>
        <v/>
      </c>
    </row>
    <row r="122">
      <c r="A122">
        <f>IF(INVENTARIO!A122="","",INVENTARIO!A122)</f>
        <v/>
      </c>
      <c r="B122">
        <f>IF(INVENTARIO!E122="","",INVENTARIO!E122)</f>
        <v/>
      </c>
      <c r="C122">
        <f>IF(INVENTARIO!F122="","",INVENTARIO!F122)</f>
        <v/>
      </c>
      <c r="D122">
        <f>IF(INVENTARIO!H122="","",INVENTARIO!H122)</f>
        <v/>
      </c>
      <c r="E122">
        <f>IF(INVENTARIO!I122="","",INVENTARIO!I122)</f>
        <v/>
      </c>
      <c r="F122">
        <f>IF(INVENTARIO!N122="","",INVENTARIO!N122)</f>
        <v/>
      </c>
      <c r="G122">
        <f>IF(INVENTARIO!P122="","",INVENTARIO!P122)</f>
        <v/>
      </c>
      <c r="H122">
        <f>IF(INVENTARIO!Q122="","",INVENTARIO!Q122)</f>
        <v/>
      </c>
      <c r="I122">
        <f>IF(INVENTARIO!R122="","",INVENTARIO!R122)</f>
        <v/>
      </c>
      <c r="J122">
        <f>IF(G122="PUBLICA(1)",1,IF(G122="USO INTERNO(2)",2,IF(G122="RESTRINGIDO(3)",3,0)))+IF(H122="BAJA(1)",1,IF(H122="MEDIA(2)",2,IF(H122="ALTA(3)",3,0)))+IF(I122="BAJA(1)",1,IF(I122="MEDIA(2)",2,IF(I122="ALTA(3)",3,0)))</f>
        <v/>
      </c>
      <c r="K122">
        <f>IF(J122="", "", IF(J122&gt;=8,"ALTA",IF(J122&gt;=6,"MEDIA","BAJA")))</f>
        <v/>
      </c>
      <c r="L122">
        <f>IF(INVENTARIO!Y122="","",INVENTARIO!Y122)</f>
        <v/>
      </c>
      <c r="M122">
        <f>IF(INVENTARIO!Z122="","",INVENTARIO!Z122)</f>
        <v/>
      </c>
      <c r="N122">
        <f>IF(INVENTARIO!AA122="","",INVENTARIO!AA122)</f>
        <v/>
      </c>
      <c r="O122">
        <f>IF(INVENTARIO!AB122="","",INVENTARIO!AB122)</f>
        <v/>
      </c>
      <c r="P122">
        <f>IF(INVENTARIO!AC122="","",INVENTARIO!AC122)</f>
        <v/>
      </c>
      <c r="Q122">
        <f>IF(AND(K122="",N122="",L122=""),"",IF(AND((K122="ALTA"),OR(LEFT(N122,2)="L0",LEFT(N122,2)="L1",L122="No Iniciado")),"CRÍTICO - Incumplimiento Normativo SEPS",IF(AND(OR(LEFT(N122,2)="L4",LEFT(N122,2)="L5"),AND(P122&lt;&gt;"",P122&lt;&gt;"N/A")),"CONFORME - Control Efectivo ISO 27001","OBSERVACIÓN - Revisar Controles")))</f>
        <v/>
      </c>
    </row>
    <row r="123">
      <c r="A123">
        <f>IF(INVENTARIO!A123="","",INVENTARIO!A123)</f>
        <v/>
      </c>
      <c r="B123">
        <f>IF(INVENTARIO!E123="","",INVENTARIO!E123)</f>
        <v/>
      </c>
      <c r="C123">
        <f>IF(INVENTARIO!F123="","",INVENTARIO!F123)</f>
        <v/>
      </c>
      <c r="D123">
        <f>IF(INVENTARIO!H123="","",INVENTARIO!H123)</f>
        <v/>
      </c>
      <c r="E123">
        <f>IF(INVENTARIO!I123="","",INVENTARIO!I123)</f>
        <v/>
      </c>
      <c r="F123">
        <f>IF(INVENTARIO!N123="","",INVENTARIO!N123)</f>
        <v/>
      </c>
      <c r="G123">
        <f>IF(INVENTARIO!P123="","",INVENTARIO!P123)</f>
        <v/>
      </c>
      <c r="H123">
        <f>IF(INVENTARIO!Q123="","",INVENTARIO!Q123)</f>
        <v/>
      </c>
      <c r="I123">
        <f>IF(INVENTARIO!R123="","",INVENTARIO!R123)</f>
        <v/>
      </c>
      <c r="J123">
        <f>IF(G123="PUBLICA(1)",1,IF(G123="USO INTERNO(2)",2,IF(G123="RESTRINGIDO(3)",3,0)))+IF(H123="BAJA(1)",1,IF(H123="MEDIA(2)",2,IF(H123="ALTA(3)",3,0)))+IF(I123="BAJA(1)",1,IF(I123="MEDIA(2)",2,IF(I123="ALTA(3)",3,0)))</f>
        <v/>
      </c>
      <c r="K123">
        <f>IF(J123="", "", IF(J123&gt;=8,"ALTA",IF(J123&gt;=6,"MEDIA","BAJA")))</f>
        <v/>
      </c>
      <c r="L123">
        <f>IF(INVENTARIO!Y123="","",INVENTARIO!Y123)</f>
        <v/>
      </c>
      <c r="M123">
        <f>IF(INVENTARIO!Z123="","",INVENTARIO!Z123)</f>
        <v/>
      </c>
      <c r="N123">
        <f>IF(INVENTARIO!AA123="","",INVENTARIO!AA123)</f>
        <v/>
      </c>
      <c r="O123">
        <f>IF(INVENTARIO!AB123="","",INVENTARIO!AB123)</f>
        <v/>
      </c>
      <c r="P123">
        <f>IF(INVENTARIO!AC123="","",INVENTARIO!AC123)</f>
        <v/>
      </c>
      <c r="Q123">
        <f>IF(AND(K123="",N123="",L123=""),"",IF(AND((K123="ALTA"),OR(LEFT(N123,2)="L0",LEFT(N123,2)="L1",L123="No Iniciado")),"CRÍTICO - Incumplimiento Normativo SEPS",IF(AND(OR(LEFT(N123,2)="L4",LEFT(N123,2)="L5"),AND(P123&lt;&gt;"",P123&lt;&gt;"N/A")),"CONFORME - Control Efectivo ISO 27001","OBSERVACIÓN - Revisar Controles")))</f>
        <v/>
      </c>
    </row>
    <row r="124">
      <c r="A124">
        <f>IF(INVENTARIO!A124="","",INVENTARIO!A124)</f>
        <v/>
      </c>
      <c r="B124">
        <f>IF(INVENTARIO!E124="","",INVENTARIO!E124)</f>
        <v/>
      </c>
      <c r="C124">
        <f>IF(INVENTARIO!F124="","",INVENTARIO!F124)</f>
        <v/>
      </c>
      <c r="D124">
        <f>IF(INVENTARIO!H124="","",INVENTARIO!H124)</f>
        <v/>
      </c>
      <c r="E124">
        <f>IF(INVENTARIO!I124="","",INVENTARIO!I124)</f>
        <v/>
      </c>
      <c r="F124">
        <f>IF(INVENTARIO!N124="","",INVENTARIO!N124)</f>
        <v/>
      </c>
      <c r="G124">
        <f>IF(INVENTARIO!P124="","",INVENTARIO!P124)</f>
        <v/>
      </c>
      <c r="H124">
        <f>IF(INVENTARIO!Q124="","",INVENTARIO!Q124)</f>
        <v/>
      </c>
      <c r="I124">
        <f>IF(INVENTARIO!R124="","",INVENTARIO!R124)</f>
        <v/>
      </c>
      <c r="J124">
        <f>IF(G124="PUBLICA(1)",1,IF(G124="USO INTERNO(2)",2,IF(G124="RESTRINGIDO(3)",3,0)))+IF(H124="BAJA(1)",1,IF(H124="MEDIA(2)",2,IF(H124="ALTA(3)",3,0)))+IF(I124="BAJA(1)",1,IF(I124="MEDIA(2)",2,IF(I124="ALTA(3)",3,0)))</f>
        <v/>
      </c>
      <c r="K124">
        <f>IF(J124="", "", IF(J124&gt;=8,"ALTA",IF(J124&gt;=6,"MEDIA","BAJA")))</f>
        <v/>
      </c>
      <c r="L124">
        <f>IF(INVENTARIO!Y124="","",INVENTARIO!Y124)</f>
        <v/>
      </c>
      <c r="M124">
        <f>IF(INVENTARIO!Z124="","",INVENTARIO!Z124)</f>
        <v/>
      </c>
      <c r="N124">
        <f>IF(INVENTARIO!AA124="","",INVENTARIO!AA124)</f>
        <v/>
      </c>
      <c r="O124">
        <f>IF(INVENTARIO!AB124="","",INVENTARIO!AB124)</f>
        <v/>
      </c>
      <c r="P124">
        <f>IF(INVENTARIO!AC124="","",INVENTARIO!AC124)</f>
        <v/>
      </c>
      <c r="Q124">
        <f>IF(AND(K124="",N124="",L124=""),"",IF(AND((K124="ALTA"),OR(LEFT(N124,2)="L0",LEFT(N124,2)="L1",L124="No Iniciado")),"CRÍTICO - Incumplimiento Normativo SEPS",IF(AND(OR(LEFT(N124,2)="L4",LEFT(N124,2)="L5"),AND(P124&lt;&gt;"",P124&lt;&gt;"N/A")),"CONFORME - Control Efectivo ISO 27001","OBSERVACIÓN - Revisar Controles")))</f>
        <v/>
      </c>
    </row>
    <row r="125">
      <c r="A125">
        <f>IF(INVENTARIO!A125="","",INVENTARIO!A125)</f>
        <v/>
      </c>
      <c r="B125">
        <f>IF(INVENTARIO!E125="","",INVENTARIO!E125)</f>
        <v/>
      </c>
      <c r="C125">
        <f>IF(INVENTARIO!F125="","",INVENTARIO!F125)</f>
        <v/>
      </c>
      <c r="D125">
        <f>IF(INVENTARIO!H125="","",INVENTARIO!H125)</f>
        <v/>
      </c>
      <c r="E125">
        <f>IF(INVENTARIO!I125="","",INVENTARIO!I125)</f>
        <v/>
      </c>
      <c r="F125">
        <f>IF(INVENTARIO!N125="","",INVENTARIO!N125)</f>
        <v/>
      </c>
      <c r="G125">
        <f>IF(INVENTARIO!P125="","",INVENTARIO!P125)</f>
        <v/>
      </c>
      <c r="H125">
        <f>IF(INVENTARIO!Q125="","",INVENTARIO!Q125)</f>
        <v/>
      </c>
      <c r="I125">
        <f>IF(INVENTARIO!R125="","",INVENTARIO!R125)</f>
        <v/>
      </c>
      <c r="J125">
        <f>IF(G125="PUBLICA(1)",1,IF(G125="USO INTERNO(2)",2,IF(G125="RESTRINGIDO(3)",3,0)))+IF(H125="BAJA(1)",1,IF(H125="MEDIA(2)",2,IF(H125="ALTA(3)",3,0)))+IF(I125="BAJA(1)",1,IF(I125="MEDIA(2)",2,IF(I125="ALTA(3)",3,0)))</f>
        <v/>
      </c>
      <c r="K125">
        <f>IF(J125="", "", IF(J125&gt;=8,"ALTA",IF(J125&gt;=6,"MEDIA","BAJA")))</f>
        <v/>
      </c>
      <c r="L125">
        <f>IF(INVENTARIO!Y125="","",INVENTARIO!Y125)</f>
        <v/>
      </c>
      <c r="M125">
        <f>IF(INVENTARIO!Z125="","",INVENTARIO!Z125)</f>
        <v/>
      </c>
      <c r="N125">
        <f>IF(INVENTARIO!AA125="","",INVENTARIO!AA125)</f>
        <v/>
      </c>
      <c r="O125">
        <f>IF(INVENTARIO!AB125="","",INVENTARIO!AB125)</f>
        <v/>
      </c>
      <c r="P125">
        <f>IF(INVENTARIO!AC125="","",INVENTARIO!AC125)</f>
        <v/>
      </c>
      <c r="Q125">
        <f>IF(AND(K125="",N125="",L125=""),"",IF(AND((K125="ALTA"),OR(LEFT(N125,2)="L0",LEFT(N125,2)="L1",L125="No Iniciado")),"CRÍTICO - Incumplimiento Normativo SEPS",IF(AND(OR(LEFT(N125,2)="L4",LEFT(N125,2)="L5"),AND(P125&lt;&gt;"",P125&lt;&gt;"N/A")),"CONFORME - Control Efectivo ISO 27001","OBSERVACIÓN - Revisar Controles")))</f>
        <v/>
      </c>
    </row>
    <row r="126">
      <c r="A126">
        <f>IF(INVENTARIO!A126="","",INVENTARIO!A126)</f>
        <v/>
      </c>
      <c r="B126">
        <f>IF(INVENTARIO!E126="","",INVENTARIO!E126)</f>
        <v/>
      </c>
      <c r="C126">
        <f>IF(INVENTARIO!F126="","",INVENTARIO!F126)</f>
        <v/>
      </c>
      <c r="D126">
        <f>IF(INVENTARIO!H126="","",INVENTARIO!H126)</f>
        <v/>
      </c>
      <c r="E126">
        <f>IF(INVENTARIO!I126="","",INVENTARIO!I126)</f>
        <v/>
      </c>
      <c r="F126">
        <f>IF(INVENTARIO!N126="","",INVENTARIO!N126)</f>
        <v/>
      </c>
      <c r="G126">
        <f>IF(INVENTARIO!P126="","",INVENTARIO!P126)</f>
        <v/>
      </c>
      <c r="H126">
        <f>IF(INVENTARIO!Q126="","",INVENTARIO!Q126)</f>
        <v/>
      </c>
      <c r="I126">
        <f>IF(INVENTARIO!R126="","",INVENTARIO!R126)</f>
        <v/>
      </c>
      <c r="J126">
        <f>IF(G126="PUBLICA(1)",1,IF(G126="USO INTERNO(2)",2,IF(G126="RESTRINGIDO(3)",3,0)))+IF(H126="BAJA(1)",1,IF(H126="MEDIA(2)",2,IF(H126="ALTA(3)",3,0)))+IF(I126="BAJA(1)",1,IF(I126="MEDIA(2)",2,IF(I126="ALTA(3)",3,0)))</f>
        <v/>
      </c>
      <c r="K126">
        <f>IF(J126="", "", IF(J126&gt;=8,"ALTA",IF(J126&gt;=6,"MEDIA","BAJA")))</f>
        <v/>
      </c>
      <c r="L126">
        <f>IF(INVENTARIO!Y126="","",INVENTARIO!Y126)</f>
        <v/>
      </c>
      <c r="M126">
        <f>IF(INVENTARIO!Z126="","",INVENTARIO!Z126)</f>
        <v/>
      </c>
      <c r="N126">
        <f>IF(INVENTARIO!AA126="","",INVENTARIO!AA126)</f>
        <v/>
      </c>
      <c r="O126">
        <f>IF(INVENTARIO!AB126="","",INVENTARIO!AB126)</f>
        <v/>
      </c>
      <c r="P126">
        <f>IF(INVENTARIO!AC126="","",INVENTARIO!AC126)</f>
        <v/>
      </c>
      <c r="Q126">
        <f>IF(AND(K126="",N126="",L126=""),"",IF(AND((K126="ALTA"),OR(LEFT(N126,2)="L0",LEFT(N126,2)="L1",L126="No Iniciado")),"CRÍTICO - Incumplimiento Normativo SEPS",IF(AND(OR(LEFT(N126,2)="L4",LEFT(N126,2)="L5"),AND(P126&lt;&gt;"",P126&lt;&gt;"N/A")),"CONFORME - Control Efectivo ISO 27001","OBSERVACIÓN - Revisar Controles")))</f>
        <v/>
      </c>
    </row>
    <row r="127">
      <c r="A127">
        <f>IF(INVENTARIO!A127="","",INVENTARIO!A127)</f>
        <v/>
      </c>
      <c r="B127">
        <f>IF(INVENTARIO!E127="","",INVENTARIO!E127)</f>
        <v/>
      </c>
      <c r="C127">
        <f>IF(INVENTARIO!F127="","",INVENTARIO!F127)</f>
        <v/>
      </c>
      <c r="D127">
        <f>IF(INVENTARIO!H127="","",INVENTARIO!H127)</f>
        <v/>
      </c>
      <c r="E127">
        <f>IF(INVENTARIO!I127="","",INVENTARIO!I127)</f>
        <v/>
      </c>
      <c r="F127">
        <f>IF(INVENTARIO!N127="","",INVENTARIO!N127)</f>
        <v/>
      </c>
      <c r="G127">
        <f>IF(INVENTARIO!P127="","",INVENTARIO!P127)</f>
        <v/>
      </c>
      <c r="H127">
        <f>IF(INVENTARIO!Q127="","",INVENTARIO!Q127)</f>
        <v/>
      </c>
      <c r="I127">
        <f>IF(INVENTARIO!R127="","",INVENTARIO!R127)</f>
        <v/>
      </c>
      <c r="J127">
        <f>IF(G127="PUBLICA(1)",1,IF(G127="USO INTERNO(2)",2,IF(G127="RESTRINGIDO(3)",3,0)))+IF(H127="BAJA(1)",1,IF(H127="MEDIA(2)",2,IF(H127="ALTA(3)",3,0)))+IF(I127="BAJA(1)",1,IF(I127="MEDIA(2)",2,IF(I127="ALTA(3)",3,0)))</f>
        <v/>
      </c>
      <c r="K127">
        <f>IF(J127="", "", IF(J127&gt;=8,"ALTA",IF(J127&gt;=6,"MEDIA","BAJA")))</f>
        <v/>
      </c>
      <c r="L127">
        <f>IF(INVENTARIO!Y127="","",INVENTARIO!Y127)</f>
        <v/>
      </c>
      <c r="M127">
        <f>IF(INVENTARIO!Z127="","",INVENTARIO!Z127)</f>
        <v/>
      </c>
      <c r="N127">
        <f>IF(INVENTARIO!AA127="","",INVENTARIO!AA127)</f>
        <v/>
      </c>
      <c r="O127">
        <f>IF(INVENTARIO!AB127="","",INVENTARIO!AB127)</f>
        <v/>
      </c>
      <c r="P127">
        <f>IF(INVENTARIO!AC127="","",INVENTARIO!AC127)</f>
        <v/>
      </c>
      <c r="Q127">
        <f>IF(AND(K127="",N127="",L127=""),"",IF(AND((K127="ALTA"),OR(LEFT(N127,2)="L0",LEFT(N127,2)="L1",L127="No Iniciado")),"CRÍTICO - Incumplimiento Normativo SEPS",IF(AND(OR(LEFT(N127,2)="L4",LEFT(N127,2)="L5"),AND(P127&lt;&gt;"",P127&lt;&gt;"N/A")),"CONFORME - Control Efectivo ISO 27001","OBSERVACIÓN - Revisar Controles")))</f>
        <v/>
      </c>
    </row>
    <row r="128">
      <c r="A128">
        <f>IF(INVENTARIO!A128="","",INVENTARIO!A128)</f>
        <v/>
      </c>
      <c r="B128">
        <f>IF(INVENTARIO!E128="","",INVENTARIO!E128)</f>
        <v/>
      </c>
      <c r="C128">
        <f>IF(INVENTARIO!F128="","",INVENTARIO!F128)</f>
        <v/>
      </c>
      <c r="D128">
        <f>IF(INVENTARIO!H128="","",INVENTARIO!H128)</f>
        <v/>
      </c>
      <c r="E128">
        <f>IF(INVENTARIO!I128="","",INVENTARIO!I128)</f>
        <v/>
      </c>
      <c r="F128">
        <f>IF(INVENTARIO!N128="","",INVENTARIO!N128)</f>
        <v/>
      </c>
      <c r="G128">
        <f>IF(INVENTARIO!P128="","",INVENTARIO!P128)</f>
        <v/>
      </c>
      <c r="H128">
        <f>IF(INVENTARIO!Q128="","",INVENTARIO!Q128)</f>
        <v/>
      </c>
      <c r="I128">
        <f>IF(INVENTARIO!R128="","",INVENTARIO!R128)</f>
        <v/>
      </c>
      <c r="J128">
        <f>IF(G128="PUBLICA(1)",1,IF(G128="USO INTERNO(2)",2,IF(G128="RESTRINGIDO(3)",3,0)))+IF(H128="BAJA(1)",1,IF(H128="MEDIA(2)",2,IF(H128="ALTA(3)",3,0)))+IF(I128="BAJA(1)",1,IF(I128="MEDIA(2)",2,IF(I128="ALTA(3)",3,0)))</f>
        <v/>
      </c>
      <c r="K128">
        <f>IF(J128="", "", IF(J128&gt;=8,"ALTA",IF(J128&gt;=6,"MEDIA","BAJA")))</f>
        <v/>
      </c>
      <c r="L128">
        <f>IF(INVENTARIO!Y128="","",INVENTARIO!Y128)</f>
        <v/>
      </c>
      <c r="M128">
        <f>IF(INVENTARIO!Z128="","",INVENTARIO!Z128)</f>
        <v/>
      </c>
      <c r="N128">
        <f>IF(INVENTARIO!AA128="","",INVENTARIO!AA128)</f>
        <v/>
      </c>
      <c r="O128">
        <f>IF(INVENTARIO!AB128="","",INVENTARIO!AB128)</f>
        <v/>
      </c>
      <c r="P128">
        <f>IF(INVENTARIO!AC128="","",INVENTARIO!AC128)</f>
        <v/>
      </c>
      <c r="Q128">
        <f>IF(AND(K128="",N128="",L128=""),"",IF(AND((K128="ALTA"),OR(LEFT(N128,2)="L0",LEFT(N128,2)="L1",L128="No Iniciado")),"CRÍTICO - Incumplimiento Normativo SEPS",IF(AND(OR(LEFT(N128,2)="L4",LEFT(N128,2)="L5"),AND(P128&lt;&gt;"",P128&lt;&gt;"N/A")),"CONFORME - Control Efectivo ISO 27001","OBSERVACIÓN - Revisar Controles")))</f>
        <v/>
      </c>
    </row>
    <row r="129">
      <c r="A129">
        <f>IF(INVENTARIO!A129="","",INVENTARIO!A129)</f>
        <v/>
      </c>
      <c r="B129">
        <f>IF(INVENTARIO!E129="","",INVENTARIO!E129)</f>
        <v/>
      </c>
      <c r="C129">
        <f>IF(INVENTARIO!F129="","",INVENTARIO!F129)</f>
        <v/>
      </c>
      <c r="D129">
        <f>IF(INVENTARIO!H129="","",INVENTARIO!H129)</f>
        <v/>
      </c>
      <c r="E129">
        <f>IF(INVENTARIO!I129="","",INVENTARIO!I129)</f>
        <v/>
      </c>
      <c r="F129">
        <f>IF(INVENTARIO!N129="","",INVENTARIO!N129)</f>
        <v/>
      </c>
      <c r="G129">
        <f>IF(INVENTARIO!P129="","",INVENTARIO!P129)</f>
        <v/>
      </c>
      <c r="H129">
        <f>IF(INVENTARIO!Q129="","",INVENTARIO!Q129)</f>
        <v/>
      </c>
      <c r="I129">
        <f>IF(INVENTARIO!R129="","",INVENTARIO!R129)</f>
        <v/>
      </c>
      <c r="J129">
        <f>IF(G129="PUBLICA(1)",1,IF(G129="USO INTERNO(2)",2,IF(G129="RESTRINGIDO(3)",3,0)))+IF(H129="BAJA(1)",1,IF(H129="MEDIA(2)",2,IF(H129="ALTA(3)",3,0)))+IF(I129="BAJA(1)",1,IF(I129="MEDIA(2)",2,IF(I129="ALTA(3)",3,0)))</f>
        <v/>
      </c>
      <c r="K129">
        <f>IF(J129="", "", IF(J129&gt;=8,"ALTA",IF(J129&gt;=6,"MEDIA","BAJA")))</f>
        <v/>
      </c>
      <c r="L129">
        <f>IF(INVENTARIO!Y129="","",INVENTARIO!Y129)</f>
        <v/>
      </c>
      <c r="M129">
        <f>IF(INVENTARIO!Z129="","",INVENTARIO!Z129)</f>
        <v/>
      </c>
      <c r="N129">
        <f>IF(INVENTARIO!AA129="","",INVENTARIO!AA129)</f>
        <v/>
      </c>
      <c r="O129">
        <f>IF(INVENTARIO!AB129="","",INVENTARIO!AB129)</f>
        <v/>
      </c>
      <c r="P129">
        <f>IF(INVENTARIO!AC129="","",INVENTARIO!AC129)</f>
        <v/>
      </c>
      <c r="Q129">
        <f>IF(AND(K129="",N129="",L129=""),"",IF(AND((K129="ALTA"),OR(LEFT(N129,2)="L0",LEFT(N129,2)="L1",L129="No Iniciado")),"CRÍTICO - Incumplimiento Normativo SEPS",IF(AND(OR(LEFT(N129,2)="L4",LEFT(N129,2)="L5"),AND(P129&lt;&gt;"",P129&lt;&gt;"N/A")),"CONFORME - Control Efectivo ISO 27001","OBSERVACIÓN - Revisar Controles")))</f>
        <v/>
      </c>
    </row>
    <row r="130">
      <c r="A130">
        <f>IF(INVENTARIO!A130="","",INVENTARIO!A130)</f>
        <v/>
      </c>
      <c r="B130">
        <f>IF(INVENTARIO!E130="","",INVENTARIO!E130)</f>
        <v/>
      </c>
      <c r="C130">
        <f>IF(INVENTARIO!F130="","",INVENTARIO!F130)</f>
        <v/>
      </c>
      <c r="D130">
        <f>IF(INVENTARIO!H130="","",INVENTARIO!H130)</f>
        <v/>
      </c>
      <c r="E130">
        <f>IF(INVENTARIO!I130="","",INVENTARIO!I130)</f>
        <v/>
      </c>
      <c r="F130">
        <f>IF(INVENTARIO!N130="","",INVENTARIO!N130)</f>
        <v/>
      </c>
      <c r="G130">
        <f>IF(INVENTARIO!P130="","",INVENTARIO!P130)</f>
        <v/>
      </c>
      <c r="H130">
        <f>IF(INVENTARIO!Q130="","",INVENTARIO!Q130)</f>
        <v/>
      </c>
      <c r="I130">
        <f>IF(INVENTARIO!R130="","",INVENTARIO!R130)</f>
        <v/>
      </c>
      <c r="J130">
        <f>IF(G130="PUBLICA(1)",1,IF(G130="USO INTERNO(2)",2,IF(G130="RESTRINGIDO(3)",3,0)))+IF(H130="BAJA(1)",1,IF(H130="MEDIA(2)",2,IF(H130="ALTA(3)",3,0)))+IF(I130="BAJA(1)",1,IF(I130="MEDIA(2)",2,IF(I130="ALTA(3)",3,0)))</f>
        <v/>
      </c>
      <c r="K130">
        <f>IF(J130="", "", IF(J130&gt;=8,"ALTA",IF(J130&gt;=6,"MEDIA","BAJA")))</f>
        <v/>
      </c>
      <c r="L130">
        <f>IF(INVENTARIO!Y130="","",INVENTARIO!Y130)</f>
        <v/>
      </c>
      <c r="M130">
        <f>IF(INVENTARIO!Z130="","",INVENTARIO!Z130)</f>
        <v/>
      </c>
      <c r="N130">
        <f>IF(INVENTARIO!AA130="","",INVENTARIO!AA130)</f>
        <v/>
      </c>
      <c r="O130">
        <f>IF(INVENTARIO!AB130="","",INVENTARIO!AB130)</f>
        <v/>
      </c>
      <c r="P130">
        <f>IF(INVENTARIO!AC130="","",INVENTARIO!AC130)</f>
        <v/>
      </c>
      <c r="Q130">
        <f>IF(AND(K130="",N130="",L130=""),"",IF(AND((K130="ALTA"),OR(LEFT(N130,2)="L0",LEFT(N130,2)="L1",L130="No Iniciado")),"CRÍTICO - Incumplimiento Normativo SEPS",IF(AND(OR(LEFT(N130,2)="L4",LEFT(N130,2)="L5"),AND(P130&lt;&gt;"",P130&lt;&gt;"N/A")),"CONFORME - Control Efectivo ISO 27001","OBSERVACIÓN - Revisar Controles")))</f>
        <v/>
      </c>
    </row>
    <row r="131">
      <c r="A131">
        <f>IF(INVENTARIO!A131="","",INVENTARIO!A131)</f>
        <v/>
      </c>
      <c r="B131">
        <f>IF(INVENTARIO!E131="","",INVENTARIO!E131)</f>
        <v/>
      </c>
      <c r="C131">
        <f>IF(INVENTARIO!F131="","",INVENTARIO!F131)</f>
        <v/>
      </c>
      <c r="D131">
        <f>IF(INVENTARIO!H131="","",INVENTARIO!H131)</f>
        <v/>
      </c>
      <c r="E131">
        <f>IF(INVENTARIO!I131="","",INVENTARIO!I131)</f>
        <v/>
      </c>
      <c r="F131">
        <f>IF(INVENTARIO!N131="","",INVENTARIO!N131)</f>
        <v/>
      </c>
      <c r="G131">
        <f>IF(INVENTARIO!P131="","",INVENTARIO!P131)</f>
        <v/>
      </c>
      <c r="H131">
        <f>IF(INVENTARIO!Q131="","",INVENTARIO!Q131)</f>
        <v/>
      </c>
      <c r="I131">
        <f>IF(INVENTARIO!R131="","",INVENTARIO!R131)</f>
        <v/>
      </c>
      <c r="J131">
        <f>IF(G131="PUBLICA(1)",1,IF(G131="USO INTERNO(2)",2,IF(G131="RESTRINGIDO(3)",3,0)))+IF(H131="BAJA(1)",1,IF(H131="MEDIA(2)",2,IF(H131="ALTA(3)",3,0)))+IF(I131="BAJA(1)",1,IF(I131="MEDIA(2)",2,IF(I131="ALTA(3)",3,0)))</f>
        <v/>
      </c>
      <c r="K131">
        <f>IF(J131="", "", IF(J131&gt;=8,"ALTA",IF(J131&gt;=6,"MEDIA","BAJA")))</f>
        <v/>
      </c>
      <c r="L131">
        <f>IF(INVENTARIO!Y131="","",INVENTARIO!Y131)</f>
        <v/>
      </c>
      <c r="M131">
        <f>IF(INVENTARIO!Z131="","",INVENTARIO!Z131)</f>
        <v/>
      </c>
      <c r="N131">
        <f>IF(INVENTARIO!AA131="","",INVENTARIO!AA131)</f>
        <v/>
      </c>
      <c r="O131">
        <f>IF(INVENTARIO!AB131="","",INVENTARIO!AB131)</f>
        <v/>
      </c>
      <c r="P131">
        <f>IF(INVENTARIO!AC131="","",INVENTARIO!AC131)</f>
        <v/>
      </c>
      <c r="Q131">
        <f>IF(AND(K131="",N131="",L131=""),"",IF(AND((K131="ALTA"),OR(LEFT(N131,2)="L0",LEFT(N131,2)="L1",L131="No Iniciado")),"CRÍTICO - Incumplimiento Normativo SEPS",IF(AND(OR(LEFT(N131,2)="L4",LEFT(N131,2)="L5"),AND(P131&lt;&gt;"",P131&lt;&gt;"N/A")),"CONFORME - Control Efectivo ISO 27001","OBSERVACIÓN - Revisar Controles")))</f>
        <v/>
      </c>
    </row>
    <row r="132">
      <c r="A132">
        <f>IF(INVENTARIO!A132="","",INVENTARIO!A132)</f>
        <v/>
      </c>
      <c r="B132">
        <f>IF(INVENTARIO!E132="","",INVENTARIO!E132)</f>
        <v/>
      </c>
      <c r="C132">
        <f>IF(INVENTARIO!F132="","",INVENTARIO!F132)</f>
        <v/>
      </c>
      <c r="D132">
        <f>IF(INVENTARIO!H132="","",INVENTARIO!H132)</f>
        <v/>
      </c>
      <c r="E132">
        <f>IF(INVENTARIO!I132="","",INVENTARIO!I132)</f>
        <v/>
      </c>
      <c r="F132">
        <f>IF(INVENTARIO!N132="","",INVENTARIO!N132)</f>
        <v/>
      </c>
      <c r="G132">
        <f>IF(INVENTARIO!P132="","",INVENTARIO!P132)</f>
        <v/>
      </c>
      <c r="H132">
        <f>IF(INVENTARIO!Q132="","",INVENTARIO!Q132)</f>
        <v/>
      </c>
      <c r="I132">
        <f>IF(INVENTARIO!R132="","",INVENTARIO!R132)</f>
        <v/>
      </c>
      <c r="J132">
        <f>IF(G132="PUBLICA(1)",1,IF(G132="USO INTERNO(2)",2,IF(G132="RESTRINGIDO(3)",3,0)))+IF(H132="BAJA(1)",1,IF(H132="MEDIA(2)",2,IF(H132="ALTA(3)",3,0)))+IF(I132="BAJA(1)",1,IF(I132="MEDIA(2)",2,IF(I132="ALTA(3)",3,0)))</f>
        <v/>
      </c>
      <c r="K132">
        <f>IF(J132="", "", IF(J132&gt;=8,"ALTA",IF(J132&gt;=6,"MEDIA","BAJA")))</f>
        <v/>
      </c>
      <c r="L132">
        <f>IF(INVENTARIO!Y132="","",INVENTARIO!Y132)</f>
        <v/>
      </c>
      <c r="M132">
        <f>IF(INVENTARIO!Z132="","",INVENTARIO!Z132)</f>
        <v/>
      </c>
      <c r="N132">
        <f>IF(INVENTARIO!AA132="","",INVENTARIO!AA132)</f>
        <v/>
      </c>
      <c r="O132">
        <f>IF(INVENTARIO!AB132="","",INVENTARIO!AB132)</f>
        <v/>
      </c>
      <c r="P132">
        <f>IF(INVENTARIO!AC132="","",INVENTARIO!AC132)</f>
        <v/>
      </c>
      <c r="Q132">
        <f>IF(AND(K132="",N132="",L132=""),"",IF(AND((K132="ALTA"),OR(LEFT(N132,2)="L0",LEFT(N132,2)="L1",L132="No Iniciado")),"CRÍTICO - Incumplimiento Normativo SEPS",IF(AND(OR(LEFT(N132,2)="L4",LEFT(N132,2)="L5"),AND(P132&lt;&gt;"",P132&lt;&gt;"N/A")),"CONFORME - Control Efectivo ISO 27001","OBSERVACIÓN - Revisar Controles")))</f>
        <v/>
      </c>
    </row>
    <row r="133">
      <c r="A133">
        <f>IF(INVENTARIO!A133="","",INVENTARIO!A133)</f>
        <v/>
      </c>
      <c r="B133">
        <f>IF(INVENTARIO!E133="","",INVENTARIO!E133)</f>
        <v/>
      </c>
      <c r="C133">
        <f>IF(INVENTARIO!F133="","",INVENTARIO!F133)</f>
        <v/>
      </c>
      <c r="D133">
        <f>IF(INVENTARIO!H133="","",INVENTARIO!H133)</f>
        <v/>
      </c>
      <c r="E133">
        <f>IF(INVENTARIO!I133="","",INVENTARIO!I133)</f>
        <v/>
      </c>
      <c r="F133">
        <f>IF(INVENTARIO!N133="","",INVENTARIO!N133)</f>
        <v/>
      </c>
      <c r="G133">
        <f>IF(INVENTARIO!P133="","",INVENTARIO!P133)</f>
        <v/>
      </c>
      <c r="H133">
        <f>IF(INVENTARIO!Q133="","",INVENTARIO!Q133)</f>
        <v/>
      </c>
      <c r="I133">
        <f>IF(INVENTARIO!R133="","",INVENTARIO!R133)</f>
        <v/>
      </c>
      <c r="J133">
        <f>IF(G133="PUBLICA(1)",1,IF(G133="USO INTERNO(2)",2,IF(G133="RESTRINGIDO(3)",3,0)))+IF(H133="BAJA(1)",1,IF(H133="MEDIA(2)",2,IF(H133="ALTA(3)",3,0)))+IF(I133="BAJA(1)",1,IF(I133="MEDIA(2)",2,IF(I133="ALTA(3)",3,0)))</f>
        <v/>
      </c>
      <c r="K133">
        <f>IF(J133="", "", IF(J133&gt;=8,"ALTA",IF(J133&gt;=6,"MEDIA","BAJA")))</f>
        <v/>
      </c>
      <c r="L133">
        <f>IF(INVENTARIO!Y133="","",INVENTARIO!Y133)</f>
        <v/>
      </c>
      <c r="M133">
        <f>IF(INVENTARIO!Z133="","",INVENTARIO!Z133)</f>
        <v/>
      </c>
      <c r="N133">
        <f>IF(INVENTARIO!AA133="","",INVENTARIO!AA133)</f>
        <v/>
      </c>
      <c r="O133">
        <f>IF(INVENTARIO!AB133="","",INVENTARIO!AB133)</f>
        <v/>
      </c>
      <c r="P133">
        <f>IF(INVENTARIO!AC133="","",INVENTARIO!AC133)</f>
        <v/>
      </c>
      <c r="Q133">
        <f>IF(AND(K133="",N133="",L133=""),"",IF(AND((K133="ALTA"),OR(LEFT(N133,2)="L0",LEFT(N133,2)="L1",L133="No Iniciado")),"CRÍTICO - Incumplimiento Normativo SEPS",IF(AND(OR(LEFT(N133,2)="L4",LEFT(N133,2)="L5"),AND(P133&lt;&gt;"",P133&lt;&gt;"N/A")),"CONFORME - Control Efectivo ISO 27001","OBSERVACIÓN - Revisar Controles")))</f>
        <v/>
      </c>
    </row>
    <row r="134">
      <c r="A134">
        <f>IF(INVENTARIO!A134="","",INVENTARIO!A134)</f>
        <v/>
      </c>
      <c r="B134">
        <f>IF(INVENTARIO!E134="","",INVENTARIO!E134)</f>
        <v/>
      </c>
      <c r="C134">
        <f>IF(INVENTARIO!F134="","",INVENTARIO!F134)</f>
        <v/>
      </c>
      <c r="D134">
        <f>IF(INVENTARIO!H134="","",INVENTARIO!H134)</f>
        <v/>
      </c>
      <c r="E134">
        <f>IF(INVENTARIO!I134="","",INVENTARIO!I134)</f>
        <v/>
      </c>
      <c r="F134">
        <f>IF(INVENTARIO!N134="","",INVENTARIO!N134)</f>
        <v/>
      </c>
      <c r="G134">
        <f>IF(INVENTARIO!P134="","",INVENTARIO!P134)</f>
        <v/>
      </c>
      <c r="H134">
        <f>IF(INVENTARIO!Q134="","",INVENTARIO!Q134)</f>
        <v/>
      </c>
      <c r="I134">
        <f>IF(INVENTARIO!R134="","",INVENTARIO!R134)</f>
        <v/>
      </c>
      <c r="J134">
        <f>IF(G134="PUBLICA(1)",1,IF(G134="USO INTERNO(2)",2,IF(G134="RESTRINGIDO(3)",3,0)))+IF(H134="BAJA(1)",1,IF(H134="MEDIA(2)",2,IF(H134="ALTA(3)",3,0)))+IF(I134="BAJA(1)",1,IF(I134="MEDIA(2)",2,IF(I134="ALTA(3)",3,0)))</f>
        <v/>
      </c>
      <c r="K134">
        <f>IF(J134="", "", IF(J134&gt;=8,"ALTA",IF(J134&gt;=6,"MEDIA","BAJA")))</f>
        <v/>
      </c>
      <c r="L134">
        <f>IF(INVENTARIO!Y134="","",INVENTARIO!Y134)</f>
        <v/>
      </c>
      <c r="M134">
        <f>IF(INVENTARIO!Z134="","",INVENTARIO!Z134)</f>
        <v/>
      </c>
      <c r="N134">
        <f>IF(INVENTARIO!AA134="","",INVENTARIO!AA134)</f>
        <v/>
      </c>
      <c r="O134">
        <f>IF(INVENTARIO!AB134="","",INVENTARIO!AB134)</f>
        <v/>
      </c>
      <c r="P134">
        <f>IF(INVENTARIO!AC134="","",INVENTARIO!AC134)</f>
        <v/>
      </c>
      <c r="Q134">
        <f>IF(AND(K134="",N134="",L134=""),"",IF(AND((K134="ALTA"),OR(LEFT(N134,2)="L0",LEFT(N134,2)="L1",L134="No Iniciado")),"CRÍTICO - Incumplimiento Normativo SEPS",IF(AND(OR(LEFT(N134,2)="L4",LEFT(N134,2)="L5"),AND(P134&lt;&gt;"",P134&lt;&gt;"N/A")),"CONFORME - Control Efectivo ISO 27001","OBSERVACIÓN - Revisar Controles")))</f>
        <v/>
      </c>
    </row>
    <row r="135">
      <c r="A135">
        <f>IF(INVENTARIO!A135="","",INVENTARIO!A135)</f>
        <v/>
      </c>
      <c r="B135">
        <f>IF(INVENTARIO!E135="","",INVENTARIO!E135)</f>
        <v/>
      </c>
      <c r="C135">
        <f>IF(INVENTARIO!F135="","",INVENTARIO!F135)</f>
        <v/>
      </c>
      <c r="D135">
        <f>IF(INVENTARIO!H135="","",INVENTARIO!H135)</f>
        <v/>
      </c>
      <c r="E135">
        <f>IF(INVENTARIO!I135="","",INVENTARIO!I135)</f>
        <v/>
      </c>
      <c r="F135">
        <f>IF(INVENTARIO!N135="","",INVENTARIO!N135)</f>
        <v/>
      </c>
      <c r="G135">
        <f>IF(INVENTARIO!P135="","",INVENTARIO!P135)</f>
        <v/>
      </c>
      <c r="H135">
        <f>IF(INVENTARIO!Q135="","",INVENTARIO!Q135)</f>
        <v/>
      </c>
      <c r="I135">
        <f>IF(INVENTARIO!R135="","",INVENTARIO!R135)</f>
        <v/>
      </c>
      <c r="J135">
        <f>IF(G135="PUBLICA(1)",1,IF(G135="USO INTERNO(2)",2,IF(G135="RESTRINGIDO(3)",3,0)))+IF(H135="BAJA(1)",1,IF(H135="MEDIA(2)",2,IF(H135="ALTA(3)",3,0)))+IF(I135="BAJA(1)",1,IF(I135="MEDIA(2)",2,IF(I135="ALTA(3)",3,0)))</f>
        <v/>
      </c>
      <c r="K135">
        <f>IF(J135="", "", IF(J135&gt;=8,"ALTA",IF(J135&gt;=6,"MEDIA","BAJA")))</f>
        <v/>
      </c>
      <c r="L135">
        <f>IF(INVENTARIO!Y135="","",INVENTARIO!Y135)</f>
        <v/>
      </c>
      <c r="M135">
        <f>IF(INVENTARIO!Z135="","",INVENTARIO!Z135)</f>
        <v/>
      </c>
      <c r="N135">
        <f>IF(INVENTARIO!AA135="","",INVENTARIO!AA135)</f>
        <v/>
      </c>
      <c r="O135">
        <f>IF(INVENTARIO!AB135="","",INVENTARIO!AB135)</f>
        <v/>
      </c>
      <c r="P135">
        <f>IF(INVENTARIO!AC135="","",INVENTARIO!AC135)</f>
        <v/>
      </c>
      <c r="Q135">
        <f>IF(AND(K135="",N135="",L135=""),"",IF(AND((K135="ALTA"),OR(LEFT(N135,2)="L0",LEFT(N135,2)="L1",L135="No Iniciado")),"CRÍTICO - Incumplimiento Normativo SEPS",IF(AND(OR(LEFT(N135,2)="L4",LEFT(N135,2)="L5"),AND(P135&lt;&gt;"",P135&lt;&gt;"N/A")),"CONFORME - Control Efectivo ISO 27001","OBSERVACIÓN - Revisar Controles")))</f>
        <v/>
      </c>
    </row>
    <row r="136">
      <c r="A136">
        <f>IF(INVENTARIO!A136="","",INVENTARIO!A136)</f>
        <v/>
      </c>
      <c r="B136">
        <f>IF(INVENTARIO!E136="","",INVENTARIO!E136)</f>
        <v/>
      </c>
      <c r="C136">
        <f>IF(INVENTARIO!F136="","",INVENTARIO!F136)</f>
        <v/>
      </c>
      <c r="D136">
        <f>IF(INVENTARIO!H136="","",INVENTARIO!H136)</f>
        <v/>
      </c>
      <c r="E136">
        <f>IF(INVENTARIO!I136="","",INVENTARIO!I136)</f>
        <v/>
      </c>
      <c r="F136">
        <f>IF(INVENTARIO!N136="","",INVENTARIO!N136)</f>
        <v/>
      </c>
      <c r="G136">
        <f>IF(INVENTARIO!P136="","",INVENTARIO!P136)</f>
        <v/>
      </c>
      <c r="H136">
        <f>IF(INVENTARIO!Q136="","",INVENTARIO!Q136)</f>
        <v/>
      </c>
      <c r="I136">
        <f>IF(INVENTARIO!R136="","",INVENTARIO!R136)</f>
        <v/>
      </c>
      <c r="J136">
        <f>IF(G136="PUBLICA(1)",1,IF(G136="USO INTERNO(2)",2,IF(G136="RESTRINGIDO(3)",3,0)))+IF(H136="BAJA(1)",1,IF(H136="MEDIA(2)",2,IF(H136="ALTA(3)",3,0)))+IF(I136="BAJA(1)",1,IF(I136="MEDIA(2)",2,IF(I136="ALTA(3)",3,0)))</f>
        <v/>
      </c>
      <c r="K136">
        <f>IF(J136="", "", IF(J136&gt;=8,"ALTA",IF(J136&gt;=6,"MEDIA","BAJA")))</f>
        <v/>
      </c>
      <c r="L136">
        <f>IF(INVENTARIO!Y136="","",INVENTARIO!Y136)</f>
        <v/>
      </c>
      <c r="M136">
        <f>IF(INVENTARIO!Z136="","",INVENTARIO!Z136)</f>
        <v/>
      </c>
      <c r="N136">
        <f>IF(INVENTARIO!AA136="","",INVENTARIO!AA136)</f>
        <v/>
      </c>
      <c r="O136">
        <f>IF(INVENTARIO!AB136="","",INVENTARIO!AB136)</f>
        <v/>
      </c>
      <c r="P136">
        <f>IF(INVENTARIO!AC136="","",INVENTARIO!AC136)</f>
        <v/>
      </c>
      <c r="Q136">
        <f>IF(AND(K136="",N136="",L136=""),"",IF(AND((K136="ALTA"),OR(LEFT(N136,2)="L0",LEFT(N136,2)="L1",L136="No Iniciado")),"CRÍTICO - Incumplimiento Normativo SEPS",IF(AND(OR(LEFT(N136,2)="L4",LEFT(N136,2)="L5"),AND(P136&lt;&gt;"",P136&lt;&gt;"N/A")),"CONFORME - Control Efectivo ISO 27001","OBSERVACIÓN - Revisar Controles")))</f>
        <v/>
      </c>
    </row>
    <row r="137">
      <c r="A137">
        <f>IF(INVENTARIO!A137="","",INVENTARIO!A137)</f>
        <v/>
      </c>
      <c r="B137">
        <f>IF(INVENTARIO!E137="","",INVENTARIO!E137)</f>
        <v/>
      </c>
      <c r="C137">
        <f>IF(INVENTARIO!F137="","",INVENTARIO!F137)</f>
        <v/>
      </c>
      <c r="D137">
        <f>IF(INVENTARIO!H137="","",INVENTARIO!H137)</f>
        <v/>
      </c>
      <c r="E137">
        <f>IF(INVENTARIO!I137="","",INVENTARIO!I137)</f>
        <v/>
      </c>
      <c r="F137">
        <f>IF(INVENTARIO!N137="","",INVENTARIO!N137)</f>
        <v/>
      </c>
      <c r="G137">
        <f>IF(INVENTARIO!P137="","",INVENTARIO!P137)</f>
        <v/>
      </c>
      <c r="H137">
        <f>IF(INVENTARIO!Q137="","",INVENTARIO!Q137)</f>
        <v/>
      </c>
      <c r="I137">
        <f>IF(INVENTARIO!R137="","",INVENTARIO!R137)</f>
        <v/>
      </c>
      <c r="J137">
        <f>IF(G137="PUBLICA(1)",1,IF(G137="USO INTERNO(2)",2,IF(G137="RESTRINGIDO(3)",3,0)))+IF(H137="BAJA(1)",1,IF(H137="MEDIA(2)",2,IF(H137="ALTA(3)",3,0)))+IF(I137="BAJA(1)",1,IF(I137="MEDIA(2)",2,IF(I137="ALTA(3)",3,0)))</f>
        <v/>
      </c>
      <c r="K137">
        <f>IF(J137="", "", IF(J137&gt;=8,"ALTA",IF(J137&gt;=6,"MEDIA","BAJA")))</f>
        <v/>
      </c>
      <c r="L137">
        <f>IF(INVENTARIO!Y137="","",INVENTARIO!Y137)</f>
        <v/>
      </c>
      <c r="M137">
        <f>IF(INVENTARIO!Z137="","",INVENTARIO!Z137)</f>
        <v/>
      </c>
      <c r="N137">
        <f>IF(INVENTARIO!AA137="","",INVENTARIO!AA137)</f>
        <v/>
      </c>
      <c r="O137">
        <f>IF(INVENTARIO!AB137="","",INVENTARIO!AB137)</f>
        <v/>
      </c>
      <c r="P137">
        <f>IF(INVENTARIO!AC137="","",INVENTARIO!AC137)</f>
        <v/>
      </c>
      <c r="Q137">
        <f>IF(AND(K137="",N137="",L137=""),"",IF(AND((K137="ALTA"),OR(LEFT(N137,2)="L0",LEFT(N137,2)="L1",L137="No Iniciado")),"CRÍTICO - Incumplimiento Normativo SEPS",IF(AND(OR(LEFT(N137,2)="L4",LEFT(N137,2)="L5"),AND(P137&lt;&gt;"",P137&lt;&gt;"N/A")),"CONFORME - Control Efectivo ISO 27001","OBSERVACIÓN - Revisar Controles")))</f>
        <v/>
      </c>
    </row>
    <row r="138">
      <c r="A138">
        <f>IF(INVENTARIO!A138="","",INVENTARIO!A138)</f>
        <v/>
      </c>
      <c r="B138">
        <f>IF(INVENTARIO!E138="","",INVENTARIO!E138)</f>
        <v/>
      </c>
      <c r="C138">
        <f>IF(INVENTARIO!F138="","",INVENTARIO!F138)</f>
        <v/>
      </c>
      <c r="D138">
        <f>IF(INVENTARIO!H138="","",INVENTARIO!H138)</f>
        <v/>
      </c>
      <c r="E138">
        <f>IF(INVENTARIO!I138="","",INVENTARIO!I138)</f>
        <v/>
      </c>
      <c r="F138">
        <f>IF(INVENTARIO!N138="","",INVENTARIO!N138)</f>
        <v/>
      </c>
      <c r="G138">
        <f>IF(INVENTARIO!P138="","",INVENTARIO!P138)</f>
        <v/>
      </c>
      <c r="H138">
        <f>IF(INVENTARIO!Q138="","",INVENTARIO!Q138)</f>
        <v/>
      </c>
      <c r="I138">
        <f>IF(INVENTARIO!R138="","",INVENTARIO!R138)</f>
        <v/>
      </c>
      <c r="J138">
        <f>IF(G138="PUBLICA(1)",1,IF(G138="USO INTERNO(2)",2,IF(G138="RESTRINGIDO(3)",3,0)))+IF(H138="BAJA(1)",1,IF(H138="MEDIA(2)",2,IF(H138="ALTA(3)",3,0)))+IF(I138="BAJA(1)",1,IF(I138="MEDIA(2)",2,IF(I138="ALTA(3)",3,0)))</f>
        <v/>
      </c>
      <c r="K138">
        <f>IF(J138="", "", IF(J138&gt;=8,"ALTA",IF(J138&gt;=6,"MEDIA","BAJA")))</f>
        <v/>
      </c>
      <c r="L138">
        <f>IF(INVENTARIO!Y138="","",INVENTARIO!Y138)</f>
        <v/>
      </c>
      <c r="M138">
        <f>IF(INVENTARIO!Z138="","",INVENTARIO!Z138)</f>
        <v/>
      </c>
      <c r="N138">
        <f>IF(INVENTARIO!AA138="","",INVENTARIO!AA138)</f>
        <v/>
      </c>
      <c r="O138">
        <f>IF(INVENTARIO!AB138="","",INVENTARIO!AB138)</f>
        <v/>
      </c>
      <c r="P138">
        <f>IF(INVENTARIO!AC138="","",INVENTARIO!AC138)</f>
        <v/>
      </c>
      <c r="Q138">
        <f>IF(AND(K138="",N138="",L138=""),"",IF(AND((K138="ALTA"),OR(LEFT(N138,2)="L0",LEFT(N138,2)="L1",L138="No Iniciado")),"CRÍTICO - Incumplimiento Normativo SEPS",IF(AND(OR(LEFT(N138,2)="L4",LEFT(N138,2)="L5"),AND(P138&lt;&gt;"",P138&lt;&gt;"N/A")),"CONFORME - Control Efectivo ISO 27001","OBSERVACIÓN - Revisar Controles")))</f>
        <v/>
      </c>
    </row>
    <row r="139">
      <c r="A139">
        <f>IF(INVENTARIO!A139="","",INVENTARIO!A139)</f>
        <v/>
      </c>
      <c r="B139">
        <f>IF(INVENTARIO!E139="","",INVENTARIO!E139)</f>
        <v/>
      </c>
      <c r="C139">
        <f>IF(INVENTARIO!F139="","",INVENTARIO!F139)</f>
        <v/>
      </c>
      <c r="D139">
        <f>IF(INVENTARIO!H139="","",INVENTARIO!H139)</f>
        <v/>
      </c>
      <c r="E139">
        <f>IF(INVENTARIO!I139="","",INVENTARIO!I139)</f>
        <v/>
      </c>
      <c r="F139">
        <f>IF(INVENTARIO!N139="","",INVENTARIO!N139)</f>
        <v/>
      </c>
      <c r="G139">
        <f>IF(INVENTARIO!P139="","",INVENTARIO!P139)</f>
        <v/>
      </c>
      <c r="H139">
        <f>IF(INVENTARIO!Q139="","",INVENTARIO!Q139)</f>
        <v/>
      </c>
      <c r="I139">
        <f>IF(INVENTARIO!R139="","",INVENTARIO!R139)</f>
        <v/>
      </c>
      <c r="J139">
        <f>IF(G139="PUBLICA(1)",1,IF(G139="USO INTERNO(2)",2,IF(G139="RESTRINGIDO(3)",3,0)))+IF(H139="BAJA(1)",1,IF(H139="MEDIA(2)",2,IF(H139="ALTA(3)",3,0)))+IF(I139="BAJA(1)",1,IF(I139="MEDIA(2)",2,IF(I139="ALTA(3)",3,0)))</f>
        <v/>
      </c>
      <c r="K139">
        <f>IF(J139="", "", IF(J139&gt;=8,"ALTA",IF(J139&gt;=6,"MEDIA","BAJA")))</f>
        <v/>
      </c>
      <c r="L139">
        <f>IF(INVENTARIO!Y139="","",INVENTARIO!Y139)</f>
        <v/>
      </c>
      <c r="M139">
        <f>IF(INVENTARIO!Z139="","",INVENTARIO!Z139)</f>
        <v/>
      </c>
      <c r="N139">
        <f>IF(INVENTARIO!AA139="","",INVENTARIO!AA139)</f>
        <v/>
      </c>
      <c r="O139">
        <f>IF(INVENTARIO!AB139="","",INVENTARIO!AB139)</f>
        <v/>
      </c>
      <c r="P139">
        <f>IF(INVENTARIO!AC139="","",INVENTARIO!AC139)</f>
        <v/>
      </c>
      <c r="Q139">
        <f>IF(AND(K139="",N139="",L139=""),"",IF(AND((K139="ALTA"),OR(LEFT(N139,2)="L0",LEFT(N139,2)="L1",L139="No Iniciado")),"CRÍTICO - Incumplimiento Normativo SEPS",IF(AND(OR(LEFT(N139,2)="L4",LEFT(N139,2)="L5"),AND(P139&lt;&gt;"",P139&lt;&gt;"N/A")),"CONFORME - Control Efectivo ISO 27001","OBSERVACIÓN - Revisar Controles")))</f>
        <v/>
      </c>
    </row>
    <row r="140">
      <c r="A140">
        <f>IF(INVENTARIO!A140="","",INVENTARIO!A140)</f>
        <v/>
      </c>
      <c r="B140">
        <f>IF(INVENTARIO!E140="","",INVENTARIO!E140)</f>
        <v/>
      </c>
      <c r="C140">
        <f>IF(INVENTARIO!F140="","",INVENTARIO!F140)</f>
        <v/>
      </c>
      <c r="D140">
        <f>IF(INVENTARIO!H140="","",INVENTARIO!H140)</f>
        <v/>
      </c>
      <c r="E140">
        <f>IF(INVENTARIO!I140="","",INVENTARIO!I140)</f>
        <v/>
      </c>
      <c r="F140">
        <f>IF(INVENTARIO!N140="","",INVENTARIO!N140)</f>
        <v/>
      </c>
      <c r="G140">
        <f>IF(INVENTARIO!P140="","",INVENTARIO!P140)</f>
        <v/>
      </c>
      <c r="H140">
        <f>IF(INVENTARIO!Q140="","",INVENTARIO!Q140)</f>
        <v/>
      </c>
      <c r="I140">
        <f>IF(INVENTARIO!R140="","",INVENTARIO!R140)</f>
        <v/>
      </c>
      <c r="J140">
        <f>IF(G140="PUBLICA(1)",1,IF(G140="USO INTERNO(2)",2,IF(G140="RESTRINGIDO(3)",3,0)))+IF(H140="BAJA(1)",1,IF(H140="MEDIA(2)",2,IF(H140="ALTA(3)",3,0)))+IF(I140="BAJA(1)",1,IF(I140="MEDIA(2)",2,IF(I140="ALTA(3)",3,0)))</f>
        <v/>
      </c>
      <c r="K140">
        <f>IF(J140="", "", IF(J140&gt;=8,"ALTA",IF(J140&gt;=6,"MEDIA","BAJA")))</f>
        <v/>
      </c>
      <c r="L140">
        <f>IF(INVENTARIO!Y140="","",INVENTARIO!Y140)</f>
        <v/>
      </c>
      <c r="M140">
        <f>IF(INVENTARIO!Z140="","",INVENTARIO!Z140)</f>
        <v/>
      </c>
      <c r="N140">
        <f>IF(INVENTARIO!AA140="","",INVENTARIO!AA140)</f>
        <v/>
      </c>
      <c r="O140">
        <f>IF(INVENTARIO!AB140="","",INVENTARIO!AB140)</f>
        <v/>
      </c>
      <c r="P140">
        <f>IF(INVENTARIO!AC140="","",INVENTARIO!AC140)</f>
        <v/>
      </c>
      <c r="Q140">
        <f>IF(AND(K140="",N140="",L140=""),"",IF(AND((K140="ALTA"),OR(LEFT(N140,2)="L0",LEFT(N140,2)="L1",L140="No Iniciado")),"CRÍTICO - Incumplimiento Normativo SEPS",IF(AND(OR(LEFT(N140,2)="L4",LEFT(N140,2)="L5"),AND(P140&lt;&gt;"",P140&lt;&gt;"N/A")),"CONFORME - Control Efectivo ISO 27001","OBSERVACIÓN - Revisar Controles")))</f>
        <v/>
      </c>
    </row>
    <row r="141">
      <c r="A141">
        <f>IF(INVENTARIO!A141="","",INVENTARIO!A141)</f>
        <v/>
      </c>
      <c r="B141">
        <f>IF(INVENTARIO!E141="","",INVENTARIO!E141)</f>
        <v/>
      </c>
      <c r="C141">
        <f>IF(INVENTARIO!F141="","",INVENTARIO!F141)</f>
        <v/>
      </c>
      <c r="D141">
        <f>IF(INVENTARIO!H141="","",INVENTARIO!H141)</f>
        <v/>
      </c>
      <c r="E141">
        <f>IF(INVENTARIO!I141="","",INVENTARIO!I141)</f>
        <v/>
      </c>
      <c r="F141">
        <f>IF(INVENTARIO!N141="","",INVENTARIO!N141)</f>
        <v/>
      </c>
      <c r="G141">
        <f>IF(INVENTARIO!P141="","",INVENTARIO!P141)</f>
        <v/>
      </c>
      <c r="H141">
        <f>IF(INVENTARIO!Q141="","",INVENTARIO!Q141)</f>
        <v/>
      </c>
      <c r="I141">
        <f>IF(INVENTARIO!R141="","",INVENTARIO!R141)</f>
        <v/>
      </c>
      <c r="J141">
        <f>IF(G141="PUBLICA(1)",1,IF(G141="USO INTERNO(2)",2,IF(G141="RESTRINGIDO(3)",3,0)))+IF(H141="BAJA(1)",1,IF(H141="MEDIA(2)",2,IF(H141="ALTA(3)",3,0)))+IF(I141="BAJA(1)",1,IF(I141="MEDIA(2)",2,IF(I141="ALTA(3)",3,0)))</f>
        <v/>
      </c>
      <c r="K141">
        <f>IF(J141="", "", IF(J141&gt;=8,"ALTA",IF(J141&gt;=6,"MEDIA","BAJA")))</f>
        <v/>
      </c>
      <c r="L141">
        <f>IF(INVENTARIO!Y141="","",INVENTARIO!Y141)</f>
        <v/>
      </c>
      <c r="M141">
        <f>IF(INVENTARIO!Z141="","",INVENTARIO!Z141)</f>
        <v/>
      </c>
      <c r="N141">
        <f>IF(INVENTARIO!AA141="","",INVENTARIO!AA141)</f>
        <v/>
      </c>
      <c r="O141">
        <f>IF(INVENTARIO!AB141="","",INVENTARIO!AB141)</f>
        <v/>
      </c>
      <c r="P141">
        <f>IF(INVENTARIO!AC141="","",INVENTARIO!AC141)</f>
        <v/>
      </c>
      <c r="Q141">
        <f>IF(AND(K141="",N141="",L141=""),"",IF(AND((K141="ALTA"),OR(LEFT(N141,2)="L0",LEFT(N141,2)="L1",L141="No Iniciado")),"CRÍTICO - Incumplimiento Normativo SEPS",IF(AND(OR(LEFT(N141,2)="L4",LEFT(N141,2)="L5"),AND(P141&lt;&gt;"",P141&lt;&gt;"N/A")),"CONFORME - Control Efectivo ISO 27001","OBSERVACIÓN - Revisar Controles")))</f>
        <v/>
      </c>
    </row>
    <row r="142">
      <c r="A142">
        <f>IF(INVENTARIO!A142="","",INVENTARIO!A142)</f>
        <v/>
      </c>
      <c r="B142">
        <f>IF(INVENTARIO!E142="","",INVENTARIO!E142)</f>
        <v/>
      </c>
      <c r="C142">
        <f>IF(INVENTARIO!F142="","",INVENTARIO!F142)</f>
        <v/>
      </c>
      <c r="D142">
        <f>IF(INVENTARIO!H142="","",INVENTARIO!H142)</f>
        <v/>
      </c>
      <c r="E142">
        <f>IF(INVENTARIO!I142="","",INVENTARIO!I142)</f>
        <v/>
      </c>
      <c r="F142">
        <f>IF(INVENTARIO!N142="","",INVENTARIO!N142)</f>
        <v/>
      </c>
      <c r="G142">
        <f>IF(INVENTARIO!P142="","",INVENTARIO!P142)</f>
        <v/>
      </c>
      <c r="H142">
        <f>IF(INVENTARIO!Q142="","",INVENTARIO!Q142)</f>
        <v/>
      </c>
      <c r="I142">
        <f>IF(INVENTARIO!R142="","",INVENTARIO!R142)</f>
        <v/>
      </c>
      <c r="J142">
        <f>IF(G142="PUBLICA(1)",1,IF(G142="USO INTERNO(2)",2,IF(G142="RESTRINGIDO(3)",3,0)))+IF(H142="BAJA(1)",1,IF(H142="MEDIA(2)",2,IF(H142="ALTA(3)",3,0)))+IF(I142="BAJA(1)",1,IF(I142="MEDIA(2)",2,IF(I142="ALTA(3)",3,0)))</f>
        <v/>
      </c>
      <c r="K142">
        <f>IF(J142="", "", IF(J142&gt;=8,"ALTA",IF(J142&gt;=6,"MEDIA","BAJA")))</f>
        <v/>
      </c>
      <c r="L142">
        <f>IF(INVENTARIO!Y142="","",INVENTARIO!Y142)</f>
        <v/>
      </c>
      <c r="M142">
        <f>IF(INVENTARIO!Z142="","",INVENTARIO!Z142)</f>
        <v/>
      </c>
      <c r="N142">
        <f>IF(INVENTARIO!AA142="","",INVENTARIO!AA142)</f>
        <v/>
      </c>
      <c r="O142">
        <f>IF(INVENTARIO!AB142="","",INVENTARIO!AB142)</f>
        <v/>
      </c>
      <c r="P142">
        <f>IF(INVENTARIO!AC142="","",INVENTARIO!AC142)</f>
        <v/>
      </c>
      <c r="Q142">
        <f>IF(AND(K142="",N142="",L142=""),"",IF(AND((K142="ALTA"),OR(LEFT(N142,2)="L0",LEFT(N142,2)="L1",L142="No Iniciado")),"CRÍTICO - Incumplimiento Normativo SEPS",IF(AND(OR(LEFT(N142,2)="L4",LEFT(N142,2)="L5"),AND(P142&lt;&gt;"",P142&lt;&gt;"N/A")),"CONFORME - Control Efectivo ISO 27001","OBSERVACIÓN - Revisar Controles")))</f>
        <v/>
      </c>
    </row>
    <row r="143">
      <c r="A143">
        <f>IF(INVENTARIO!A143="","",INVENTARIO!A143)</f>
        <v/>
      </c>
      <c r="B143">
        <f>IF(INVENTARIO!E143="","",INVENTARIO!E143)</f>
        <v/>
      </c>
      <c r="C143">
        <f>IF(INVENTARIO!F143="","",INVENTARIO!F143)</f>
        <v/>
      </c>
      <c r="D143">
        <f>IF(INVENTARIO!H143="","",INVENTARIO!H143)</f>
        <v/>
      </c>
      <c r="E143">
        <f>IF(INVENTARIO!I143="","",INVENTARIO!I143)</f>
        <v/>
      </c>
      <c r="F143">
        <f>IF(INVENTARIO!N143="","",INVENTARIO!N143)</f>
        <v/>
      </c>
      <c r="G143">
        <f>IF(INVENTARIO!P143="","",INVENTARIO!P143)</f>
        <v/>
      </c>
      <c r="H143">
        <f>IF(INVENTARIO!Q143="","",INVENTARIO!Q143)</f>
        <v/>
      </c>
      <c r="I143">
        <f>IF(INVENTARIO!R143="","",INVENTARIO!R143)</f>
        <v/>
      </c>
      <c r="J143">
        <f>IF(G143="PUBLICA(1)",1,IF(G143="USO INTERNO(2)",2,IF(G143="RESTRINGIDO(3)",3,0)))+IF(H143="BAJA(1)",1,IF(H143="MEDIA(2)",2,IF(H143="ALTA(3)",3,0)))+IF(I143="BAJA(1)",1,IF(I143="MEDIA(2)",2,IF(I143="ALTA(3)",3,0)))</f>
        <v/>
      </c>
      <c r="K143">
        <f>IF(J143="", "", IF(J143&gt;=8,"ALTA",IF(J143&gt;=6,"MEDIA","BAJA")))</f>
        <v/>
      </c>
      <c r="L143">
        <f>IF(INVENTARIO!Y143="","",INVENTARIO!Y143)</f>
        <v/>
      </c>
      <c r="M143">
        <f>IF(INVENTARIO!Z143="","",INVENTARIO!Z143)</f>
        <v/>
      </c>
      <c r="N143">
        <f>IF(INVENTARIO!AA143="","",INVENTARIO!AA143)</f>
        <v/>
      </c>
      <c r="O143">
        <f>IF(INVENTARIO!AB143="","",INVENTARIO!AB143)</f>
        <v/>
      </c>
      <c r="P143">
        <f>IF(INVENTARIO!AC143="","",INVENTARIO!AC143)</f>
        <v/>
      </c>
      <c r="Q143">
        <f>IF(AND(K143="",N143="",L143=""),"",IF(AND((K143="ALTA"),OR(LEFT(N143,2)="L0",LEFT(N143,2)="L1",L143="No Iniciado")),"CRÍTICO - Incumplimiento Normativo SEPS",IF(AND(OR(LEFT(N143,2)="L4",LEFT(N143,2)="L5"),AND(P143&lt;&gt;"",P143&lt;&gt;"N/A")),"CONFORME - Control Efectivo ISO 27001","OBSERVACIÓN - Revisar Controles")))</f>
        <v/>
      </c>
    </row>
    <row r="144">
      <c r="A144">
        <f>IF(INVENTARIO!A144="","",INVENTARIO!A144)</f>
        <v/>
      </c>
      <c r="B144">
        <f>IF(INVENTARIO!E144="","",INVENTARIO!E144)</f>
        <v/>
      </c>
      <c r="C144">
        <f>IF(INVENTARIO!F144="","",INVENTARIO!F144)</f>
        <v/>
      </c>
      <c r="D144">
        <f>IF(INVENTARIO!H144="","",INVENTARIO!H144)</f>
        <v/>
      </c>
      <c r="E144">
        <f>IF(INVENTARIO!I144="","",INVENTARIO!I144)</f>
        <v/>
      </c>
      <c r="F144">
        <f>IF(INVENTARIO!N144="","",INVENTARIO!N144)</f>
        <v/>
      </c>
      <c r="G144">
        <f>IF(INVENTARIO!P144="","",INVENTARIO!P144)</f>
        <v/>
      </c>
      <c r="H144">
        <f>IF(INVENTARIO!Q144="","",INVENTARIO!Q144)</f>
        <v/>
      </c>
      <c r="I144">
        <f>IF(INVENTARIO!R144="","",INVENTARIO!R144)</f>
        <v/>
      </c>
      <c r="J144">
        <f>IF(G144="PUBLICA(1)",1,IF(G144="USO INTERNO(2)",2,IF(G144="RESTRINGIDO(3)",3,0)))+IF(H144="BAJA(1)",1,IF(H144="MEDIA(2)",2,IF(H144="ALTA(3)",3,0)))+IF(I144="BAJA(1)",1,IF(I144="MEDIA(2)",2,IF(I144="ALTA(3)",3,0)))</f>
        <v/>
      </c>
      <c r="K144">
        <f>IF(J144="", "", IF(J144&gt;=8,"ALTA",IF(J144&gt;=6,"MEDIA","BAJA")))</f>
        <v/>
      </c>
      <c r="L144">
        <f>IF(INVENTARIO!Y144="","",INVENTARIO!Y144)</f>
        <v/>
      </c>
      <c r="M144">
        <f>IF(INVENTARIO!Z144="","",INVENTARIO!Z144)</f>
        <v/>
      </c>
      <c r="N144">
        <f>IF(INVENTARIO!AA144="","",INVENTARIO!AA144)</f>
        <v/>
      </c>
      <c r="O144">
        <f>IF(INVENTARIO!AB144="","",INVENTARIO!AB144)</f>
        <v/>
      </c>
      <c r="P144">
        <f>IF(INVENTARIO!AC144="","",INVENTARIO!AC144)</f>
        <v/>
      </c>
      <c r="Q144">
        <f>IF(AND(K144="",N144="",L144=""),"",IF(AND((K144="ALTA"),OR(LEFT(N144,2)="L0",LEFT(N144,2)="L1",L144="No Iniciado")),"CRÍTICO - Incumplimiento Normativo SEPS",IF(AND(OR(LEFT(N144,2)="L4",LEFT(N144,2)="L5"),AND(P144&lt;&gt;"",P144&lt;&gt;"N/A")),"CONFORME - Control Efectivo ISO 27001","OBSERVACIÓN - Revisar Controles")))</f>
        <v/>
      </c>
    </row>
    <row r="145">
      <c r="A145">
        <f>IF(INVENTARIO!A145="","",INVENTARIO!A145)</f>
        <v/>
      </c>
      <c r="B145">
        <f>IF(INVENTARIO!E145="","",INVENTARIO!E145)</f>
        <v/>
      </c>
      <c r="C145">
        <f>IF(INVENTARIO!F145="","",INVENTARIO!F145)</f>
        <v/>
      </c>
      <c r="D145">
        <f>IF(INVENTARIO!H145="","",INVENTARIO!H145)</f>
        <v/>
      </c>
      <c r="E145">
        <f>IF(INVENTARIO!I145="","",INVENTARIO!I145)</f>
        <v/>
      </c>
      <c r="F145">
        <f>IF(INVENTARIO!N145="","",INVENTARIO!N145)</f>
        <v/>
      </c>
      <c r="G145">
        <f>IF(INVENTARIO!P145="","",INVENTARIO!P145)</f>
        <v/>
      </c>
      <c r="H145">
        <f>IF(INVENTARIO!Q145="","",INVENTARIO!Q145)</f>
        <v/>
      </c>
      <c r="I145">
        <f>IF(INVENTARIO!R145="","",INVENTARIO!R145)</f>
        <v/>
      </c>
      <c r="J145">
        <f>IF(G145="PUBLICA(1)",1,IF(G145="USO INTERNO(2)",2,IF(G145="RESTRINGIDO(3)",3,0)))+IF(H145="BAJA(1)",1,IF(H145="MEDIA(2)",2,IF(H145="ALTA(3)",3,0)))+IF(I145="BAJA(1)",1,IF(I145="MEDIA(2)",2,IF(I145="ALTA(3)",3,0)))</f>
        <v/>
      </c>
      <c r="K145">
        <f>IF(J145="", "", IF(J145&gt;=8,"ALTA",IF(J145&gt;=6,"MEDIA","BAJA")))</f>
        <v/>
      </c>
      <c r="L145">
        <f>IF(INVENTARIO!Y145="","",INVENTARIO!Y145)</f>
        <v/>
      </c>
      <c r="M145">
        <f>IF(INVENTARIO!Z145="","",INVENTARIO!Z145)</f>
        <v/>
      </c>
      <c r="N145">
        <f>IF(INVENTARIO!AA145="","",INVENTARIO!AA145)</f>
        <v/>
      </c>
      <c r="O145">
        <f>IF(INVENTARIO!AB145="","",INVENTARIO!AB145)</f>
        <v/>
      </c>
      <c r="P145">
        <f>IF(INVENTARIO!AC145="","",INVENTARIO!AC145)</f>
        <v/>
      </c>
      <c r="Q145">
        <f>IF(AND(K145="",N145="",L145=""),"",IF(AND((K145="ALTA"),OR(LEFT(N145,2)="L0",LEFT(N145,2)="L1",L145="No Iniciado")),"CRÍTICO - Incumplimiento Normativo SEPS",IF(AND(OR(LEFT(N145,2)="L4",LEFT(N145,2)="L5"),AND(P145&lt;&gt;"",P145&lt;&gt;"N/A")),"CONFORME - Control Efectivo ISO 27001","OBSERVACIÓN - Revisar Controles")))</f>
        <v/>
      </c>
    </row>
    <row r="146">
      <c r="A146">
        <f>IF(INVENTARIO!A146="","",INVENTARIO!A146)</f>
        <v/>
      </c>
      <c r="B146">
        <f>IF(INVENTARIO!E146="","",INVENTARIO!E146)</f>
        <v/>
      </c>
      <c r="C146">
        <f>IF(INVENTARIO!F146="","",INVENTARIO!F146)</f>
        <v/>
      </c>
      <c r="D146">
        <f>IF(INVENTARIO!H146="","",INVENTARIO!H146)</f>
        <v/>
      </c>
      <c r="E146">
        <f>IF(INVENTARIO!I146="","",INVENTARIO!I146)</f>
        <v/>
      </c>
      <c r="F146">
        <f>IF(INVENTARIO!N146="","",INVENTARIO!N146)</f>
        <v/>
      </c>
      <c r="G146">
        <f>IF(INVENTARIO!P146="","",INVENTARIO!P146)</f>
        <v/>
      </c>
      <c r="H146">
        <f>IF(INVENTARIO!Q146="","",INVENTARIO!Q146)</f>
        <v/>
      </c>
      <c r="I146">
        <f>IF(INVENTARIO!R146="","",INVENTARIO!R146)</f>
        <v/>
      </c>
      <c r="J146">
        <f>IF(G146="PUBLICA(1)",1,IF(G146="USO INTERNO(2)",2,IF(G146="RESTRINGIDO(3)",3,0)))+IF(H146="BAJA(1)",1,IF(H146="MEDIA(2)",2,IF(H146="ALTA(3)",3,0)))+IF(I146="BAJA(1)",1,IF(I146="MEDIA(2)",2,IF(I146="ALTA(3)",3,0)))</f>
        <v/>
      </c>
      <c r="K146">
        <f>IF(J146="", "", IF(J146&gt;=8,"ALTA",IF(J146&gt;=6,"MEDIA","BAJA")))</f>
        <v/>
      </c>
      <c r="L146">
        <f>IF(INVENTARIO!Y146="","",INVENTARIO!Y146)</f>
        <v/>
      </c>
      <c r="M146">
        <f>IF(INVENTARIO!Z146="","",INVENTARIO!Z146)</f>
        <v/>
      </c>
      <c r="N146">
        <f>IF(INVENTARIO!AA146="","",INVENTARIO!AA146)</f>
        <v/>
      </c>
      <c r="O146">
        <f>IF(INVENTARIO!AB146="","",INVENTARIO!AB146)</f>
        <v/>
      </c>
      <c r="P146">
        <f>IF(INVENTARIO!AC146="","",INVENTARIO!AC146)</f>
        <v/>
      </c>
      <c r="Q146">
        <f>IF(AND(K146="",N146="",L146=""),"",IF(AND((K146="ALTA"),OR(LEFT(N146,2)="L0",LEFT(N146,2)="L1",L146="No Iniciado")),"CRÍTICO - Incumplimiento Normativo SEPS",IF(AND(OR(LEFT(N146,2)="L4",LEFT(N146,2)="L5"),AND(P146&lt;&gt;"",P146&lt;&gt;"N/A")),"CONFORME - Control Efectivo ISO 27001","OBSERVACIÓN - Revisar Controles")))</f>
        <v/>
      </c>
    </row>
    <row r="147">
      <c r="A147">
        <f>IF(INVENTARIO!A147="","",INVENTARIO!A147)</f>
        <v/>
      </c>
      <c r="B147">
        <f>IF(INVENTARIO!E147="","",INVENTARIO!E147)</f>
        <v/>
      </c>
      <c r="C147">
        <f>IF(INVENTARIO!F147="","",INVENTARIO!F147)</f>
        <v/>
      </c>
      <c r="D147">
        <f>IF(INVENTARIO!H147="","",INVENTARIO!H147)</f>
        <v/>
      </c>
      <c r="E147">
        <f>IF(INVENTARIO!I147="","",INVENTARIO!I147)</f>
        <v/>
      </c>
      <c r="F147">
        <f>IF(INVENTARIO!N147="","",INVENTARIO!N147)</f>
        <v/>
      </c>
      <c r="G147">
        <f>IF(INVENTARIO!P147="","",INVENTARIO!P147)</f>
        <v/>
      </c>
      <c r="H147">
        <f>IF(INVENTARIO!Q147="","",INVENTARIO!Q147)</f>
        <v/>
      </c>
      <c r="I147">
        <f>IF(INVENTARIO!R147="","",INVENTARIO!R147)</f>
        <v/>
      </c>
      <c r="J147">
        <f>IF(G147="PUBLICA(1)",1,IF(G147="USO INTERNO(2)",2,IF(G147="RESTRINGIDO(3)",3,0)))+IF(H147="BAJA(1)",1,IF(H147="MEDIA(2)",2,IF(H147="ALTA(3)",3,0)))+IF(I147="BAJA(1)",1,IF(I147="MEDIA(2)",2,IF(I147="ALTA(3)",3,0)))</f>
        <v/>
      </c>
      <c r="K147">
        <f>IF(J147="", "", IF(J147&gt;=8,"ALTA",IF(J147&gt;=6,"MEDIA","BAJA")))</f>
        <v/>
      </c>
      <c r="L147">
        <f>IF(INVENTARIO!Y147="","",INVENTARIO!Y147)</f>
        <v/>
      </c>
      <c r="M147">
        <f>IF(INVENTARIO!Z147="","",INVENTARIO!Z147)</f>
        <v/>
      </c>
      <c r="N147">
        <f>IF(INVENTARIO!AA147="","",INVENTARIO!AA147)</f>
        <v/>
      </c>
      <c r="O147">
        <f>IF(INVENTARIO!AB147="","",INVENTARIO!AB147)</f>
        <v/>
      </c>
      <c r="P147">
        <f>IF(INVENTARIO!AC147="","",INVENTARIO!AC147)</f>
        <v/>
      </c>
      <c r="Q147">
        <f>IF(AND(K147="",N147="",L147=""),"",IF(AND((K147="ALTA"),OR(LEFT(N147,2)="L0",LEFT(N147,2)="L1",L147="No Iniciado")),"CRÍTICO - Incumplimiento Normativo SEPS",IF(AND(OR(LEFT(N147,2)="L4",LEFT(N147,2)="L5"),AND(P147&lt;&gt;"",P147&lt;&gt;"N/A")),"CONFORME - Control Efectivo ISO 27001","OBSERVACIÓN - Revisar Controles")))</f>
        <v/>
      </c>
    </row>
    <row r="148">
      <c r="A148">
        <f>IF(INVENTARIO!A148="","",INVENTARIO!A148)</f>
        <v/>
      </c>
      <c r="B148">
        <f>IF(INVENTARIO!E148="","",INVENTARIO!E148)</f>
        <v/>
      </c>
      <c r="C148">
        <f>IF(INVENTARIO!F148="","",INVENTARIO!F148)</f>
        <v/>
      </c>
      <c r="D148">
        <f>IF(INVENTARIO!H148="","",INVENTARIO!H148)</f>
        <v/>
      </c>
      <c r="E148">
        <f>IF(INVENTARIO!I148="","",INVENTARIO!I148)</f>
        <v/>
      </c>
      <c r="F148">
        <f>IF(INVENTARIO!N148="","",INVENTARIO!N148)</f>
        <v/>
      </c>
      <c r="G148">
        <f>IF(INVENTARIO!P148="","",INVENTARIO!P148)</f>
        <v/>
      </c>
      <c r="H148">
        <f>IF(INVENTARIO!Q148="","",INVENTARIO!Q148)</f>
        <v/>
      </c>
      <c r="I148">
        <f>IF(INVENTARIO!R148="","",INVENTARIO!R148)</f>
        <v/>
      </c>
      <c r="J148">
        <f>IF(G148="PUBLICA(1)",1,IF(G148="USO INTERNO(2)",2,IF(G148="RESTRINGIDO(3)",3,0)))+IF(H148="BAJA(1)",1,IF(H148="MEDIA(2)",2,IF(H148="ALTA(3)",3,0)))+IF(I148="BAJA(1)",1,IF(I148="MEDIA(2)",2,IF(I148="ALTA(3)",3,0)))</f>
        <v/>
      </c>
      <c r="K148">
        <f>IF(J148="", "", IF(J148&gt;=8,"ALTA",IF(J148&gt;=6,"MEDIA","BAJA")))</f>
        <v/>
      </c>
      <c r="L148">
        <f>IF(INVENTARIO!Y148="","",INVENTARIO!Y148)</f>
        <v/>
      </c>
      <c r="M148">
        <f>IF(INVENTARIO!Z148="","",INVENTARIO!Z148)</f>
        <v/>
      </c>
      <c r="N148">
        <f>IF(INVENTARIO!AA148="","",INVENTARIO!AA148)</f>
        <v/>
      </c>
      <c r="O148">
        <f>IF(INVENTARIO!AB148="","",INVENTARIO!AB148)</f>
        <v/>
      </c>
      <c r="P148">
        <f>IF(INVENTARIO!AC148="","",INVENTARIO!AC148)</f>
        <v/>
      </c>
      <c r="Q148">
        <f>IF(AND(K148="",N148="",L148=""),"",IF(AND((K148="ALTA"),OR(LEFT(N148,2)="L0",LEFT(N148,2)="L1",L148="No Iniciado")),"CRÍTICO - Incumplimiento Normativo SEPS",IF(AND(OR(LEFT(N148,2)="L4",LEFT(N148,2)="L5"),AND(P148&lt;&gt;"",P148&lt;&gt;"N/A")),"CONFORME - Control Efectivo ISO 27001","OBSERVACIÓN - Revisar Controles")))</f>
        <v/>
      </c>
    </row>
    <row r="149">
      <c r="A149">
        <f>IF(INVENTARIO!A149="","",INVENTARIO!A149)</f>
        <v/>
      </c>
      <c r="B149">
        <f>IF(INVENTARIO!E149="","",INVENTARIO!E149)</f>
        <v/>
      </c>
      <c r="C149">
        <f>IF(INVENTARIO!F149="","",INVENTARIO!F149)</f>
        <v/>
      </c>
      <c r="D149">
        <f>IF(INVENTARIO!H149="","",INVENTARIO!H149)</f>
        <v/>
      </c>
      <c r="E149">
        <f>IF(INVENTARIO!I149="","",INVENTARIO!I149)</f>
        <v/>
      </c>
      <c r="F149">
        <f>IF(INVENTARIO!N149="","",INVENTARIO!N149)</f>
        <v/>
      </c>
      <c r="G149">
        <f>IF(INVENTARIO!P149="","",INVENTARIO!P149)</f>
        <v/>
      </c>
      <c r="H149">
        <f>IF(INVENTARIO!Q149="","",INVENTARIO!Q149)</f>
        <v/>
      </c>
      <c r="I149">
        <f>IF(INVENTARIO!R149="","",INVENTARIO!R149)</f>
        <v/>
      </c>
      <c r="J149">
        <f>IF(G149="PUBLICA(1)",1,IF(G149="USO INTERNO(2)",2,IF(G149="RESTRINGIDO(3)",3,0)))+IF(H149="BAJA(1)",1,IF(H149="MEDIA(2)",2,IF(H149="ALTA(3)",3,0)))+IF(I149="BAJA(1)",1,IF(I149="MEDIA(2)",2,IF(I149="ALTA(3)",3,0)))</f>
        <v/>
      </c>
      <c r="K149">
        <f>IF(J149="", "", IF(J149&gt;=8,"ALTA",IF(J149&gt;=6,"MEDIA","BAJA")))</f>
        <v/>
      </c>
      <c r="L149">
        <f>IF(INVENTARIO!Y149="","",INVENTARIO!Y149)</f>
        <v/>
      </c>
      <c r="M149">
        <f>IF(INVENTARIO!Z149="","",INVENTARIO!Z149)</f>
        <v/>
      </c>
      <c r="N149">
        <f>IF(INVENTARIO!AA149="","",INVENTARIO!AA149)</f>
        <v/>
      </c>
      <c r="O149">
        <f>IF(INVENTARIO!AB149="","",INVENTARIO!AB149)</f>
        <v/>
      </c>
      <c r="P149">
        <f>IF(INVENTARIO!AC149="","",INVENTARIO!AC149)</f>
        <v/>
      </c>
      <c r="Q149">
        <f>IF(AND(K149="",N149="",L149=""),"",IF(AND((K149="ALTA"),OR(LEFT(N149,2)="L0",LEFT(N149,2)="L1",L149="No Iniciado")),"CRÍTICO - Incumplimiento Normativo SEPS",IF(AND(OR(LEFT(N149,2)="L4",LEFT(N149,2)="L5"),AND(P149&lt;&gt;"",P149&lt;&gt;"N/A")),"CONFORME - Control Efectivo ISO 27001","OBSERVACIÓN - Revisar Controles")))</f>
        <v/>
      </c>
    </row>
    <row r="150">
      <c r="A150">
        <f>IF(INVENTARIO!A150="","",INVENTARIO!A150)</f>
        <v/>
      </c>
      <c r="B150">
        <f>IF(INVENTARIO!E150="","",INVENTARIO!E150)</f>
        <v/>
      </c>
      <c r="C150">
        <f>IF(INVENTARIO!F150="","",INVENTARIO!F150)</f>
        <v/>
      </c>
      <c r="D150">
        <f>IF(INVENTARIO!H150="","",INVENTARIO!H150)</f>
        <v/>
      </c>
      <c r="E150">
        <f>IF(INVENTARIO!I150="","",INVENTARIO!I150)</f>
        <v/>
      </c>
      <c r="F150">
        <f>IF(INVENTARIO!N150="","",INVENTARIO!N150)</f>
        <v/>
      </c>
      <c r="G150">
        <f>IF(INVENTARIO!P150="","",INVENTARIO!P150)</f>
        <v/>
      </c>
      <c r="H150">
        <f>IF(INVENTARIO!Q150="","",INVENTARIO!Q150)</f>
        <v/>
      </c>
      <c r="I150">
        <f>IF(INVENTARIO!R150="","",INVENTARIO!R150)</f>
        <v/>
      </c>
      <c r="J150">
        <f>IF(G150="PUBLICA(1)",1,IF(G150="USO INTERNO(2)",2,IF(G150="RESTRINGIDO(3)",3,0)))+IF(H150="BAJA(1)",1,IF(H150="MEDIA(2)",2,IF(H150="ALTA(3)",3,0)))+IF(I150="BAJA(1)",1,IF(I150="MEDIA(2)",2,IF(I150="ALTA(3)",3,0)))</f>
        <v/>
      </c>
      <c r="K150">
        <f>IF(J150="", "", IF(J150&gt;=8,"ALTA",IF(J150&gt;=6,"MEDIA","BAJA")))</f>
        <v/>
      </c>
      <c r="L150">
        <f>IF(INVENTARIO!Y150="","",INVENTARIO!Y150)</f>
        <v/>
      </c>
      <c r="M150">
        <f>IF(INVENTARIO!Z150="","",INVENTARIO!Z150)</f>
        <v/>
      </c>
      <c r="N150">
        <f>IF(INVENTARIO!AA150="","",INVENTARIO!AA150)</f>
        <v/>
      </c>
      <c r="O150">
        <f>IF(INVENTARIO!AB150="","",INVENTARIO!AB150)</f>
        <v/>
      </c>
      <c r="P150">
        <f>IF(INVENTARIO!AC150="","",INVENTARIO!AC150)</f>
        <v/>
      </c>
      <c r="Q150">
        <f>IF(AND(K150="",N150="",L150=""),"",IF(AND((K150="ALTA"),OR(LEFT(N150,2)="L0",LEFT(N150,2)="L1",L150="No Iniciado")),"CRÍTICO - Incumplimiento Normativo SEPS",IF(AND(OR(LEFT(N150,2)="L4",LEFT(N150,2)="L5"),AND(P150&lt;&gt;"",P150&lt;&gt;"N/A")),"CONFORME - Control Efectivo ISO 27001","OBSERVACIÓN - Revisar Controles")))</f>
        <v/>
      </c>
    </row>
    <row r="151">
      <c r="A151">
        <f>IF(INVENTARIO!A151="","",INVENTARIO!A151)</f>
        <v/>
      </c>
      <c r="B151">
        <f>IF(INVENTARIO!E151="","",INVENTARIO!E151)</f>
        <v/>
      </c>
      <c r="C151">
        <f>IF(INVENTARIO!F151="","",INVENTARIO!F151)</f>
        <v/>
      </c>
      <c r="D151">
        <f>IF(INVENTARIO!H151="","",INVENTARIO!H151)</f>
        <v/>
      </c>
      <c r="E151">
        <f>IF(INVENTARIO!I151="","",INVENTARIO!I151)</f>
        <v/>
      </c>
      <c r="F151">
        <f>IF(INVENTARIO!N151="","",INVENTARIO!N151)</f>
        <v/>
      </c>
      <c r="G151">
        <f>IF(INVENTARIO!P151="","",INVENTARIO!P151)</f>
        <v/>
      </c>
      <c r="H151">
        <f>IF(INVENTARIO!Q151="","",INVENTARIO!Q151)</f>
        <v/>
      </c>
      <c r="I151">
        <f>IF(INVENTARIO!R151="","",INVENTARIO!R151)</f>
        <v/>
      </c>
      <c r="J151">
        <f>IF(G151="PUBLICA(1)",1,IF(G151="USO INTERNO(2)",2,IF(G151="RESTRINGIDO(3)",3,0)))+IF(H151="BAJA(1)",1,IF(H151="MEDIA(2)",2,IF(H151="ALTA(3)",3,0)))+IF(I151="BAJA(1)",1,IF(I151="MEDIA(2)",2,IF(I151="ALTA(3)",3,0)))</f>
        <v/>
      </c>
      <c r="K151">
        <f>IF(J151="", "", IF(J151&gt;=8,"ALTA",IF(J151&gt;=6,"MEDIA","BAJA")))</f>
        <v/>
      </c>
      <c r="L151">
        <f>IF(INVENTARIO!Y151="","",INVENTARIO!Y151)</f>
        <v/>
      </c>
      <c r="M151">
        <f>IF(INVENTARIO!Z151="","",INVENTARIO!Z151)</f>
        <v/>
      </c>
      <c r="N151">
        <f>IF(INVENTARIO!AA151="","",INVENTARIO!AA151)</f>
        <v/>
      </c>
      <c r="O151">
        <f>IF(INVENTARIO!AB151="","",INVENTARIO!AB151)</f>
        <v/>
      </c>
      <c r="P151">
        <f>IF(INVENTARIO!AC151="","",INVENTARIO!AC151)</f>
        <v/>
      </c>
      <c r="Q151">
        <f>IF(AND(K151="",N151="",L151=""),"",IF(AND((K151="ALTA"),OR(LEFT(N151,2)="L0",LEFT(N151,2)="L1",L151="No Iniciado")),"CRÍTICO - Incumplimiento Normativo SEPS",IF(AND(OR(LEFT(N151,2)="L4",LEFT(N151,2)="L5"),AND(P151&lt;&gt;"",P151&lt;&gt;"N/A")),"CONFORME - Control Efectivo ISO 27001","OBSERVACIÓN - Revisar Controles")))</f>
        <v/>
      </c>
    </row>
    <row r="152">
      <c r="A152">
        <f>IF(INVENTARIO!A152="","",INVENTARIO!A152)</f>
        <v/>
      </c>
      <c r="B152">
        <f>IF(INVENTARIO!E152="","",INVENTARIO!E152)</f>
        <v/>
      </c>
      <c r="C152">
        <f>IF(INVENTARIO!F152="","",INVENTARIO!F152)</f>
        <v/>
      </c>
      <c r="D152">
        <f>IF(INVENTARIO!H152="","",INVENTARIO!H152)</f>
        <v/>
      </c>
      <c r="E152">
        <f>IF(INVENTARIO!I152="","",INVENTARIO!I152)</f>
        <v/>
      </c>
      <c r="F152">
        <f>IF(INVENTARIO!N152="","",INVENTARIO!N152)</f>
        <v/>
      </c>
      <c r="G152">
        <f>IF(INVENTARIO!P152="","",INVENTARIO!P152)</f>
        <v/>
      </c>
      <c r="H152">
        <f>IF(INVENTARIO!Q152="","",INVENTARIO!Q152)</f>
        <v/>
      </c>
      <c r="I152">
        <f>IF(INVENTARIO!R152="","",INVENTARIO!R152)</f>
        <v/>
      </c>
      <c r="J152">
        <f>IF(G152="PUBLICA(1)",1,IF(G152="USO INTERNO(2)",2,IF(G152="RESTRINGIDO(3)",3,0)))+IF(H152="BAJA(1)",1,IF(H152="MEDIA(2)",2,IF(H152="ALTA(3)",3,0)))+IF(I152="BAJA(1)",1,IF(I152="MEDIA(2)",2,IF(I152="ALTA(3)",3,0)))</f>
        <v/>
      </c>
      <c r="K152">
        <f>IF(J152="", "", IF(J152&gt;=8,"ALTA",IF(J152&gt;=6,"MEDIA","BAJA")))</f>
        <v/>
      </c>
      <c r="L152">
        <f>IF(INVENTARIO!Y152="","",INVENTARIO!Y152)</f>
        <v/>
      </c>
      <c r="M152">
        <f>IF(INVENTARIO!Z152="","",INVENTARIO!Z152)</f>
        <v/>
      </c>
      <c r="N152">
        <f>IF(INVENTARIO!AA152="","",INVENTARIO!AA152)</f>
        <v/>
      </c>
      <c r="O152">
        <f>IF(INVENTARIO!AB152="","",INVENTARIO!AB152)</f>
        <v/>
      </c>
      <c r="P152">
        <f>IF(INVENTARIO!AC152="","",INVENTARIO!AC152)</f>
        <v/>
      </c>
      <c r="Q152">
        <f>IF(AND(K152="",N152="",L152=""),"",IF(AND((K152="ALTA"),OR(LEFT(N152,2)="L0",LEFT(N152,2)="L1",L152="No Iniciado")),"CRÍTICO - Incumplimiento Normativo SEPS",IF(AND(OR(LEFT(N152,2)="L4",LEFT(N152,2)="L5"),AND(P152&lt;&gt;"",P152&lt;&gt;"N/A")),"CONFORME - Control Efectivo ISO 27001","OBSERVACIÓN - Revisar Controles")))</f>
        <v/>
      </c>
    </row>
    <row r="153">
      <c r="A153">
        <f>IF(INVENTARIO!A153="","",INVENTARIO!A153)</f>
        <v/>
      </c>
      <c r="B153">
        <f>IF(INVENTARIO!E153="","",INVENTARIO!E153)</f>
        <v/>
      </c>
      <c r="C153">
        <f>IF(INVENTARIO!F153="","",INVENTARIO!F153)</f>
        <v/>
      </c>
      <c r="D153">
        <f>IF(INVENTARIO!H153="","",INVENTARIO!H153)</f>
        <v/>
      </c>
      <c r="E153">
        <f>IF(INVENTARIO!I153="","",INVENTARIO!I153)</f>
        <v/>
      </c>
      <c r="F153">
        <f>IF(INVENTARIO!N153="","",INVENTARIO!N153)</f>
        <v/>
      </c>
      <c r="G153">
        <f>IF(INVENTARIO!P153="","",INVENTARIO!P153)</f>
        <v/>
      </c>
      <c r="H153">
        <f>IF(INVENTARIO!Q153="","",INVENTARIO!Q153)</f>
        <v/>
      </c>
      <c r="I153">
        <f>IF(INVENTARIO!R153="","",INVENTARIO!R153)</f>
        <v/>
      </c>
      <c r="J153">
        <f>IF(G153="PUBLICA(1)",1,IF(G153="USO INTERNO(2)",2,IF(G153="RESTRINGIDO(3)",3,0)))+IF(H153="BAJA(1)",1,IF(H153="MEDIA(2)",2,IF(H153="ALTA(3)",3,0)))+IF(I153="BAJA(1)",1,IF(I153="MEDIA(2)",2,IF(I153="ALTA(3)",3,0)))</f>
        <v/>
      </c>
      <c r="K153">
        <f>IF(J153="", "", IF(J153&gt;=8,"ALTA",IF(J153&gt;=6,"MEDIA","BAJA")))</f>
        <v/>
      </c>
      <c r="L153">
        <f>IF(INVENTARIO!Y153="","",INVENTARIO!Y153)</f>
        <v/>
      </c>
      <c r="M153">
        <f>IF(INVENTARIO!Z153="","",INVENTARIO!Z153)</f>
        <v/>
      </c>
      <c r="N153">
        <f>IF(INVENTARIO!AA153="","",INVENTARIO!AA153)</f>
        <v/>
      </c>
      <c r="O153">
        <f>IF(INVENTARIO!AB153="","",INVENTARIO!AB153)</f>
        <v/>
      </c>
      <c r="P153">
        <f>IF(INVENTARIO!AC153="","",INVENTARIO!AC153)</f>
        <v/>
      </c>
      <c r="Q153">
        <f>IF(AND(K153="",N153="",L153=""),"",IF(AND((K153="ALTA"),OR(LEFT(N153,2)="L0",LEFT(N153,2)="L1",L153="No Iniciado")),"CRÍTICO - Incumplimiento Normativo SEPS",IF(AND(OR(LEFT(N153,2)="L4",LEFT(N153,2)="L5"),AND(P153&lt;&gt;"",P153&lt;&gt;"N/A")),"CONFORME - Control Efectivo ISO 27001","OBSERVACIÓN - Revisar Controles")))</f>
        <v/>
      </c>
    </row>
    <row r="154">
      <c r="A154">
        <f>IF(INVENTARIO!A154="","",INVENTARIO!A154)</f>
        <v/>
      </c>
      <c r="B154">
        <f>IF(INVENTARIO!E154="","",INVENTARIO!E154)</f>
        <v/>
      </c>
      <c r="C154">
        <f>IF(INVENTARIO!F154="","",INVENTARIO!F154)</f>
        <v/>
      </c>
      <c r="D154">
        <f>IF(INVENTARIO!H154="","",INVENTARIO!H154)</f>
        <v/>
      </c>
      <c r="E154">
        <f>IF(INVENTARIO!I154="","",INVENTARIO!I154)</f>
        <v/>
      </c>
      <c r="F154">
        <f>IF(INVENTARIO!N154="","",INVENTARIO!N154)</f>
        <v/>
      </c>
      <c r="G154">
        <f>IF(INVENTARIO!P154="","",INVENTARIO!P154)</f>
        <v/>
      </c>
      <c r="H154">
        <f>IF(INVENTARIO!Q154="","",INVENTARIO!Q154)</f>
        <v/>
      </c>
      <c r="I154">
        <f>IF(INVENTARIO!R154="","",INVENTARIO!R154)</f>
        <v/>
      </c>
      <c r="J154">
        <f>IF(G154="PUBLICA(1)",1,IF(G154="USO INTERNO(2)",2,IF(G154="RESTRINGIDO(3)",3,0)))+IF(H154="BAJA(1)",1,IF(H154="MEDIA(2)",2,IF(H154="ALTA(3)",3,0)))+IF(I154="BAJA(1)",1,IF(I154="MEDIA(2)",2,IF(I154="ALTA(3)",3,0)))</f>
        <v/>
      </c>
      <c r="K154">
        <f>IF(J154="", "", IF(J154&gt;=8,"ALTA",IF(J154&gt;=6,"MEDIA","BAJA")))</f>
        <v/>
      </c>
      <c r="L154">
        <f>IF(INVENTARIO!Y154="","",INVENTARIO!Y154)</f>
        <v/>
      </c>
      <c r="M154">
        <f>IF(INVENTARIO!Z154="","",INVENTARIO!Z154)</f>
        <v/>
      </c>
      <c r="N154">
        <f>IF(INVENTARIO!AA154="","",INVENTARIO!AA154)</f>
        <v/>
      </c>
      <c r="O154">
        <f>IF(INVENTARIO!AB154="","",INVENTARIO!AB154)</f>
        <v/>
      </c>
      <c r="P154">
        <f>IF(INVENTARIO!AC154="","",INVENTARIO!AC154)</f>
        <v/>
      </c>
      <c r="Q154">
        <f>IF(AND(K154="",N154="",L154=""),"",IF(AND((K154="ALTA"),OR(LEFT(N154,2)="L0",LEFT(N154,2)="L1",L154="No Iniciado")),"CRÍTICO - Incumplimiento Normativo SEPS",IF(AND(OR(LEFT(N154,2)="L4",LEFT(N154,2)="L5"),AND(P154&lt;&gt;"",P154&lt;&gt;"N/A")),"CONFORME - Control Efectivo ISO 27001","OBSERVACIÓN - Revisar Controles")))</f>
        <v/>
      </c>
    </row>
    <row r="155">
      <c r="A155">
        <f>IF(INVENTARIO!A155="","",INVENTARIO!A155)</f>
        <v/>
      </c>
      <c r="B155">
        <f>IF(INVENTARIO!E155="","",INVENTARIO!E155)</f>
        <v/>
      </c>
      <c r="C155">
        <f>IF(INVENTARIO!F155="","",INVENTARIO!F155)</f>
        <v/>
      </c>
      <c r="D155">
        <f>IF(INVENTARIO!H155="","",INVENTARIO!H155)</f>
        <v/>
      </c>
      <c r="E155">
        <f>IF(INVENTARIO!I155="","",INVENTARIO!I155)</f>
        <v/>
      </c>
      <c r="F155">
        <f>IF(INVENTARIO!N155="","",INVENTARIO!N155)</f>
        <v/>
      </c>
      <c r="G155">
        <f>IF(INVENTARIO!P155="","",INVENTARIO!P155)</f>
        <v/>
      </c>
      <c r="H155">
        <f>IF(INVENTARIO!Q155="","",INVENTARIO!Q155)</f>
        <v/>
      </c>
      <c r="I155">
        <f>IF(INVENTARIO!R155="","",INVENTARIO!R155)</f>
        <v/>
      </c>
      <c r="J155">
        <f>IF(G155="PUBLICA(1)",1,IF(G155="USO INTERNO(2)",2,IF(G155="RESTRINGIDO(3)",3,0)))+IF(H155="BAJA(1)",1,IF(H155="MEDIA(2)",2,IF(H155="ALTA(3)",3,0)))+IF(I155="BAJA(1)",1,IF(I155="MEDIA(2)",2,IF(I155="ALTA(3)",3,0)))</f>
        <v/>
      </c>
      <c r="K155">
        <f>IF(J155="", "", IF(J155&gt;=8,"ALTA",IF(J155&gt;=6,"MEDIA","BAJA")))</f>
        <v/>
      </c>
      <c r="L155">
        <f>IF(INVENTARIO!Y155="","",INVENTARIO!Y155)</f>
        <v/>
      </c>
      <c r="M155">
        <f>IF(INVENTARIO!Z155="","",INVENTARIO!Z155)</f>
        <v/>
      </c>
      <c r="N155">
        <f>IF(INVENTARIO!AA155="","",INVENTARIO!AA155)</f>
        <v/>
      </c>
      <c r="O155">
        <f>IF(INVENTARIO!AB155="","",INVENTARIO!AB155)</f>
        <v/>
      </c>
      <c r="P155">
        <f>IF(INVENTARIO!AC155="","",INVENTARIO!AC155)</f>
        <v/>
      </c>
      <c r="Q155">
        <f>IF(AND(K155="",N155="",L155=""),"",IF(AND((K155="ALTA"),OR(LEFT(N155,2)="L0",LEFT(N155,2)="L1",L155="No Iniciado")),"CRÍTICO - Incumplimiento Normativo SEPS",IF(AND(OR(LEFT(N155,2)="L4",LEFT(N155,2)="L5"),AND(P155&lt;&gt;"",P155&lt;&gt;"N/A")),"CONFORME - Control Efectivo ISO 27001","OBSERVACIÓN - Revisar Controles")))</f>
        <v/>
      </c>
    </row>
    <row r="156">
      <c r="A156">
        <f>IF(INVENTARIO!A156="","",INVENTARIO!A156)</f>
        <v/>
      </c>
      <c r="B156">
        <f>IF(INVENTARIO!E156="","",INVENTARIO!E156)</f>
        <v/>
      </c>
      <c r="C156">
        <f>IF(INVENTARIO!F156="","",INVENTARIO!F156)</f>
        <v/>
      </c>
      <c r="D156">
        <f>IF(INVENTARIO!H156="","",INVENTARIO!H156)</f>
        <v/>
      </c>
      <c r="E156">
        <f>IF(INVENTARIO!I156="","",INVENTARIO!I156)</f>
        <v/>
      </c>
      <c r="F156">
        <f>IF(INVENTARIO!N156="","",INVENTARIO!N156)</f>
        <v/>
      </c>
      <c r="G156">
        <f>IF(INVENTARIO!P156="","",INVENTARIO!P156)</f>
        <v/>
      </c>
      <c r="H156">
        <f>IF(INVENTARIO!Q156="","",INVENTARIO!Q156)</f>
        <v/>
      </c>
      <c r="I156">
        <f>IF(INVENTARIO!R156="","",INVENTARIO!R156)</f>
        <v/>
      </c>
      <c r="J156">
        <f>IF(G156="PUBLICA(1)",1,IF(G156="USO INTERNO(2)",2,IF(G156="RESTRINGIDO(3)",3,0)))+IF(H156="BAJA(1)",1,IF(H156="MEDIA(2)",2,IF(H156="ALTA(3)",3,0)))+IF(I156="BAJA(1)",1,IF(I156="MEDIA(2)",2,IF(I156="ALTA(3)",3,0)))</f>
        <v/>
      </c>
      <c r="K156">
        <f>IF(J156="", "", IF(J156&gt;=8,"ALTA",IF(J156&gt;=6,"MEDIA","BAJA")))</f>
        <v/>
      </c>
      <c r="L156">
        <f>IF(INVENTARIO!Y156="","",INVENTARIO!Y156)</f>
        <v/>
      </c>
      <c r="M156">
        <f>IF(INVENTARIO!Z156="","",INVENTARIO!Z156)</f>
        <v/>
      </c>
      <c r="N156">
        <f>IF(INVENTARIO!AA156="","",INVENTARIO!AA156)</f>
        <v/>
      </c>
      <c r="O156">
        <f>IF(INVENTARIO!AB156="","",INVENTARIO!AB156)</f>
        <v/>
      </c>
      <c r="P156">
        <f>IF(INVENTARIO!AC156="","",INVENTARIO!AC156)</f>
        <v/>
      </c>
      <c r="Q156">
        <f>IF(AND(K156="",N156="",L156=""),"",IF(AND((K156="ALTA"),OR(LEFT(N156,2)="L0",LEFT(N156,2)="L1",L156="No Iniciado")),"CRÍTICO - Incumplimiento Normativo SEPS",IF(AND(OR(LEFT(N156,2)="L4",LEFT(N156,2)="L5"),AND(P156&lt;&gt;"",P156&lt;&gt;"N/A")),"CONFORME - Control Efectivo ISO 27001","OBSERVACIÓN - Revisar Controles")))</f>
        <v/>
      </c>
    </row>
    <row r="157">
      <c r="A157">
        <f>IF(INVENTARIO!A157="","",INVENTARIO!A157)</f>
        <v/>
      </c>
      <c r="B157">
        <f>IF(INVENTARIO!E157="","",INVENTARIO!E157)</f>
        <v/>
      </c>
      <c r="C157">
        <f>IF(INVENTARIO!F157="","",INVENTARIO!F157)</f>
        <v/>
      </c>
      <c r="D157">
        <f>IF(INVENTARIO!H157="","",INVENTARIO!H157)</f>
        <v/>
      </c>
      <c r="E157">
        <f>IF(INVENTARIO!I157="","",INVENTARIO!I157)</f>
        <v/>
      </c>
      <c r="F157">
        <f>IF(INVENTARIO!N157="","",INVENTARIO!N157)</f>
        <v/>
      </c>
      <c r="G157">
        <f>IF(INVENTARIO!P157="","",INVENTARIO!P157)</f>
        <v/>
      </c>
      <c r="H157">
        <f>IF(INVENTARIO!Q157="","",INVENTARIO!Q157)</f>
        <v/>
      </c>
      <c r="I157">
        <f>IF(INVENTARIO!R157="","",INVENTARIO!R157)</f>
        <v/>
      </c>
      <c r="J157">
        <f>IF(G157="PUBLICA(1)",1,IF(G157="USO INTERNO(2)",2,IF(G157="RESTRINGIDO(3)",3,0)))+IF(H157="BAJA(1)",1,IF(H157="MEDIA(2)",2,IF(H157="ALTA(3)",3,0)))+IF(I157="BAJA(1)",1,IF(I157="MEDIA(2)",2,IF(I157="ALTA(3)",3,0)))</f>
        <v/>
      </c>
      <c r="K157">
        <f>IF(J157="", "", IF(J157&gt;=8,"ALTA",IF(J157&gt;=6,"MEDIA","BAJA")))</f>
        <v/>
      </c>
      <c r="L157">
        <f>IF(INVENTARIO!Y157="","",INVENTARIO!Y157)</f>
        <v/>
      </c>
      <c r="M157">
        <f>IF(INVENTARIO!Z157="","",INVENTARIO!Z157)</f>
        <v/>
      </c>
      <c r="N157">
        <f>IF(INVENTARIO!AA157="","",INVENTARIO!AA157)</f>
        <v/>
      </c>
      <c r="O157">
        <f>IF(INVENTARIO!AB157="","",INVENTARIO!AB157)</f>
        <v/>
      </c>
      <c r="P157">
        <f>IF(INVENTARIO!AC157="","",INVENTARIO!AC157)</f>
        <v/>
      </c>
      <c r="Q157">
        <f>IF(AND(K157="",N157="",L157=""),"",IF(AND((K157="ALTA"),OR(LEFT(N157,2)="L0",LEFT(N157,2)="L1",L157="No Iniciado")),"CRÍTICO - Incumplimiento Normativo SEPS",IF(AND(OR(LEFT(N157,2)="L4",LEFT(N157,2)="L5"),AND(P157&lt;&gt;"",P157&lt;&gt;"N/A")),"CONFORME - Control Efectivo ISO 27001","OBSERVACIÓN - Revisar Controles")))</f>
        <v/>
      </c>
    </row>
    <row r="158">
      <c r="A158">
        <f>IF(INVENTARIO!A158="","",INVENTARIO!A158)</f>
        <v/>
      </c>
      <c r="B158">
        <f>IF(INVENTARIO!E158="","",INVENTARIO!E158)</f>
        <v/>
      </c>
      <c r="C158">
        <f>IF(INVENTARIO!F158="","",INVENTARIO!F158)</f>
        <v/>
      </c>
      <c r="D158">
        <f>IF(INVENTARIO!H158="","",INVENTARIO!H158)</f>
        <v/>
      </c>
      <c r="E158">
        <f>IF(INVENTARIO!I158="","",INVENTARIO!I158)</f>
        <v/>
      </c>
      <c r="F158">
        <f>IF(INVENTARIO!N158="","",INVENTARIO!N158)</f>
        <v/>
      </c>
      <c r="G158">
        <f>IF(INVENTARIO!P158="","",INVENTARIO!P158)</f>
        <v/>
      </c>
      <c r="H158">
        <f>IF(INVENTARIO!Q158="","",INVENTARIO!Q158)</f>
        <v/>
      </c>
      <c r="I158">
        <f>IF(INVENTARIO!R158="","",INVENTARIO!R158)</f>
        <v/>
      </c>
      <c r="J158">
        <f>IF(G158="PUBLICA(1)",1,IF(G158="USO INTERNO(2)",2,IF(G158="RESTRINGIDO(3)",3,0)))+IF(H158="BAJA(1)",1,IF(H158="MEDIA(2)",2,IF(H158="ALTA(3)",3,0)))+IF(I158="BAJA(1)",1,IF(I158="MEDIA(2)",2,IF(I158="ALTA(3)",3,0)))</f>
        <v/>
      </c>
      <c r="K158">
        <f>IF(J158="", "", IF(J158&gt;=8,"ALTA",IF(J158&gt;=6,"MEDIA","BAJA")))</f>
        <v/>
      </c>
      <c r="L158">
        <f>IF(INVENTARIO!Y158="","",INVENTARIO!Y158)</f>
        <v/>
      </c>
      <c r="M158">
        <f>IF(INVENTARIO!Z158="","",INVENTARIO!Z158)</f>
        <v/>
      </c>
      <c r="N158">
        <f>IF(INVENTARIO!AA158="","",INVENTARIO!AA158)</f>
        <v/>
      </c>
      <c r="O158">
        <f>IF(INVENTARIO!AB158="","",INVENTARIO!AB158)</f>
        <v/>
      </c>
      <c r="P158">
        <f>IF(INVENTARIO!AC158="","",INVENTARIO!AC158)</f>
        <v/>
      </c>
      <c r="Q158">
        <f>IF(AND(K158="",N158="",L158=""),"",IF(AND((K158="ALTA"),OR(LEFT(N158,2)="L0",LEFT(N158,2)="L1",L158="No Iniciado")),"CRÍTICO - Incumplimiento Normativo SEPS",IF(AND(OR(LEFT(N158,2)="L4",LEFT(N158,2)="L5"),AND(P158&lt;&gt;"",P158&lt;&gt;"N/A")),"CONFORME - Control Efectivo ISO 27001","OBSERVACIÓN - Revisar Controles")))</f>
        <v/>
      </c>
    </row>
    <row r="159">
      <c r="A159">
        <f>IF(INVENTARIO!A159="","",INVENTARIO!A159)</f>
        <v/>
      </c>
      <c r="B159">
        <f>IF(INVENTARIO!E159="","",INVENTARIO!E159)</f>
        <v/>
      </c>
      <c r="C159">
        <f>IF(INVENTARIO!F159="","",INVENTARIO!F159)</f>
        <v/>
      </c>
      <c r="D159">
        <f>IF(INVENTARIO!H159="","",INVENTARIO!H159)</f>
        <v/>
      </c>
      <c r="E159">
        <f>IF(INVENTARIO!I159="","",INVENTARIO!I159)</f>
        <v/>
      </c>
      <c r="F159">
        <f>IF(INVENTARIO!N159="","",INVENTARIO!N159)</f>
        <v/>
      </c>
      <c r="G159">
        <f>IF(INVENTARIO!P159="","",INVENTARIO!P159)</f>
        <v/>
      </c>
      <c r="H159">
        <f>IF(INVENTARIO!Q159="","",INVENTARIO!Q159)</f>
        <v/>
      </c>
      <c r="I159">
        <f>IF(INVENTARIO!R159="","",INVENTARIO!R159)</f>
        <v/>
      </c>
      <c r="J159">
        <f>IF(G159="PUBLICA(1)",1,IF(G159="USO INTERNO(2)",2,IF(G159="RESTRINGIDO(3)",3,0)))+IF(H159="BAJA(1)",1,IF(H159="MEDIA(2)",2,IF(H159="ALTA(3)",3,0)))+IF(I159="BAJA(1)",1,IF(I159="MEDIA(2)",2,IF(I159="ALTA(3)",3,0)))</f>
        <v/>
      </c>
      <c r="K159">
        <f>IF(J159="", "", IF(J159&gt;=8,"ALTA",IF(J159&gt;=6,"MEDIA","BAJA")))</f>
        <v/>
      </c>
      <c r="L159">
        <f>IF(INVENTARIO!Y159="","",INVENTARIO!Y159)</f>
        <v/>
      </c>
      <c r="M159">
        <f>IF(INVENTARIO!Z159="","",INVENTARIO!Z159)</f>
        <v/>
      </c>
      <c r="N159">
        <f>IF(INVENTARIO!AA159="","",INVENTARIO!AA159)</f>
        <v/>
      </c>
      <c r="O159">
        <f>IF(INVENTARIO!AB159="","",INVENTARIO!AB159)</f>
        <v/>
      </c>
      <c r="P159">
        <f>IF(INVENTARIO!AC159="","",INVENTARIO!AC159)</f>
        <v/>
      </c>
      <c r="Q159">
        <f>IF(AND(K159="",N159="",L159=""),"",IF(AND((K159="ALTA"),OR(LEFT(N159,2)="L0",LEFT(N159,2)="L1",L159="No Iniciado")),"CRÍTICO - Incumplimiento Normativo SEPS",IF(AND(OR(LEFT(N159,2)="L4",LEFT(N159,2)="L5"),AND(P159&lt;&gt;"",P159&lt;&gt;"N/A")),"CONFORME - Control Efectivo ISO 27001","OBSERVACIÓN - Revisar Controles")))</f>
        <v/>
      </c>
    </row>
    <row r="160">
      <c r="A160">
        <f>IF(INVENTARIO!A160="","",INVENTARIO!A160)</f>
        <v/>
      </c>
      <c r="B160">
        <f>IF(INVENTARIO!E160="","",INVENTARIO!E160)</f>
        <v/>
      </c>
      <c r="C160">
        <f>IF(INVENTARIO!F160="","",INVENTARIO!F160)</f>
        <v/>
      </c>
      <c r="D160">
        <f>IF(INVENTARIO!H160="","",INVENTARIO!H160)</f>
        <v/>
      </c>
      <c r="E160">
        <f>IF(INVENTARIO!I160="","",INVENTARIO!I160)</f>
        <v/>
      </c>
      <c r="F160">
        <f>IF(INVENTARIO!N160="","",INVENTARIO!N160)</f>
        <v/>
      </c>
      <c r="G160">
        <f>IF(INVENTARIO!P160="","",INVENTARIO!P160)</f>
        <v/>
      </c>
      <c r="H160">
        <f>IF(INVENTARIO!Q160="","",INVENTARIO!Q160)</f>
        <v/>
      </c>
      <c r="I160">
        <f>IF(INVENTARIO!R160="","",INVENTARIO!R160)</f>
        <v/>
      </c>
      <c r="J160">
        <f>IF(G160="PUBLICA(1)",1,IF(G160="USO INTERNO(2)",2,IF(G160="RESTRINGIDO(3)",3,0)))+IF(H160="BAJA(1)",1,IF(H160="MEDIA(2)",2,IF(H160="ALTA(3)",3,0)))+IF(I160="BAJA(1)",1,IF(I160="MEDIA(2)",2,IF(I160="ALTA(3)",3,0)))</f>
        <v/>
      </c>
      <c r="K160">
        <f>IF(J160="", "", IF(J160&gt;=8,"ALTA",IF(J160&gt;=6,"MEDIA","BAJA")))</f>
        <v/>
      </c>
      <c r="L160">
        <f>IF(INVENTARIO!Y160="","",INVENTARIO!Y160)</f>
        <v/>
      </c>
      <c r="M160">
        <f>IF(INVENTARIO!Z160="","",INVENTARIO!Z160)</f>
        <v/>
      </c>
      <c r="N160">
        <f>IF(INVENTARIO!AA160="","",INVENTARIO!AA160)</f>
        <v/>
      </c>
      <c r="O160">
        <f>IF(INVENTARIO!AB160="","",INVENTARIO!AB160)</f>
        <v/>
      </c>
      <c r="P160">
        <f>IF(INVENTARIO!AC160="","",INVENTARIO!AC160)</f>
        <v/>
      </c>
      <c r="Q160">
        <f>IF(AND(K160="",N160="",L160=""),"",IF(AND((K160="ALTA"),OR(LEFT(N160,2)="L0",LEFT(N160,2)="L1",L160="No Iniciado")),"CRÍTICO - Incumplimiento Normativo SEPS",IF(AND(OR(LEFT(N160,2)="L4",LEFT(N160,2)="L5"),AND(P160&lt;&gt;"",P160&lt;&gt;"N/A")),"CONFORME - Control Efectivo ISO 27001","OBSERVACIÓN - Revisar Controles")))</f>
        <v/>
      </c>
    </row>
    <row r="161">
      <c r="A161">
        <f>IF(INVENTARIO!A161="","",INVENTARIO!A161)</f>
        <v/>
      </c>
      <c r="B161">
        <f>IF(INVENTARIO!E161="","",INVENTARIO!E161)</f>
        <v/>
      </c>
      <c r="C161">
        <f>IF(INVENTARIO!F161="","",INVENTARIO!F161)</f>
        <v/>
      </c>
      <c r="D161">
        <f>IF(INVENTARIO!H161="","",INVENTARIO!H161)</f>
        <v/>
      </c>
      <c r="E161">
        <f>IF(INVENTARIO!I161="","",INVENTARIO!I161)</f>
        <v/>
      </c>
      <c r="F161">
        <f>IF(INVENTARIO!N161="","",INVENTARIO!N161)</f>
        <v/>
      </c>
      <c r="G161">
        <f>IF(INVENTARIO!P161="","",INVENTARIO!P161)</f>
        <v/>
      </c>
      <c r="H161">
        <f>IF(INVENTARIO!Q161="","",INVENTARIO!Q161)</f>
        <v/>
      </c>
      <c r="I161">
        <f>IF(INVENTARIO!R161="","",INVENTARIO!R161)</f>
        <v/>
      </c>
      <c r="J161">
        <f>IF(G161="PUBLICA(1)",1,IF(G161="USO INTERNO(2)",2,IF(G161="RESTRINGIDO(3)",3,0)))+IF(H161="BAJA(1)",1,IF(H161="MEDIA(2)",2,IF(H161="ALTA(3)",3,0)))+IF(I161="BAJA(1)",1,IF(I161="MEDIA(2)",2,IF(I161="ALTA(3)",3,0)))</f>
        <v/>
      </c>
      <c r="K161">
        <f>IF(J161="", "", IF(J161&gt;=8,"ALTA",IF(J161&gt;=6,"MEDIA","BAJA")))</f>
        <v/>
      </c>
      <c r="L161">
        <f>IF(INVENTARIO!Y161="","",INVENTARIO!Y161)</f>
        <v/>
      </c>
      <c r="M161">
        <f>IF(INVENTARIO!Z161="","",INVENTARIO!Z161)</f>
        <v/>
      </c>
      <c r="N161">
        <f>IF(INVENTARIO!AA161="","",INVENTARIO!AA161)</f>
        <v/>
      </c>
      <c r="O161">
        <f>IF(INVENTARIO!AB161="","",INVENTARIO!AB161)</f>
        <v/>
      </c>
      <c r="P161">
        <f>IF(INVENTARIO!AC161="","",INVENTARIO!AC161)</f>
        <v/>
      </c>
      <c r="Q161">
        <f>IF(AND(K161="",N161="",L161=""),"",IF(AND((K161="ALTA"),OR(LEFT(N161,2)="L0",LEFT(N161,2)="L1",L161="No Iniciado")),"CRÍTICO - Incumplimiento Normativo SEPS",IF(AND(OR(LEFT(N161,2)="L4",LEFT(N161,2)="L5"),AND(P161&lt;&gt;"",P161&lt;&gt;"N/A")),"CONFORME - Control Efectivo ISO 27001","OBSERVACIÓN - Revisar Controles")))</f>
        <v/>
      </c>
    </row>
    <row r="162">
      <c r="A162">
        <f>IF(INVENTARIO!A162="","",INVENTARIO!A162)</f>
        <v/>
      </c>
      <c r="B162">
        <f>IF(INVENTARIO!E162="","",INVENTARIO!E162)</f>
        <v/>
      </c>
      <c r="C162">
        <f>IF(INVENTARIO!F162="","",INVENTARIO!F162)</f>
        <v/>
      </c>
      <c r="D162">
        <f>IF(INVENTARIO!H162="","",INVENTARIO!H162)</f>
        <v/>
      </c>
      <c r="E162">
        <f>IF(INVENTARIO!I162="","",INVENTARIO!I162)</f>
        <v/>
      </c>
      <c r="F162">
        <f>IF(INVENTARIO!N162="","",INVENTARIO!N162)</f>
        <v/>
      </c>
      <c r="G162">
        <f>IF(INVENTARIO!P162="","",INVENTARIO!P162)</f>
        <v/>
      </c>
      <c r="H162">
        <f>IF(INVENTARIO!Q162="","",INVENTARIO!Q162)</f>
        <v/>
      </c>
      <c r="I162">
        <f>IF(INVENTARIO!R162="","",INVENTARIO!R162)</f>
        <v/>
      </c>
      <c r="J162">
        <f>IF(G162="PUBLICA(1)",1,IF(G162="USO INTERNO(2)",2,IF(G162="RESTRINGIDO(3)",3,0)))+IF(H162="BAJA(1)",1,IF(H162="MEDIA(2)",2,IF(H162="ALTA(3)",3,0)))+IF(I162="BAJA(1)",1,IF(I162="MEDIA(2)",2,IF(I162="ALTA(3)",3,0)))</f>
        <v/>
      </c>
      <c r="K162">
        <f>IF(J162="", "", IF(J162&gt;=8,"ALTA",IF(J162&gt;=6,"MEDIA","BAJA")))</f>
        <v/>
      </c>
      <c r="L162">
        <f>IF(INVENTARIO!Y162="","",INVENTARIO!Y162)</f>
        <v/>
      </c>
      <c r="M162">
        <f>IF(INVENTARIO!Z162="","",INVENTARIO!Z162)</f>
        <v/>
      </c>
      <c r="N162">
        <f>IF(INVENTARIO!AA162="","",INVENTARIO!AA162)</f>
        <v/>
      </c>
      <c r="O162">
        <f>IF(INVENTARIO!AB162="","",INVENTARIO!AB162)</f>
        <v/>
      </c>
      <c r="P162">
        <f>IF(INVENTARIO!AC162="","",INVENTARIO!AC162)</f>
        <v/>
      </c>
      <c r="Q162">
        <f>IF(AND(K162="",N162="",L162=""),"",IF(AND((K162="ALTA"),OR(LEFT(N162,2)="L0",LEFT(N162,2)="L1",L162="No Iniciado")),"CRÍTICO - Incumplimiento Normativo SEPS",IF(AND(OR(LEFT(N162,2)="L4",LEFT(N162,2)="L5"),AND(P162&lt;&gt;"",P162&lt;&gt;"N/A")),"CONFORME - Control Efectivo ISO 27001","OBSERVACIÓN - Revisar Controles")))</f>
        <v/>
      </c>
    </row>
    <row r="163">
      <c r="A163">
        <f>IF(INVENTARIO!A163="","",INVENTARIO!A163)</f>
        <v/>
      </c>
      <c r="B163">
        <f>IF(INVENTARIO!E163="","",INVENTARIO!E163)</f>
        <v/>
      </c>
      <c r="C163">
        <f>IF(INVENTARIO!F163="","",INVENTARIO!F163)</f>
        <v/>
      </c>
      <c r="D163">
        <f>IF(INVENTARIO!H163="","",INVENTARIO!H163)</f>
        <v/>
      </c>
      <c r="E163">
        <f>IF(INVENTARIO!I163="","",INVENTARIO!I163)</f>
        <v/>
      </c>
      <c r="F163">
        <f>IF(INVENTARIO!N163="","",INVENTARIO!N163)</f>
        <v/>
      </c>
      <c r="G163">
        <f>IF(INVENTARIO!P163="","",INVENTARIO!P163)</f>
        <v/>
      </c>
      <c r="H163">
        <f>IF(INVENTARIO!Q163="","",INVENTARIO!Q163)</f>
        <v/>
      </c>
      <c r="I163">
        <f>IF(INVENTARIO!R163="","",INVENTARIO!R163)</f>
        <v/>
      </c>
      <c r="J163">
        <f>IF(G163="PUBLICA(1)",1,IF(G163="USO INTERNO(2)",2,IF(G163="RESTRINGIDO(3)",3,0)))+IF(H163="BAJA(1)",1,IF(H163="MEDIA(2)",2,IF(H163="ALTA(3)",3,0)))+IF(I163="BAJA(1)",1,IF(I163="MEDIA(2)",2,IF(I163="ALTA(3)",3,0)))</f>
        <v/>
      </c>
      <c r="K163">
        <f>IF(J163="", "", IF(J163&gt;=8,"ALTA",IF(J163&gt;=6,"MEDIA","BAJA")))</f>
        <v/>
      </c>
      <c r="L163">
        <f>IF(INVENTARIO!Y163="","",INVENTARIO!Y163)</f>
        <v/>
      </c>
      <c r="M163">
        <f>IF(INVENTARIO!Z163="","",INVENTARIO!Z163)</f>
        <v/>
      </c>
      <c r="N163">
        <f>IF(INVENTARIO!AA163="","",INVENTARIO!AA163)</f>
        <v/>
      </c>
      <c r="O163">
        <f>IF(INVENTARIO!AB163="","",INVENTARIO!AB163)</f>
        <v/>
      </c>
      <c r="P163">
        <f>IF(INVENTARIO!AC163="","",INVENTARIO!AC163)</f>
        <v/>
      </c>
      <c r="Q163">
        <f>IF(AND(K163="",N163="",L163=""),"",IF(AND((K163="ALTA"),OR(LEFT(N163,2)="L0",LEFT(N163,2)="L1",L163="No Iniciado")),"CRÍTICO - Incumplimiento Normativo SEPS",IF(AND(OR(LEFT(N163,2)="L4",LEFT(N163,2)="L5"),AND(P163&lt;&gt;"",P163&lt;&gt;"N/A")),"CONFORME - Control Efectivo ISO 27001","OBSERVACIÓN - Revisar Controles")))</f>
        <v/>
      </c>
    </row>
    <row r="164">
      <c r="A164">
        <f>IF(INVENTARIO!A164="","",INVENTARIO!A164)</f>
        <v/>
      </c>
      <c r="B164">
        <f>IF(INVENTARIO!E164="","",INVENTARIO!E164)</f>
        <v/>
      </c>
      <c r="C164">
        <f>IF(INVENTARIO!F164="","",INVENTARIO!F164)</f>
        <v/>
      </c>
      <c r="D164">
        <f>IF(INVENTARIO!H164="","",INVENTARIO!H164)</f>
        <v/>
      </c>
      <c r="E164">
        <f>IF(INVENTARIO!I164="","",INVENTARIO!I164)</f>
        <v/>
      </c>
      <c r="F164">
        <f>IF(INVENTARIO!N164="","",INVENTARIO!N164)</f>
        <v/>
      </c>
      <c r="G164">
        <f>IF(INVENTARIO!P164="","",INVENTARIO!P164)</f>
        <v/>
      </c>
      <c r="H164">
        <f>IF(INVENTARIO!Q164="","",INVENTARIO!Q164)</f>
        <v/>
      </c>
      <c r="I164">
        <f>IF(INVENTARIO!R164="","",INVENTARIO!R164)</f>
        <v/>
      </c>
      <c r="J164">
        <f>IF(G164="PUBLICA(1)",1,IF(G164="USO INTERNO(2)",2,IF(G164="RESTRINGIDO(3)",3,0)))+IF(H164="BAJA(1)",1,IF(H164="MEDIA(2)",2,IF(H164="ALTA(3)",3,0)))+IF(I164="BAJA(1)",1,IF(I164="MEDIA(2)",2,IF(I164="ALTA(3)",3,0)))</f>
        <v/>
      </c>
      <c r="K164">
        <f>IF(J164="", "", IF(J164&gt;=8,"ALTA",IF(J164&gt;=6,"MEDIA","BAJA")))</f>
        <v/>
      </c>
      <c r="L164">
        <f>IF(INVENTARIO!Y164="","",INVENTARIO!Y164)</f>
        <v/>
      </c>
      <c r="M164">
        <f>IF(INVENTARIO!Z164="","",INVENTARIO!Z164)</f>
        <v/>
      </c>
      <c r="N164">
        <f>IF(INVENTARIO!AA164="","",INVENTARIO!AA164)</f>
        <v/>
      </c>
      <c r="O164">
        <f>IF(INVENTARIO!AB164="","",INVENTARIO!AB164)</f>
        <v/>
      </c>
      <c r="P164">
        <f>IF(INVENTARIO!AC164="","",INVENTARIO!AC164)</f>
        <v/>
      </c>
      <c r="Q164">
        <f>IF(AND(K164="",N164="",L164=""),"",IF(AND((K164="ALTA"),OR(LEFT(N164,2)="L0",LEFT(N164,2)="L1",L164="No Iniciado")),"CRÍTICO - Incumplimiento Normativo SEPS",IF(AND(OR(LEFT(N164,2)="L4",LEFT(N164,2)="L5"),AND(P164&lt;&gt;"",P164&lt;&gt;"N/A")),"CONFORME - Control Efectivo ISO 27001","OBSERVACIÓN - Revisar Controles")))</f>
        <v/>
      </c>
    </row>
    <row r="165">
      <c r="A165">
        <f>IF(INVENTARIO!A165="","",INVENTARIO!A165)</f>
        <v/>
      </c>
      <c r="B165">
        <f>IF(INVENTARIO!E165="","",INVENTARIO!E165)</f>
        <v/>
      </c>
      <c r="C165">
        <f>IF(INVENTARIO!F165="","",INVENTARIO!F165)</f>
        <v/>
      </c>
      <c r="D165">
        <f>IF(INVENTARIO!H165="","",INVENTARIO!H165)</f>
        <v/>
      </c>
      <c r="E165">
        <f>IF(INVENTARIO!I165="","",INVENTARIO!I165)</f>
        <v/>
      </c>
      <c r="F165">
        <f>IF(INVENTARIO!N165="","",INVENTARIO!N165)</f>
        <v/>
      </c>
      <c r="G165">
        <f>IF(INVENTARIO!P165="","",INVENTARIO!P165)</f>
        <v/>
      </c>
      <c r="H165">
        <f>IF(INVENTARIO!Q165="","",INVENTARIO!Q165)</f>
        <v/>
      </c>
      <c r="I165">
        <f>IF(INVENTARIO!R165="","",INVENTARIO!R165)</f>
        <v/>
      </c>
      <c r="J165">
        <f>IF(G165="PUBLICA(1)",1,IF(G165="USO INTERNO(2)",2,IF(G165="RESTRINGIDO(3)",3,0)))+IF(H165="BAJA(1)",1,IF(H165="MEDIA(2)",2,IF(H165="ALTA(3)",3,0)))+IF(I165="BAJA(1)",1,IF(I165="MEDIA(2)",2,IF(I165="ALTA(3)",3,0)))</f>
        <v/>
      </c>
      <c r="K165">
        <f>IF(J165="", "", IF(J165&gt;=8,"ALTA",IF(J165&gt;=6,"MEDIA","BAJA")))</f>
        <v/>
      </c>
      <c r="L165">
        <f>IF(INVENTARIO!Y165="","",INVENTARIO!Y165)</f>
        <v/>
      </c>
      <c r="M165">
        <f>IF(INVENTARIO!Z165="","",INVENTARIO!Z165)</f>
        <v/>
      </c>
      <c r="N165">
        <f>IF(INVENTARIO!AA165="","",INVENTARIO!AA165)</f>
        <v/>
      </c>
      <c r="O165">
        <f>IF(INVENTARIO!AB165="","",INVENTARIO!AB165)</f>
        <v/>
      </c>
      <c r="P165">
        <f>IF(INVENTARIO!AC165="","",INVENTARIO!AC165)</f>
        <v/>
      </c>
      <c r="Q165">
        <f>IF(AND(K165="",N165="",L165=""),"",IF(AND((K165="ALTA"),OR(LEFT(N165,2)="L0",LEFT(N165,2)="L1",L165="No Iniciado")),"CRÍTICO - Incumplimiento Normativo SEPS",IF(AND(OR(LEFT(N165,2)="L4",LEFT(N165,2)="L5"),AND(P165&lt;&gt;"",P165&lt;&gt;"N/A")),"CONFORME - Control Efectivo ISO 27001","OBSERVACIÓN - Revisar Controles")))</f>
        <v/>
      </c>
    </row>
    <row r="166">
      <c r="A166">
        <f>IF(INVENTARIO!A166="","",INVENTARIO!A166)</f>
        <v/>
      </c>
      <c r="B166">
        <f>IF(INVENTARIO!E166="","",INVENTARIO!E166)</f>
        <v/>
      </c>
      <c r="C166">
        <f>IF(INVENTARIO!F166="","",INVENTARIO!F166)</f>
        <v/>
      </c>
      <c r="D166">
        <f>IF(INVENTARIO!H166="","",INVENTARIO!H166)</f>
        <v/>
      </c>
      <c r="E166">
        <f>IF(INVENTARIO!I166="","",INVENTARIO!I166)</f>
        <v/>
      </c>
      <c r="F166">
        <f>IF(INVENTARIO!N166="","",INVENTARIO!N166)</f>
        <v/>
      </c>
      <c r="G166">
        <f>IF(INVENTARIO!P166="","",INVENTARIO!P166)</f>
        <v/>
      </c>
      <c r="H166">
        <f>IF(INVENTARIO!Q166="","",INVENTARIO!Q166)</f>
        <v/>
      </c>
      <c r="I166">
        <f>IF(INVENTARIO!R166="","",INVENTARIO!R166)</f>
        <v/>
      </c>
      <c r="J166">
        <f>IF(G166="PUBLICA(1)",1,IF(G166="USO INTERNO(2)",2,IF(G166="RESTRINGIDO(3)",3,0)))+IF(H166="BAJA(1)",1,IF(H166="MEDIA(2)",2,IF(H166="ALTA(3)",3,0)))+IF(I166="BAJA(1)",1,IF(I166="MEDIA(2)",2,IF(I166="ALTA(3)",3,0)))</f>
        <v/>
      </c>
      <c r="K166">
        <f>IF(J166="", "", IF(J166&gt;=8,"ALTA",IF(J166&gt;=6,"MEDIA","BAJA")))</f>
        <v/>
      </c>
      <c r="L166">
        <f>IF(INVENTARIO!Y166="","",INVENTARIO!Y166)</f>
        <v/>
      </c>
      <c r="M166">
        <f>IF(INVENTARIO!Z166="","",INVENTARIO!Z166)</f>
        <v/>
      </c>
      <c r="N166">
        <f>IF(INVENTARIO!AA166="","",INVENTARIO!AA166)</f>
        <v/>
      </c>
      <c r="O166">
        <f>IF(INVENTARIO!AB166="","",INVENTARIO!AB166)</f>
        <v/>
      </c>
      <c r="P166">
        <f>IF(INVENTARIO!AC166="","",INVENTARIO!AC166)</f>
        <v/>
      </c>
      <c r="Q166">
        <f>IF(AND(K166="",N166="",L166=""),"",IF(AND((K166="ALTA"),OR(LEFT(N166,2)="L0",LEFT(N166,2)="L1",L166="No Iniciado")),"CRÍTICO - Incumplimiento Normativo SEPS",IF(AND(OR(LEFT(N166,2)="L4",LEFT(N166,2)="L5"),AND(P166&lt;&gt;"",P166&lt;&gt;"N/A")),"CONFORME - Control Efectivo ISO 27001","OBSERVACIÓN - Revisar Controles")))</f>
        <v/>
      </c>
    </row>
    <row r="167">
      <c r="A167">
        <f>IF(INVENTARIO!A167="","",INVENTARIO!A167)</f>
        <v/>
      </c>
      <c r="B167">
        <f>IF(INVENTARIO!E167="","",INVENTARIO!E167)</f>
        <v/>
      </c>
      <c r="C167">
        <f>IF(INVENTARIO!F167="","",INVENTARIO!F167)</f>
        <v/>
      </c>
      <c r="D167">
        <f>IF(INVENTARIO!H167="","",INVENTARIO!H167)</f>
        <v/>
      </c>
      <c r="E167">
        <f>IF(INVENTARIO!I167="","",INVENTARIO!I167)</f>
        <v/>
      </c>
      <c r="F167">
        <f>IF(INVENTARIO!N167="","",INVENTARIO!N167)</f>
        <v/>
      </c>
      <c r="G167">
        <f>IF(INVENTARIO!P167="","",INVENTARIO!P167)</f>
        <v/>
      </c>
      <c r="H167">
        <f>IF(INVENTARIO!Q167="","",INVENTARIO!Q167)</f>
        <v/>
      </c>
      <c r="I167">
        <f>IF(INVENTARIO!R167="","",INVENTARIO!R167)</f>
        <v/>
      </c>
      <c r="J167">
        <f>IF(G167="PUBLICA(1)",1,IF(G167="USO INTERNO(2)",2,IF(G167="RESTRINGIDO(3)",3,0)))+IF(H167="BAJA(1)",1,IF(H167="MEDIA(2)",2,IF(H167="ALTA(3)",3,0)))+IF(I167="BAJA(1)",1,IF(I167="MEDIA(2)",2,IF(I167="ALTA(3)",3,0)))</f>
        <v/>
      </c>
      <c r="K167">
        <f>IF(J167="", "", IF(J167&gt;=8,"ALTA",IF(J167&gt;=6,"MEDIA","BAJA")))</f>
        <v/>
      </c>
      <c r="L167">
        <f>IF(INVENTARIO!Y167="","",INVENTARIO!Y167)</f>
        <v/>
      </c>
      <c r="M167">
        <f>IF(INVENTARIO!Z167="","",INVENTARIO!Z167)</f>
        <v/>
      </c>
      <c r="N167">
        <f>IF(INVENTARIO!AA167="","",INVENTARIO!AA167)</f>
        <v/>
      </c>
      <c r="O167">
        <f>IF(INVENTARIO!AB167="","",INVENTARIO!AB167)</f>
        <v/>
      </c>
      <c r="P167">
        <f>IF(INVENTARIO!AC167="","",INVENTARIO!AC167)</f>
        <v/>
      </c>
      <c r="Q167">
        <f>IF(AND(K167="",N167="",L167=""),"",IF(AND((K167="ALTA"),OR(LEFT(N167,2)="L0",LEFT(N167,2)="L1",L167="No Iniciado")),"CRÍTICO - Incumplimiento Normativo SEPS",IF(AND(OR(LEFT(N167,2)="L4",LEFT(N167,2)="L5"),AND(P167&lt;&gt;"",P167&lt;&gt;"N/A")),"CONFORME - Control Efectivo ISO 27001","OBSERVACIÓN - Revisar Controles")))</f>
        <v/>
      </c>
    </row>
    <row r="168">
      <c r="A168">
        <f>IF(INVENTARIO!A168="","",INVENTARIO!A168)</f>
        <v/>
      </c>
      <c r="B168">
        <f>IF(INVENTARIO!E168="","",INVENTARIO!E168)</f>
        <v/>
      </c>
      <c r="C168">
        <f>IF(INVENTARIO!F168="","",INVENTARIO!F168)</f>
        <v/>
      </c>
      <c r="D168">
        <f>IF(INVENTARIO!H168="","",INVENTARIO!H168)</f>
        <v/>
      </c>
      <c r="E168">
        <f>IF(INVENTARIO!I168="","",INVENTARIO!I168)</f>
        <v/>
      </c>
      <c r="F168">
        <f>IF(INVENTARIO!N168="","",INVENTARIO!N168)</f>
        <v/>
      </c>
      <c r="G168">
        <f>IF(INVENTARIO!P168="","",INVENTARIO!P168)</f>
        <v/>
      </c>
      <c r="H168">
        <f>IF(INVENTARIO!Q168="","",INVENTARIO!Q168)</f>
        <v/>
      </c>
      <c r="I168">
        <f>IF(INVENTARIO!R168="","",INVENTARIO!R168)</f>
        <v/>
      </c>
      <c r="J168">
        <f>IF(G168="PUBLICA(1)",1,IF(G168="USO INTERNO(2)",2,IF(G168="RESTRINGIDO(3)",3,0)))+IF(H168="BAJA(1)",1,IF(H168="MEDIA(2)",2,IF(H168="ALTA(3)",3,0)))+IF(I168="BAJA(1)",1,IF(I168="MEDIA(2)",2,IF(I168="ALTA(3)",3,0)))</f>
        <v/>
      </c>
      <c r="K168">
        <f>IF(J168="", "", IF(J168&gt;=8,"ALTA",IF(J168&gt;=6,"MEDIA","BAJA")))</f>
        <v/>
      </c>
      <c r="L168">
        <f>IF(INVENTARIO!Y168="","",INVENTARIO!Y168)</f>
        <v/>
      </c>
      <c r="M168">
        <f>IF(INVENTARIO!Z168="","",INVENTARIO!Z168)</f>
        <v/>
      </c>
      <c r="N168">
        <f>IF(INVENTARIO!AA168="","",INVENTARIO!AA168)</f>
        <v/>
      </c>
      <c r="O168">
        <f>IF(INVENTARIO!AB168="","",INVENTARIO!AB168)</f>
        <v/>
      </c>
      <c r="P168">
        <f>IF(INVENTARIO!AC168="","",INVENTARIO!AC168)</f>
        <v/>
      </c>
      <c r="Q168">
        <f>IF(AND(K168="",N168="",L168=""),"",IF(AND((K168="ALTA"),OR(LEFT(N168,2)="L0",LEFT(N168,2)="L1",L168="No Iniciado")),"CRÍTICO - Incumplimiento Normativo SEPS",IF(AND(OR(LEFT(N168,2)="L4",LEFT(N168,2)="L5"),AND(P168&lt;&gt;"",P168&lt;&gt;"N/A")),"CONFORME - Control Efectivo ISO 27001","OBSERVACIÓN - Revisar Controles")))</f>
        <v/>
      </c>
    </row>
    <row r="169">
      <c r="A169">
        <f>IF(INVENTARIO!A169="","",INVENTARIO!A169)</f>
        <v/>
      </c>
      <c r="B169">
        <f>IF(INVENTARIO!E169="","",INVENTARIO!E169)</f>
        <v/>
      </c>
      <c r="C169">
        <f>IF(INVENTARIO!F169="","",INVENTARIO!F169)</f>
        <v/>
      </c>
      <c r="D169">
        <f>IF(INVENTARIO!H169="","",INVENTARIO!H169)</f>
        <v/>
      </c>
      <c r="E169">
        <f>IF(INVENTARIO!I169="","",INVENTARIO!I169)</f>
        <v/>
      </c>
      <c r="F169">
        <f>IF(INVENTARIO!N169="","",INVENTARIO!N169)</f>
        <v/>
      </c>
      <c r="G169">
        <f>IF(INVENTARIO!P169="","",INVENTARIO!P169)</f>
        <v/>
      </c>
      <c r="H169">
        <f>IF(INVENTARIO!Q169="","",INVENTARIO!Q169)</f>
        <v/>
      </c>
      <c r="I169">
        <f>IF(INVENTARIO!R169="","",INVENTARIO!R169)</f>
        <v/>
      </c>
      <c r="J169">
        <f>IF(G169="PUBLICA(1)",1,IF(G169="USO INTERNO(2)",2,IF(G169="RESTRINGIDO(3)",3,0)))+IF(H169="BAJA(1)",1,IF(H169="MEDIA(2)",2,IF(H169="ALTA(3)",3,0)))+IF(I169="BAJA(1)",1,IF(I169="MEDIA(2)",2,IF(I169="ALTA(3)",3,0)))</f>
        <v/>
      </c>
      <c r="K169">
        <f>IF(J169="", "", IF(J169&gt;=8,"ALTA",IF(J169&gt;=6,"MEDIA","BAJA")))</f>
        <v/>
      </c>
      <c r="L169">
        <f>IF(INVENTARIO!Y169="","",INVENTARIO!Y169)</f>
        <v/>
      </c>
      <c r="M169">
        <f>IF(INVENTARIO!Z169="","",INVENTARIO!Z169)</f>
        <v/>
      </c>
      <c r="N169">
        <f>IF(INVENTARIO!AA169="","",INVENTARIO!AA169)</f>
        <v/>
      </c>
      <c r="O169">
        <f>IF(INVENTARIO!AB169="","",INVENTARIO!AB169)</f>
        <v/>
      </c>
      <c r="P169">
        <f>IF(INVENTARIO!AC169="","",INVENTARIO!AC169)</f>
        <v/>
      </c>
      <c r="Q169">
        <f>IF(AND(K169="",N169="",L169=""),"",IF(AND((K169="ALTA"),OR(LEFT(N169,2)="L0",LEFT(N169,2)="L1",L169="No Iniciado")),"CRÍTICO - Incumplimiento Normativo SEPS",IF(AND(OR(LEFT(N169,2)="L4",LEFT(N169,2)="L5"),AND(P169&lt;&gt;"",P169&lt;&gt;"N/A")),"CONFORME - Control Efectivo ISO 27001","OBSERVACIÓN - Revisar Controles")))</f>
        <v/>
      </c>
    </row>
    <row r="170">
      <c r="A170">
        <f>IF(INVENTARIO!A170="","",INVENTARIO!A170)</f>
        <v/>
      </c>
      <c r="B170">
        <f>IF(INVENTARIO!E170="","",INVENTARIO!E170)</f>
        <v/>
      </c>
      <c r="C170">
        <f>IF(INVENTARIO!F170="","",INVENTARIO!F170)</f>
        <v/>
      </c>
      <c r="D170">
        <f>IF(INVENTARIO!H170="","",INVENTARIO!H170)</f>
        <v/>
      </c>
      <c r="E170">
        <f>IF(INVENTARIO!I170="","",INVENTARIO!I170)</f>
        <v/>
      </c>
      <c r="F170">
        <f>IF(INVENTARIO!N170="","",INVENTARIO!N170)</f>
        <v/>
      </c>
      <c r="G170">
        <f>IF(INVENTARIO!P170="","",INVENTARIO!P170)</f>
        <v/>
      </c>
      <c r="H170">
        <f>IF(INVENTARIO!Q170="","",INVENTARIO!Q170)</f>
        <v/>
      </c>
      <c r="I170">
        <f>IF(INVENTARIO!R170="","",INVENTARIO!R170)</f>
        <v/>
      </c>
      <c r="J170">
        <f>IF(G170="PUBLICA(1)",1,IF(G170="USO INTERNO(2)",2,IF(G170="RESTRINGIDO(3)",3,0)))+IF(H170="BAJA(1)",1,IF(H170="MEDIA(2)",2,IF(H170="ALTA(3)",3,0)))+IF(I170="BAJA(1)",1,IF(I170="MEDIA(2)",2,IF(I170="ALTA(3)",3,0)))</f>
        <v/>
      </c>
      <c r="K170">
        <f>IF(J170="", "", IF(J170&gt;=8,"ALTA",IF(J170&gt;=6,"MEDIA","BAJA")))</f>
        <v/>
      </c>
      <c r="L170">
        <f>IF(INVENTARIO!Y170="","",INVENTARIO!Y170)</f>
        <v/>
      </c>
      <c r="M170">
        <f>IF(INVENTARIO!Z170="","",INVENTARIO!Z170)</f>
        <v/>
      </c>
      <c r="N170">
        <f>IF(INVENTARIO!AA170="","",INVENTARIO!AA170)</f>
        <v/>
      </c>
      <c r="O170">
        <f>IF(INVENTARIO!AB170="","",INVENTARIO!AB170)</f>
        <v/>
      </c>
      <c r="P170">
        <f>IF(INVENTARIO!AC170="","",INVENTARIO!AC170)</f>
        <v/>
      </c>
      <c r="Q170">
        <f>IF(AND(K170="",N170="",L170=""),"",IF(AND((K170="ALTA"),OR(LEFT(N170,2)="L0",LEFT(N170,2)="L1",L170="No Iniciado")),"CRÍTICO - Incumplimiento Normativo SEPS",IF(AND(OR(LEFT(N170,2)="L4",LEFT(N170,2)="L5"),AND(P170&lt;&gt;"",P170&lt;&gt;"N/A")),"CONFORME - Control Efectivo ISO 27001","OBSERVACIÓN - Revisar Controles")))</f>
        <v/>
      </c>
    </row>
    <row r="171">
      <c r="A171">
        <f>IF(INVENTARIO!A171="","",INVENTARIO!A171)</f>
        <v/>
      </c>
      <c r="B171">
        <f>IF(INVENTARIO!E171="","",INVENTARIO!E171)</f>
        <v/>
      </c>
      <c r="C171">
        <f>IF(INVENTARIO!F171="","",INVENTARIO!F171)</f>
        <v/>
      </c>
      <c r="D171">
        <f>IF(INVENTARIO!H171="","",INVENTARIO!H171)</f>
        <v/>
      </c>
      <c r="E171">
        <f>IF(INVENTARIO!I171="","",INVENTARIO!I171)</f>
        <v/>
      </c>
      <c r="F171">
        <f>IF(INVENTARIO!N171="","",INVENTARIO!N171)</f>
        <v/>
      </c>
      <c r="G171">
        <f>IF(INVENTARIO!P171="","",INVENTARIO!P171)</f>
        <v/>
      </c>
      <c r="H171">
        <f>IF(INVENTARIO!Q171="","",INVENTARIO!Q171)</f>
        <v/>
      </c>
      <c r="I171">
        <f>IF(INVENTARIO!R171="","",INVENTARIO!R171)</f>
        <v/>
      </c>
      <c r="J171">
        <f>IF(G171="PUBLICA(1)",1,IF(G171="USO INTERNO(2)",2,IF(G171="RESTRINGIDO(3)",3,0)))+IF(H171="BAJA(1)",1,IF(H171="MEDIA(2)",2,IF(H171="ALTA(3)",3,0)))+IF(I171="BAJA(1)",1,IF(I171="MEDIA(2)",2,IF(I171="ALTA(3)",3,0)))</f>
        <v/>
      </c>
      <c r="K171">
        <f>IF(J171="", "", IF(J171&gt;=8,"ALTA",IF(J171&gt;=6,"MEDIA","BAJA")))</f>
        <v/>
      </c>
      <c r="L171">
        <f>IF(INVENTARIO!Y171="","",INVENTARIO!Y171)</f>
        <v/>
      </c>
      <c r="M171">
        <f>IF(INVENTARIO!Z171="","",INVENTARIO!Z171)</f>
        <v/>
      </c>
      <c r="N171">
        <f>IF(INVENTARIO!AA171="","",INVENTARIO!AA171)</f>
        <v/>
      </c>
      <c r="O171">
        <f>IF(INVENTARIO!AB171="","",INVENTARIO!AB171)</f>
        <v/>
      </c>
      <c r="P171">
        <f>IF(INVENTARIO!AC171="","",INVENTARIO!AC171)</f>
        <v/>
      </c>
      <c r="Q171">
        <f>IF(AND(K171="",N171="",L171=""),"",IF(AND((K171="ALTA"),OR(LEFT(N171,2)="L0",LEFT(N171,2)="L1",L171="No Iniciado")),"CRÍTICO - Incumplimiento Normativo SEPS",IF(AND(OR(LEFT(N171,2)="L4",LEFT(N171,2)="L5"),AND(P171&lt;&gt;"",P171&lt;&gt;"N/A")),"CONFORME - Control Efectivo ISO 27001","OBSERVACIÓN - Revisar Controles")))</f>
        <v/>
      </c>
    </row>
    <row r="172">
      <c r="A172">
        <f>IF(INVENTARIO!A172="","",INVENTARIO!A172)</f>
        <v/>
      </c>
      <c r="B172">
        <f>IF(INVENTARIO!E172="","",INVENTARIO!E172)</f>
        <v/>
      </c>
      <c r="C172">
        <f>IF(INVENTARIO!F172="","",INVENTARIO!F172)</f>
        <v/>
      </c>
      <c r="D172">
        <f>IF(INVENTARIO!H172="","",INVENTARIO!H172)</f>
        <v/>
      </c>
      <c r="E172">
        <f>IF(INVENTARIO!I172="","",INVENTARIO!I172)</f>
        <v/>
      </c>
      <c r="F172">
        <f>IF(INVENTARIO!N172="","",INVENTARIO!N172)</f>
        <v/>
      </c>
      <c r="G172">
        <f>IF(INVENTARIO!P172="","",INVENTARIO!P172)</f>
        <v/>
      </c>
      <c r="H172">
        <f>IF(INVENTARIO!Q172="","",INVENTARIO!Q172)</f>
        <v/>
      </c>
      <c r="I172">
        <f>IF(INVENTARIO!R172="","",INVENTARIO!R172)</f>
        <v/>
      </c>
      <c r="J172">
        <f>IF(G172="PUBLICA(1)",1,IF(G172="USO INTERNO(2)",2,IF(G172="RESTRINGIDO(3)",3,0)))+IF(H172="BAJA(1)",1,IF(H172="MEDIA(2)",2,IF(H172="ALTA(3)",3,0)))+IF(I172="BAJA(1)",1,IF(I172="MEDIA(2)",2,IF(I172="ALTA(3)",3,0)))</f>
        <v/>
      </c>
      <c r="K172">
        <f>IF(J172="", "", IF(J172&gt;=8,"ALTA",IF(J172&gt;=6,"MEDIA","BAJA")))</f>
        <v/>
      </c>
      <c r="L172">
        <f>IF(INVENTARIO!Y172="","",INVENTARIO!Y172)</f>
        <v/>
      </c>
      <c r="M172">
        <f>IF(INVENTARIO!Z172="","",INVENTARIO!Z172)</f>
        <v/>
      </c>
      <c r="N172">
        <f>IF(INVENTARIO!AA172="","",INVENTARIO!AA172)</f>
        <v/>
      </c>
      <c r="O172">
        <f>IF(INVENTARIO!AB172="","",INVENTARIO!AB172)</f>
        <v/>
      </c>
      <c r="P172">
        <f>IF(INVENTARIO!AC172="","",INVENTARIO!AC172)</f>
        <v/>
      </c>
      <c r="Q172">
        <f>IF(AND(K172="",N172="",L172=""),"",IF(AND((K172="ALTA"),OR(LEFT(N172,2)="L0",LEFT(N172,2)="L1",L172="No Iniciado")),"CRÍTICO - Incumplimiento Normativo SEPS",IF(AND(OR(LEFT(N172,2)="L4",LEFT(N172,2)="L5"),AND(P172&lt;&gt;"",P172&lt;&gt;"N/A")),"CONFORME - Control Efectivo ISO 27001","OBSERVACIÓN - Revisar Controles")))</f>
        <v/>
      </c>
    </row>
    <row r="173">
      <c r="A173">
        <f>IF(INVENTARIO!A173="","",INVENTARIO!A173)</f>
        <v/>
      </c>
      <c r="B173">
        <f>IF(INVENTARIO!E173="","",INVENTARIO!E173)</f>
        <v/>
      </c>
      <c r="C173">
        <f>IF(INVENTARIO!F173="","",INVENTARIO!F173)</f>
        <v/>
      </c>
      <c r="D173">
        <f>IF(INVENTARIO!H173="","",INVENTARIO!H173)</f>
        <v/>
      </c>
      <c r="E173">
        <f>IF(INVENTARIO!I173="","",INVENTARIO!I173)</f>
        <v/>
      </c>
      <c r="F173">
        <f>IF(INVENTARIO!N173="","",INVENTARIO!N173)</f>
        <v/>
      </c>
      <c r="G173">
        <f>IF(INVENTARIO!P173="","",INVENTARIO!P173)</f>
        <v/>
      </c>
      <c r="H173">
        <f>IF(INVENTARIO!Q173="","",INVENTARIO!Q173)</f>
        <v/>
      </c>
      <c r="I173">
        <f>IF(INVENTARIO!R173="","",INVENTARIO!R173)</f>
        <v/>
      </c>
      <c r="J173">
        <f>IF(G173="PUBLICA(1)",1,IF(G173="USO INTERNO(2)",2,IF(G173="RESTRINGIDO(3)",3,0)))+IF(H173="BAJA(1)",1,IF(H173="MEDIA(2)",2,IF(H173="ALTA(3)",3,0)))+IF(I173="BAJA(1)",1,IF(I173="MEDIA(2)",2,IF(I173="ALTA(3)",3,0)))</f>
        <v/>
      </c>
      <c r="K173">
        <f>IF(J173="", "", IF(J173&gt;=8,"ALTA",IF(J173&gt;=6,"MEDIA","BAJA")))</f>
        <v/>
      </c>
      <c r="L173">
        <f>IF(INVENTARIO!Y173="","",INVENTARIO!Y173)</f>
        <v/>
      </c>
      <c r="M173">
        <f>IF(INVENTARIO!Z173="","",INVENTARIO!Z173)</f>
        <v/>
      </c>
      <c r="N173">
        <f>IF(INVENTARIO!AA173="","",INVENTARIO!AA173)</f>
        <v/>
      </c>
      <c r="O173">
        <f>IF(INVENTARIO!AB173="","",INVENTARIO!AB173)</f>
        <v/>
      </c>
      <c r="P173">
        <f>IF(INVENTARIO!AC173="","",INVENTARIO!AC173)</f>
        <v/>
      </c>
      <c r="Q173">
        <f>IF(AND(K173="",N173="",L173=""),"",IF(AND((K173="ALTA"),OR(LEFT(N173,2)="L0",LEFT(N173,2)="L1",L173="No Iniciado")),"CRÍTICO - Incumplimiento Normativo SEPS",IF(AND(OR(LEFT(N173,2)="L4",LEFT(N173,2)="L5"),AND(P173&lt;&gt;"",P173&lt;&gt;"N/A")),"CONFORME - Control Efectivo ISO 27001","OBSERVACIÓN - Revisar Controles")))</f>
        <v/>
      </c>
    </row>
    <row r="174">
      <c r="A174">
        <f>IF(INVENTARIO!A174="","",INVENTARIO!A174)</f>
        <v/>
      </c>
      <c r="B174">
        <f>IF(INVENTARIO!E174="","",INVENTARIO!E174)</f>
        <v/>
      </c>
      <c r="C174">
        <f>IF(INVENTARIO!F174="","",INVENTARIO!F174)</f>
        <v/>
      </c>
      <c r="D174">
        <f>IF(INVENTARIO!H174="","",INVENTARIO!H174)</f>
        <v/>
      </c>
      <c r="E174">
        <f>IF(INVENTARIO!I174="","",INVENTARIO!I174)</f>
        <v/>
      </c>
      <c r="F174">
        <f>IF(INVENTARIO!N174="","",INVENTARIO!N174)</f>
        <v/>
      </c>
      <c r="G174">
        <f>IF(INVENTARIO!P174="","",INVENTARIO!P174)</f>
        <v/>
      </c>
      <c r="H174">
        <f>IF(INVENTARIO!Q174="","",INVENTARIO!Q174)</f>
        <v/>
      </c>
      <c r="I174">
        <f>IF(INVENTARIO!R174="","",INVENTARIO!R174)</f>
        <v/>
      </c>
      <c r="J174">
        <f>IF(G174="PUBLICA(1)",1,IF(G174="USO INTERNO(2)",2,IF(G174="RESTRINGIDO(3)",3,0)))+IF(H174="BAJA(1)",1,IF(H174="MEDIA(2)",2,IF(H174="ALTA(3)",3,0)))+IF(I174="BAJA(1)",1,IF(I174="MEDIA(2)",2,IF(I174="ALTA(3)",3,0)))</f>
        <v/>
      </c>
      <c r="K174">
        <f>IF(J174="", "", IF(J174&gt;=8,"ALTA",IF(J174&gt;=6,"MEDIA","BAJA")))</f>
        <v/>
      </c>
      <c r="L174">
        <f>IF(INVENTARIO!Y174="","",INVENTARIO!Y174)</f>
        <v/>
      </c>
      <c r="M174">
        <f>IF(INVENTARIO!Z174="","",INVENTARIO!Z174)</f>
        <v/>
      </c>
      <c r="N174">
        <f>IF(INVENTARIO!AA174="","",INVENTARIO!AA174)</f>
        <v/>
      </c>
      <c r="O174">
        <f>IF(INVENTARIO!AB174="","",INVENTARIO!AB174)</f>
        <v/>
      </c>
      <c r="P174">
        <f>IF(INVENTARIO!AC174="","",INVENTARIO!AC174)</f>
        <v/>
      </c>
      <c r="Q174">
        <f>IF(AND(K174="",N174="",L174=""),"",IF(AND((K174="ALTA"),OR(LEFT(N174,2)="L0",LEFT(N174,2)="L1",L174="No Iniciado")),"CRÍTICO - Incumplimiento Normativo SEPS",IF(AND(OR(LEFT(N174,2)="L4",LEFT(N174,2)="L5"),AND(P174&lt;&gt;"",P174&lt;&gt;"N/A")),"CONFORME - Control Efectivo ISO 27001","OBSERVACIÓN - Revisar Controles")))</f>
        <v/>
      </c>
    </row>
    <row r="175">
      <c r="A175">
        <f>IF(INVENTARIO!A175="","",INVENTARIO!A175)</f>
        <v/>
      </c>
      <c r="B175">
        <f>IF(INVENTARIO!E175="","",INVENTARIO!E175)</f>
        <v/>
      </c>
      <c r="C175">
        <f>IF(INVENTARIO!F175="","",INVENTARIO!F175)</f>
        <v/>
      </c>
      <c r="D175">
        <f>IF(INVENTARIO!H175="","",INVENTARIO!H175)</f>
        <v/>
      </c>
      <c r="E175">
        <f>IF(INVENTARIO!I175="","",INVENTARIO!I175)</f>
        <v/>
      </c>
      <c r="F175">
        <f>IF(INVENTARIO!N175="","",INVENTARIO!N175)</f>
        <v/>
      </c>
      <c r="G175">
        <f>IF(INVENTARIO!P175="","",INVENTARIO!P175)</f>
        <v/>
      </c>
      <c r="H175">
        <f>IF(INVENTARIO!Q175="","",INVENTARIO!Q175)</f>
        <v/>
      </c>
      <c r="I175">
        <f>IF(INVENTARIO!R175="","",INVENTARIO!R175)</f>
        <v/>
      </c>
      <c r="J175">
        <f>IF(G175="PUBLICA(1)",1,IF(G175="USO INTERNO(2)",2,IF(G175="RESTRINGIDO(3)",3,0)))+IF(H175="BAJA(1)",1,IF(H175="MEDIA(2)",2,IF(H175="ALTA(3)",3,0)))+IF(I175="BAJA(1)",1,IF(I175="MEDIA(2)",2,IF(I175="ALTA(3)",3,0)))</f>
        <v/>
      </c>
      <c r="K175">
        <f>IF(J175="", "", IF(J175&gt;=8,"ALTA",IF(J175&gt;=6,"MEDIA","BAJA")))</f>
        <v/>
      </c>
      <c r="L175">
        <f>IF(INVENTARIO!Y175="","",INVENTARIO!Y175)</f>
        <v/>
      </c>
      <c r="M175">
        <f>IF(INVENTARIO!Z175="","",INVENTARIO!Z175)</f>
        <v/>
      </c>
      <c r="N175">
        <f>IF(INVENTARIO!AA175="","",INVENTARIO!AA175)</f>
        <v/>
      </c>
      <c r="O175">
        <f>IF(INVENTARIO!AB175="","",INVENTARIO!AB175)</f>
        <v/>
      </c>
      <c r="P175">
        <f>IF(INVENTARIO!AC175="","",INVENTARIO!AC175)</f>
        <v/>
      </c>
      <c r="Q175">
        <f>IF(AND(K175="",N175="",L175=""),"",IF(AND((K175="ALTA"),OR(LEFT(N175,2)="L0",LEFT(N175,2)="L1",L175="No Iniciado")),"CRÍTICO - Incumplimiento Normativo SEPS",IF(AND(OR(LEFT(N175,2)="L4",LEFT(N175,2)="L5"),AND(P175&lt;&gt;"",P175&lt;&gt;"N/A")),"CONFORME - Control Efectivo ISO 27001","OBSERVACIÓN - Revisar Controles")))</f>
        <v/>
      </c>
    </row>
    <row r="176">
      <c r="A176">
        <f>IF(INVENTARIO!A176="","",INVENTARIO!A176)</f>
        <v/>
      </c>
      <c r="B176">
        <f>IF(INVENTARIO!E176="","",INVENTARIO!E176)</f>
        <v/>
      </c>
      <c r="C176">
        <f>IF(INVENTARIO!F176="","",INVENTARIO!F176)</f>
        <v/>
      </c>
      <c r="D176">
        <f>IF(INVENTARIO!H176="","",INVENTARIO!H176)</f>
        <v/>
      </c>
      <c r="E176">
        <f>IF(INVENTARIO!I176="","",INVENTARIO!I176)</f>
        <v/>
      </c>
      <c r="F176">
        <f>IF(INVENTARIO!N176="","",INVENTARIO!N176)</f>
        <v/>
      </c>
      <c r="G176">
        <f>IF(INVENTARIO!P176="","",INVENTARIO!P176)</f>
        <v/>
      </c>
      <c r="H176">
        <f>IF(INVENTARIO!Q176="","",INVENTARIO!Q176)</f>
        <v/>
      </c>
      <c r="I176">
        <f>IF(INVENTARIO!R176="","",INVENTARIO!R176)</f>
        <v/>
      </c>
      <c r="J176">
        <f>IF(G176="PUBLICA(1)",1,IF(G176="USO INTERNO(2)",2,IF(G176="RESTRINGIDO(3)",3,0)))+IF(H176="BAJA(1)",1,IF(H176="MEDIA(2)",2,IF(H176="ALTA(3)",3,0)))+IF(I176="BAJA(1)",1,IF(I176="MEDIA(2)",2,IF(I176="ALTA(3)",3,0)))</f>
        <v/>
      </c>
      <c r="K176">
        <f>IF(J176="", "", IF(J176&gt;=8,"ALTA",IF(J176&gt;=6,"MEDIA","BAJA")))</f>
        <v/>
      </c>
      <c r="L176">
        <f>IF(INVENTARIO!Y176="","",INVENTARIO!Y176)</f>
        <v/>
      </c>
      <c r="M176">
        <f>IF(INVENTARIO!Z176="","",INVENTARIO!Z176)</f>
        <v/>
      </c>
      <c r="N176">
        <f>IF(INVENTARIO!AA176="","",INVENTARIO!AA176)</f>
        <v/>
      </c>
      <c r="O176">
        <f>IF(INVENTARIO!AB176="","",INVENTARIO!AB176)</f>
        <v/>
      </c>
      <c r="P176">
        <f>IF(INVENTARIO!AC176="","",INVENTARIO!AC176)</f>
        <v/>
      </c>
      <c r="Q176">
        <f>IF(AND(K176="",N176="",L176=""),"",IF(AND((K176="ALTA"),OR(LEFT(N176,2)="L0",LEFT(N176,2)="L1",L176="No Iniciado")),"CRÍTICO - Incumplimiento Normativo SEPS",IF(AND(OR(LEFT(N176,2)="L4",LEFT(N176,2)="L5"),AND(P176&lt;&gt;"",P176&lt;&gt;"N/A")),"CONFORME - Control Efectivo ISO 27001","OBSERVACIÓN - Revisar Controles")))</f>
        <v/>
      </c>
    </row>
    <row r="177">
      <c r="A177">
        <f>IF(INVENTARIO!A177="","",INVENTARIO!A177)</f>
        <v/>
      </c>
      <c r="B177">
        <f>IF(INVENTARIO!E177="","",INVENTARIO!E177)</f>
        <v/>
      </c>
      <c r="C177">
        <f>IF(INVENTARIO!F177="","",INVENTARIO!F177)</f>
        <v/>
      </c>
      <c r="D177">
        <f>IF(INVENTARIO!H177="","",INVENTARIO!H177)</f>
        <v/>
      </c>
      <c r="E177">
        <f>IF(INVENTARIO!I177="","",INVENTARIO!I177)</f>
        <v/>
      </c>
      <c r="F177">
        <f>IF(INVENTARIO!N177="","",INVENTARIO!N177)</f>
        <v/>
      </c>
      <c r="G177">
        <f>IF(INVENTARIO!P177="","",INVENTARIO!P177)</f>
        <v/>
      </c>
      <c r="H177">
        <f>IF(INVENTARIO!Q177="","",INVENTARIO!Q177)</f>
        <v/>
      </c>
      <c r="I177">
        <f>IF(INVENTARIO!R177="","",INVENTARIO!R177)</f>
        <v/>
      </c>
      <c r="J177">
        <f>IF(G177="PUBLICA(1)",1,IF(G177="USO INTERNO(2)",2,IF(G177="RESTRINGIDO(3)",3,0)))+IF(H177="BAJA(1)",1,IF(H177="MEDIA(2)",2,IF(H177="ALTA(3)",3,0)))+IF(I177="BAJA(1)",1,IF(I177="MEDIA(2)",2,IF(I177="ALTA(3)",3,0)))</f>
        <v/>
      </c>
      <c r="K177">
        <f>IF(J177="", "", IF(J177&gt;=8,"ALTA",IF(J177&gt;=6,"MEDIA","BAJA")))</f>
        <v/>
      </c>
      <c r="L177">
        <f>IF(INVENTARIO!Y177="","",INVENTARIO!Y177)</f>
        <v/>
      </c>
      <c r="M177">
        <f>IF(INVENTARIO!Z177="","",INVENTARIO!Z177)</f>
        <v/>
      </c>
      <c r="N177">
        <f>IF(INVENTARIO!AA177="","",INVENTARIO!AA177)</f>
        <v/>
      </c>
      <c r="O177">
        <f>IF(INVENTARIO!AB177="","",INVENTARIO!AB177)</f>
        <v/>
      </c>
      <c r="P177">
        <f>IF(INVENTARIO!AC177="","",INVENTARIO!AC177)</f>
        <v/>
      </c>
      <c r="Q177">
        <f>IF(AND(K177="",N177="",L177=""),"",IF(AND((K177="ALTA"),OR(LEFT(N177,2)="L0",LEFT(N177,2)="L1",L177="No Iniciado")),"CRÍTICO - Incumplimiento Normativo SEPS",IF(AND(OR(LEFT(N177,2)="L4",LEFT(N177,2)="L5"),AND(P177&lt;&gt;"",P177&lt;&gt;"N/A")),"CONFORME - Control Efectivo ISO 27001","OBSERVACIÓN - Revisar Controles")))</f>
        <v/>
      </c>
    </row>
    <row r="178">
      <c r="A178">
        <f>IF(INVENTARIO!A178="","",INVENTARIO!A178)</f>
        <v/>
      </c>
      <c r="B178">
        <f>IF(INVENTARIO!E178="","",INVENTARIO!E178)</f>
        <v/>
      </c>
      <c r="C178">
        <f>IF(INVENTARIO!F178="","",INVENTARIO!F178)</f>
        <v/>
      </c>
      <c r="D178">
        <f>IF(INVENTARIO!H178="","",INVENTARIO!H178)</f>
        <v/>
      </c>
      <c r="E178">
        <f>IF(INVENTARIO!I178="","",INVENTARIO!I178)</f>
        <v/>
      </c>
      <c r="F178">
        <f>IF(INVENTARIO!N178="","",INVENTARIO!N178)</f>
        <v/>
      </c>
      <c r="G178">
        <f>IF(INVENTARIO!P178="","",INVENTARIO!P178)</f>
        <v/>
      </c>
      <c r="H178">
        <f>IF(INVENTARIO!Q178="","",INVENTARIO!Q178)</f>
        <v/>
      </c>
      <c r="I178">
        <f>IF(INVENTARIO!R178="","",INVENTARIO!R178)</f>
        <v/>
      </c>
      <c r="J178">
        <f>IF(G178="PUBLICA(1)",1,IF(G178="USO INTERNO(2)",2,IF(G178="RESTRINGIDO(3)",3,0)))+IF(H178="BAJA(1)",1,IF(H178="MEDIA(2)",2,IF(H178="ALTA(3)",3,0)))+IF(I178="BAJA(1)",1,IF(I178="MEDIA(2)",2,IF(I178="ALTA(3)",3,0)))</f>
        <v/>
      </c>
      <c r="K178">
        <f>IF(J178="", "", IF(J178&gt;=8,"ALTA",IF(J178&gt;=6,"MEDIA","BAJA")))</f>
        <v/>
      </c>
      <c r="L178">
        <f>IF(INVENTARIO!Y178="","",INVENTARIO!Y178)</f>
        <v/>
      </c>
      <c r="M178">
        <f>IF(INVENTARIO!Z178="","",INVENTARIO!Z178)</f>
        <v/>
      </c>
      <c r="N178">
        <f>IF(INVENTARIO!AA178="","",INVENTARIO!AA178)</f>
        <v/>
      </c>
      <c r="O178">
        <f>IF(INVENTARIO!AB178="","",INVENTARIO!AB178)</f>
        <v/>
      </c>
      <c r="P178">
        <f>IF(INVENTARIO!AC178="","",INVENTARIO!AC178)</f>
        <v/>
      </c>
      <c r="Q178">
        <f>IF(AND(K178="",N178="",L178=""),"",IF(AND((K178="ALTA"),OR(LEFT(N178,2)="L0",LEFT(N178,2)="L1",L178="No Iniciado")),"CRÍTICO - Incumplimiento Normativo SEPS",IF(AND(OR(LEFT(N178,2)="L4",LEFT(N178,2)="L5"),AND(P178&lt;&gt;"",P178&lt;&gt;"N/A")),"CONFORME - Control Efectivo ISO 27001","OBSERVACIÓN - Revisar Controles")))</f>
        <v/>
      </c>
    </row>
    <row r="179">
      <c r="A179">
        <f>IF(INVENTARIO!A179="","",INVENTARIO!A179)</f>
        <v/>
      </c>
      <c r="B179">
        <f>IF(INVENTARIO!E179="","",INVENTARIO!E179)</f>
        <v/>
      </c>
      <c r="C179">
        <f>IF(INVENTARIO!F179="","",INVENTARIO!F179)</f>
        <v/>
      </c>
      <c r="D179">
        <f>IF(INVENTARIO!H179="","",INVENTARIO!H179)</f>
        <v/>
      </c>
      <c r="E179">
        <f>IF(INVENTARIO!I179="","",INVENTARIO!I179)</f>
        <v/>
      </c>
      <c r="F179">
        <f>IF(INVENTARIO!N179="","",INVENTARIO!N179)</f>
        <v/>
      </c>
      <c r="G179">
        <f>IF(INVENTARIO!P179="","",INVENTARIO!P179)</f>
        <v/>
      </c>
      <c r="H179">
        <f>IF(INVENTARIO!Q179="","",INVENTARIO!Q179)</f>
        <v/>
      </c>
      <c r="I179">
        <f>IF(INVENTARIO!R179="","",INVENTARIO!R179)</f>
        <v/>
      </c>
      <c r="J179">
        <f>IF(G179="PUBLICA(1)",1,IF(G179="USO INTERNO(2)",2,IF(G179="RESTRINGIDO(3)",3,0)))+IF(H179="BAJA(1)",1,IF(H179="MEDIA(2)",2,IF(H179="ALTA(3)",3,0)))+IF(I179="BAJA(1)",1,IF(I179="MEDIA(2)",2,IF(I179="ALTA(3)",3,0)))</f>
        <v/>
      </c>
      <c r="K179">
        <f>IF(J179="", "", IF(J179&gt;=8,"ALTA",IF(J179&gt;=6,"MEDIA","BAJA")))</f>
        <v/>
      </c>
      <c r="L179">
        <f>IF(INVENTARIO!Y179="","",INVENTARIO!Y179)</f>
        <v/>
      </c>
      <c r="M179">
        <f>IF(INVENTARIO!Z179="","",INVENTARIO!Z179)</f>
        <v/>
      </c>
      <c r="N179">
        <f>IF(INVENTARIO!AA179="","",INVENTARIO!AA179)</f>
        <v/>
      </c>
      <c r="O179">
        <f>IF(INVENTARIO!AB179="","",INVENTARIO!AB179)</f>
        <v/>
      </c>
      <c r="P179">
        <f>IF(INVENTARIO!AC179="","",INVENTARIO!AC179)</f>
        <v/>
      </c>
      <c r="Q179">
        <f>IF(AND(K179="",N179="",L179=""),"",IF(AND((K179="ALTA"),OR(LEFT(N179,2)="L0",LEFT(N179,2)="L1",L179="No Iniciado")),"CRÍTICO - Incumplimiento Normativo SEPS",IF(AND(OR(LEFT(N179,2)="L4",LEFT(N179,2)="L5"),AND(P179&lt;&gt;"",P179&lt;&gt;"N/A")),"CONFORME - Control Efectivo ISO 27001","OBSERVACIÓN - Revisar Controles")))</f>
        <v/>
      </c>
    </row>
    <row r="180">
      <c r="A180">
        <f>IF(INVENTARIO!A180="","",INVENTARIO!A180)</f>
        <v/>
      </c>
      <c r="B180">
        <f>IF(INVENTARIO!E180="","",INVENTARIO!E180)</f>
        <v/>
      </c>
      <c r="C180">
        <f>IF(INVENTARIO!F180="","",INVENTARIO!F180)</f>
        <v/>
      </c>
      <c r="D180">
        <f>IF(INVENTARIO!H180="","",INVENTARIO!H180)</f>
        <v/>
      </c>
      <c r="E180">
        <f>IF(INVENTARIO!I180="","",INVENTARIO!I180)</f>
        <v/>
      </c>
      <c r="F180">
        <f>IF(INVENTARIO!N180="","",INVENTARIO!N180)</f>
        <v/>
      </c>
      <c r="G180">
        <f>IF(INVENTARIO!P180="","",INVENTARIO!P180)</f>
        <v/>
      </c>
      <c r="H180">
        <f>IF(INVENTARIO!Q180="","",INVENTARIO!Q180)</f>
        <v/>
      </c>
      <c r="I180">
        <f>IF(INVENTARIO!R180="","",INVENTARIO!R180)</f>
        <v/>
      </c>
      <c r="J180">
        <f>IF(G180="PUBLICA(1)",1,IF(G180="USO INTERNO(2)",2,IF(G180="RESTRINGIDO(3)",3,0)))+IF(H180="BAJA(1)",1,IF(H180="MEDIA(2)",2,IF(H180="ALTA(3)",3,0)))+IF(I180="BAJA(1)",1,IF(I180="MEDIA(2)",2,IF(I180="ALTA(3)",3,0)))</f>
        <v/>
      </c>
      <c r="K180">
        <f>IF(J180="", "", IF(J180&gt;=8,"ALTA",IF(J180&gt;=6,"MEDIA","BAJA")))</f>
        <v/>
      </c>
      <c r="L180">
        <f>IF(INVENTARIO!Y180="","",INVENTARIO!Y180)</f>
        <v/>
      </c>
      <c r="M180">
        <f>IF(INVENTARIO!Z180="","",INVENTARIO!Z180)</f>
        <v/>
      </c>
      <c r="N180">
        <f>IF(INVENTARIO!AA180="","",INVENTARIO!AA180)</f>
        <v/>
      </c>
      <c r="O180">
        <f>IF(INVENTARIO!AB180="","",INVENTARIO!AB180)</f>
        <v/>
      </c>
      <c r="P180">
        <f>IF(INVENTARIO!AC180="","",INVENTARIO!AC180)</f>
        <v/>
      </c>
      <c r="Q180">
        <f>IF(AND(K180="",N180="",L180=""),"",IF(AND((K180="ALTA"),OR(LEFT(N180,2)="L0",LEFT(N180,2)="L1",L180="No Iniciado")),"CRÍTICO - Incumplimiento Normativo SEPS",IF(AND(OR(LEFT(N180,2)="L4",LEFT(N180,2)="L5"),AND(P180&lt;&gt;"",P180&lt;&gt;"N/A")),"CONFORME - Control Efectivo ISO 27001","OBSERVACIÓN - Revisar Controles")))</f>
        <v/>
      </c>
    </row>
    <row r="181">
      <c r="A181">
        <f>IF(INVENTARIO!A181="","",INVENTARIO!A181)</f>
        <v/>
      </c>
      <c r="B181">
        <f>IF(INVENTARIO!E181="","",INVENTARIO!E181)</f>
        <v/>
      </c>
      <c r="C181">
        <f>IF(INVENTARIO!F181="","",INVENTARIO!F181)</f>
        <v/>
      </c>
      <c r="D181">
        <f>IF(INVENTARIO!H181="","",INVENTARIO!H181)</f>
        <v/>
      </c>
      <c r="E181">
        <f>IF(INVENTARIO!I181="","",INVENTARIO!I181)</f>
        <v/>
      </c>
      <c r="F181">
        <f>IF(INVENTARIO!N181="","",INVENTARIO!N181)</f>
        <v/>
      </c>
      <c r="G181">
        <f>IF(INVENTARIO!P181="","",INVENTARIO!P181)</f>
        <v/>
      </c>
      <c r="H181">
        <f>IF(INVENTARIO!Q181="","",INVENTARIO!Q181)</f>
        <v/>
      </c>
      <c r="I181">
        <f>IF(INVENTARIO!R181="","",INVENTARIO!R181)</f>
        <v/>
      </c>
      <c r="J181">
        <f>IF(G181="PUBLICA(1)",1,IF(G181="USO INTERNO(2)",2,IF(G181="RESTRINGIDO(3)",3,0)))+IF(H181="BAJA(1)",1,IF(H181="MEDIA(2)",2,IF(H181="ALTA(3)",3,0)))+IF(I181="BAJA(1)",1,IF(I181="MEDIA(2)",2,IF(I181="ALTA(3)",3,0)))</f>
        <v/>
      </c>
      <c r="K181">
        <f>IF(J181="", "", IF(J181&gt;=8,"ALTA",IF(J181&gt;=6,"MEDIA","BAJA")))</f>
        <v/>
      </c>
      <c r="L181">
        <f>IF(INVENTARIO!Y181="","",INVENTARIO!Y181)</f>
        <v/>
      </c>
      <c r="M181">
        <f>IF(INVENTARIO!Z181="","",INVENTARIO!Z181)</f>
        <v/>
      </c>
      <c r="N181">
        <f>IF(INVENTARIO!AA181="","",INVENTARIO!AA181)</f>
        <v/>
      </c>
      <c r="O181">
        <f>IF(INVENTARIO!AB181="","",INVENTARIO!AB181)</f>
        <v/>
      </c>
      <c r="P181">
        <f>IF(INVENTARIO!AC181="","",INVENTARIO!AC181)</f>
        <v/>
      </c>
      <c r="Q181">
        <f>IF(AND(K181="",N181="",L181=""),"",IF(AND((K181="ALTA"),OR(LEFT(N181,2)="L0",LEFT(N181,2)="L1",L181="No Iniciado")),"CRÍTICO - Incumplimiento Normativo SEPS",IF(AND(OR(LEFT(N181,2)="L4",LEFT(N181,2)="L5"),AND(P181&lt;&gt;"",P181&lt;&gt;"N/A")),"CONFORME - Control Efectivo ISO 27001","OBSERVACIÓN - Revisar Controles")))</f>
        <v/>
      </c>
    </row>
    <row r="182">
      <c r="A182">
        <f>IF(INVENTARIO!A182="","",INVENTARIO!A182)</f>
        <v/>
      </c>
      <c r="B182">
        <f>IF(INVENTARIO!E182="","",INVENTARIO!E182)</f>
        <v/>
      </c>
      <c r="C182">
        <f>IF(INVENTARIO!F182="","",INVENTARIO!F182)</f>
        <v/>
      </c>
      <c r="D182">
        <f>IF(INVENTARIO!H182="","",INVENTARIO!H182)</f>
        <v/>
      </c>
      <c r="E182">
        <f>IF(INVENTARIO!I182="","",INVENTARIO!I182)</f>
        <v/>
      </c>
      <c r="F182">
        <f>IF(INVENTARIO!N182="","",INVENTARIO!N182)</f>
        <v/>
      </c>
      <c r="G182">
        <f>IF(INVENTARIO!P182="","",INVENTARIO!P182)</f>
        <v/>
      </c>
      <c r="H182">
        <f>IF(INVENTARIO!Q182="","",INVENTARIO!Q182)</f>
        <v/>
      </c>
      <c r="I182">
        <f>IF(INVENTARIO!R182="","",INVENTARIO!R182)</f>
        <v/>
      </c>
      <c r="J182">
        <f>IF(G182="PUBLICA(1)",1,IF(G182="USO INTERNO(2)",2,IF(G182="RESTRINGIDO(3)",3,0)))+IF(H182="BAJA(1)",1,IF(H182="MEDIA(2)",2,IF(H182="ALTA(3)",3,0)))+IF(I182="BAJA(1)",1,IF(I182="MEDIA(2)",2,IF(I182="ALTA(3)",3,0)))</f>
        <v/>
      </c>
      <c r="K182">
        <f>IF(J182="", "", IF(J182&gt;=8,"ALTA",IF(J182&gt;=6,"MEDIA","BAJA")))</f>
        <v/>
      </c>
      <c r="L182">
        <f>IF(INVENTARIO!Y182="","",INVENTARIO!Y182)</f>
        <v/>
      </c>
      <c r="M182">
        <f>IF(INVENTARIO!Z182="","",INVENTARIO!Z182)</f>
        <v/>
      </c>
      <c r="N182">
        <f>IF(INVENTARIO!AA182="","",INVENTARIO!AA182)</f>
        <v/>
      </c>
      <c r="O182">
        <f>IF(INVENTARIO!AB182="","",INVENTARIO!AB182)</f>
        <v/>
      </c>
      <c r="P182">
        <f>IF(INVENTARIO!AC182="","",INVENTARIO!AC182)</f>
        <v/>
      </c>
      <c r="Q182">
        <f>IF(AND(K182="",N182="",L182=""),"",IF(AND((K182="ALTA"),OR(LEFT(N182,2)="L0",LEFT(N182,2)="L1",L182="No Iniciado")),"CRÍTICO - Incumplimiento Normativo SEPS",IF(AND(OR(LEFT(N182,2)="L4",LEFT(N182,2)="L5"),AND(P182&lt;&gt;"",P182&lt;&gt;"N/A")),"CONFORME - Control Efectivo ISO 27001","OBSERVACIÓN - Revisar Controles")))</f>
        <v/>
      </c>
    </row>
    <row r="183">
      <c r="A183">
        <f>IF(INVENTARIO!A183="","",INVENTARIO!A183)</f>
        <v/>
      </c>
      <c r="B183">
        <f>IF(INVENTARIO!E183="","",INVENTARIO!E183)</f>
        <v/>
      </c>
      <c r="C183">
        <f>IF(INVENTARIO!F183="","",INVENTARIO!F183)</f>
        <v/>
      </c>
      <c r="D183">
        <f>IF(INVENTARIO!H183="","",INVENTARIO!H183)</f>
        <v/>
      </c>
      <c r="E183">
        <f>IF(INVENTARIO!I183="","",INVENTARIO!I183)</f>
        <v/>
      </c>
      <c r="F183">
        <f>IF(INVENTARIO!N183="","",INVENTARIO!N183)</f>
        <v/>
      </c>
      <c r="G183">
        <f>IF(INVENTARIO!P183="","",INVENTARIO!P183)</f>
        <v/>
      </c>
      <c r="H183">
        <f>IF(INVENTARIO!Q183="","",INVENTARIO!Q183)</f>
        <v/>
      </c>
      <c r="I183">
        <f>IF(INVENTARIO!R183="","",INVENTARIO!R183)</f>
        <v/>
      </c>
      <c r="J183">
        <f>IF(G183="PUBLICA(1)",1,IF(G183="USO INTERNO(2)",2,IF(G183="RESTRINGIDO(3)",3,0)))+IF(H183="BAJA(1)",1,IF(H183="MEDIA(2)",2,IF(H183="ALTA(3)",3,0)))+IF(I183="BAJA(1)",1,IF(I183="MEDIA(2)",2,IF(I183="ALTA(3)",3,0)))</f>
        <v/>
      </c>
      <c r="K183">
        <f>IF(J183="", "", IF(J183&gt;=8,"ALTA",IF(J183&gt;=6,"MEDIA","BAJA")))</f>
        <v/>
      </c>
      <c r="L183">
        <f>IF(INVENTARIO!Y183="","",INVENTARIO!Y183)</f>
        <v/>
      </c>
      <c r="M183">
        <f>IF(INVENTARIO!Z183="","",INVENTARIO!Z183)</f>
        <v/>
      </c>
      <c r="N183">
        <f>IF(INVENTARIO!AA183="","",INVENTARIO!AA183)</f>
        <v/>
      </c>
      <c r="O183">
        <f>IF(INVENTARIO!AB183="","",INVENTARIO!AB183)</f>
        <v/>
      </c>
      <c r="P183">
        <f>IF(INVENTARIO!AC183="","",INVENTARIO!AC183)</f>
        <v/>
      </c>
      <c r="Q183">
        <f>IF(AND(K183="",N183="",L183=""),"",IF(AND((K183="ALTA"),OR(LEFT(N183,2)="L0",LEFT(N183,2)="L1",L183="No Iniciado")),"CRÍTICO - Incumplimiento Normativo SEPS",IF(AND(OR(LEFT(N183,2)="L4",LEFT(N183,2)="L5"),AND(P183&lt;&gt;"",P183&lt;&gt;"N/A")),"CONFORME - Control Efectivo ISO 27001","OBSERVACIÓN - Revisar Controles")))</f>
        <v/>
      </c>
    </row>
    <row r="184">
      <c r="A184">
        <f>IF(INVENTARIO!A184="","",INVENTARIO!A184)</f>
        <v/>
      </c>
      <c r="B184">
        <f>IF(INVENTARIO!E184="","",INVENTARIO!E184)</f>
        <v/>
      </c>
      <c r="C184">
        <f>IF(INVENTARIO!F184="","",INVENTARIO!F184)</f>
        <v/>
      </c>
      <c r="D184">
        <f>IF(INVENTARIO!H184="","",INVENTARIO!H184)</f>
        <v/>
      </c>
      <c r="E184">
        <f>IF(INVENTARIO!I184="","",INVENTARIO!I184)</f>
        <v/>
      </c>
      <c r="F184">
        <f>IF(INVENTARIO!N184="","",INVENTARIO!N184)</f>
        <v/>
      </c>
      <c r="G184">
        <f>IF(INVENTARIO!P184="","",INVENTARIO!P184)</f>
        <v/>
      </c>
      <c r="H184">
        <f>IF(INVENTARIO!Q184="","",INVENTARIO!Q184)</f>
        <v/>
      </c>
      <c r="I184">
        <f>IF(INVENTARIO!R184="","",INVENTARIO!R184)</f>
        <v/>
      </c>
      <c r="J184">
        <f>IF(G184="PUBLICA(1)",1,IF(G184="USO INTERNO(2)",2,IF(G184="RESTRINGIDO(3)",3,0)))+IF(H184="BAJA(1)",1,IF(H184="MEDIA(2)",2,IF(H184="ALTA(3)",3,0)))+IF(I184="BAJA(1)",1,IF(I184="MEDIA(2)",2,IF(I184="ALTA(3)",3,0)))</f>
        <v/>
      </c>
      <c r="K184">
        <f>IF(J184="", "", IF(J184&gt;=8,"ALTA",IF(J184&gt;=6,"MEDIA","BAJA")))</f>
        <v/>
      </c>
      <c r="L184">
        <f>IF(INVENTARIO!Y184="","",INVENTARIO!Y184)</f>
        <v/>
      </c>
      <c r="M184">
        <f>IF(INVENTARIO!Z184="","",INVENTARIO!Z184)</f>
        <v/>
      </c>
      <c r="N184">
        <f>IF(INVENTARIO!AA184="","",INVENTARIO!AA184)</f>
        <v/>
      </c>
      <c r="O184">
        <f>IF(INVENTARIO!AB184="","",INVENTARIO!AB184)</f>
        <v/>
      </c>
      <c r="P184">
        <f>IF(INVENTARIO!AC184="","",INVENTARIO!AC184)</f>
        <v/>
      </c>
      <c r="Q184">
        <f>IF(AND(K184="",N184="",L184=""),"",IF(AND((K184="ALTA"),OR(LEFT(N184,2)="L0",LEFT(N184,2)="L1",L184="No Iniciado")),"CRÍTICO - Incumplimiento Normativo SEPS",IF(AND(OR(LEFT(N184,2)="L4",LEFT(N184,2)="L5"),AND(P184&lt;&gt;"",P184&lt;&gt;"N/A")),"CONFORME - Control Efectivo ISO 27001","OBSERVACIÓN - Revisar Controles")))</f>
        <v/>
      </c>
    </row>
    <row r="185">
      <c r="A185">
        <f>IF(INVENTARIO!A185="","",INVENTARIO!A185)</f>
        <v/>
      </c>
      <c r="B185">
        <f>IF(INVENTARIO!E185="","",INVENTARIO!E185)</f>
        <v/>
      </c>
      <c r="C185">
        <f>IF(INVENTARIO!F185="","",INVENTARIO!F185)</f>
        <v/>
      </c>
      <c r="D185">
        <f>IF(INVENTARIO!H185="","",INVENTARIO!H185)</f>
        <v/>
      </c>
      <c r="E185">
        <f>IF(INVENTARIO!I185="","",INVENTARIO!I185)</f>
        <v/>
      </c>
      <c r="F185">
        <f>IF(INVENTARIO!N185="","",INVENTARIO!N185)</f>
        <v/>
      </c>
      <c r="G185">
        <f>IF(INVENTARIO!P185="","",INVENTARIO!P185)</f>
        <v/>
      </c>
      <c r="H185">
        <f>IF(INVENTARIO!Q185="","",INVENTARIO!Q185)</f>
        <v/>
      </c>
      <c r="I185">
        <f>IF(INVENTARIO!R185="","",INVENTARIO!R185)</f>
        <v/>
      </c>
      <c r="J185">
        <f>IF(G185="PUBLICA(1)",1,IF(G185="USO INTERNO(2)",2,IF(G185="RESTRINGIDO(3)",3,0)))+IF(H185="BAJA(1)",1,IF(H185="MEDIA(2)",2,IF(H185="ALTA(3)",3,0)))+IF(I185="BAJA(1)",1,IF(I185="MEDIA(2)",2,IF(I185="ALTA(3)",3,0)))</f>
        <v/>
      </c>
      <c r="K185">
        <f>IF(J185="", "", IF(J185&gt;=8,"ALTA",IF(J185&gt;=6,"MEDIA","BAJA")))</f>
        <v/>
      </c>
      <c r="L185">
        <f>IF(INVENTARIO!Y185="","",INVENTARIO!Y185)</f>
        <v/>
      </c>
      <c r="M185">
        <f>IF(INVENTARIO!Z185="","",INVENTARIO!Z185)</f>
        <v/>
      </c>
      <c r="N185">
        <f>IF(INVENTARIO!AA185="","",INVENTARIO!AA185)</f>
        <v/>
      </c>
      <c r="O185">
        <f>IF(INVENTARIO!AB185="","",INVENTARIO!AB185)</f>
        <v/>
      </c>
      <c r="P185">
        <f>IF(INVENTARIO!AC185="","",INVENTARIO!AC185)</f>
        <v/>
      </c>
      <c r="Q185">
        <f>IF(AND(K185="",N185="",L185=""),"",IF(AND((K185="ALTA"),OR(LEFT(N185,2)="L0",LEFT(N185,2)="L1",L185="No Iniciado")),"CRÍTICO - Incumplimiento Normativo SEPS",IF(AND(OR(LEFT(N185,2)="L4",LEFT(N185,2)="L5"),AND(P185&lt;&gt;"",P185&lt;&gt;"N/A")),"CONFORME - Control Efectivo ISO 27001","OBSERVACIÓN - Revisar Controles")))</f>
        <v/>
      </c>
    </row>
    <row r="186">
      <c r="A186">
        <f>IF(INVENTARIO!A186="","",INVENTARIO!A186)</f>
        <v/>
      </c>
      <c r="B186">
        <f>IF(INVENTARIO!E186="","",INVENTARIO!E186)</f>
        <v/>
      </c>
      <c r="C186">
        <f>IF(INVENTARIO!F186="","",INVENTARIO!F186)</f>
        <v/>
      </c>
      <c r="D186">
        <f>IF(INVENTARIO!H186="","",INVENTARIO!H186)</f>
        <v/>
      </c>
      <c r="E186">
        <f>IF(INVENTARIO!I186="","",INVENTARIO!I186)</f>
        <v/>
      </c>
      <c r="F186">
        <f>IF(INVENTARIO!N186="","",INVENTARIO!N186)</f>
        <v/>
      </c>
      <c r="G186">
        <f>IF(INVENTARIO!P186="","",INVENTARIO!P186)</f>
        <v/>
      </c>
      <c r="H186">
        <f>IF(INVENTARIO!Q186="","",INVENTARIO!Q186)</f>
        <v/>
      </c>
      <c r="I186">
        <f>IF(INVENTARIO!R186="","",INVENTARIO!R186)</f>
        <v/>
      </c>
      <c r="J186">
        <f>IF(G186="PUBLICA(1)",1,IF(G186="USO INTERNO(2)",2,IF(G186="RESTRINGIDO(3)",3,0)))+IF(H186="BAJA(1)",1,IF(H186="MEDIA(2)",2,IF(H186="ALTA(3)",3,0)))+IF(I186="BAJA(1)",1,IF(I186="MEDIA(2)",2,IF(I186="ALTA(3)",3,0)))</f>
        <v/>
      </c>
      <c r="K186">
        <f>IF(J186="", "", IF(J186&gt;=8,"ALTA",IF(J186&gt;=6,"MEDIA","BAJA")))</f>
        <v/>
      </c>
      <c r="L186">
        <f>IF(INVENTARIO!Y186="","",INVENTARIO!Y186)</f>
        <v/>
      </c>
      <c r="M186">
        <f>IF(INVENTARIO!Z186="","",INVENTARIO!Z186)</f>
        <v/>
      </c>
      <c r="N186">
        <f>IF(INVENTARIO!AA186="","",INVENTARIO!AA186)</f>
        <v/>
      </c>
      <c r="O186">
        <f>IF(INVENTARIO!AB186="","",INVENTARIO!AB186)</f>
        <v/>
      </c>
      <c r="P186">
        <f>IF(INVENTARIO!AC186="","",INVENTARIO!AC186)</f>
        <v/>
      </c>
      <c r="Q186">
        <f>IF(AND(K186="",N186="",L186=""),"",IF(AND((K186="ALTA"),OR(LEFT(N186,2)="L0",LEFT(N186,2)="L1",L186="No Iniciado")),"CRÍTICO - Incumplimiento Normativo SEPS",IF(AND(OR(LEFT(N186,2)="L4",LEFT(N186,2)="L5"),AND(P186&lt;&gt;"",P186&lt;&gt;"N/A")),"CONFORME - Control Efectivo ISO 27001","OBSERVACIÓN - Revisar Controles")))</f>
        <v/>
      </c>
    </row>
    <row r="187">
      <c r="A187">
        <f>IF(INVENTARIO!A187="","",INVENTARIO!A187)</f>
        <v/>
      </c>
      <c r="B187">
        <f>IF(INVENTARIO!E187="","",INVENTARIO!E187)</f>
        <v/>
      </c>
      <c r="C187">
        <f>IF(INVENTARIO!F187="","",INVENTARIO!F187)</f>
        <v/>
      </c>
      <c r="D187">
        <f>IF(INVENTARIO!H187="","",INVENTARIO!H187)</f>
        <v/>
      </c>
      <c r="E187">
        <f>IF(INVENTARIO!I187="","",INVENTARIO!I187)</f>
        <v/>
      </c>
      <c r="F187">
        <f>IF(INVENTARIO!N187="","",INVENTARIO!N187)</f>
        <v/>
      </c>
      <c r="G187">
        <f>IF(INVENTARIO!P187="","",INVENTARIO!P187)</f>
        <v/>
      </c>
      <c r="H187">
        <f>IF(INVENTARIO!Q187="","",INVENTARIO!Q187)</f>
        <v/>
      </c>
      <c r="I187">
        <f>IF(INVENTARIO!R187="","",INVENTARIO!R187)</f>
        <v/>
      </c>
      <c r="J187">
        <f>IF(G187="PUBLICA(1)",1,IF(G187="USO INTERNO(2)",2,IF(G187="RESTRINGIDO(3)",3,0)))+IF(H187="BAJA(1)",1,IF(H187="MEDIA(2)",2,IF(H187="ALTA(3)",3,0)))+IF(I187="BAJA(1)",1,IF(I187="MEDIA(2)",2,IF(I187="ALTA(3)",3,0)))</f>
        <v/>
      </c>
      <c r="K187">
        <f>IF(J187="", "", IF(J187&gt;=8,"ALTA",IF(J187&gt;=6,"MEDIA","BAJA")))</f>
        <v/>
      </c>
      <c r="L187">
        <f>IF(INVENTARIO!Y187="","",INVENTARIO!Y187)</f>
        <v/>
      </c>
      <c r="M187">
        <f>IF(INVENTARIO!Z187="","",INVENTARIO!Z187)</f>
        <v/>
      </c>
      <c r="N187">
        <f>IF(INVENTARIO!AA187="","",INVENTARIO!AA187)</f>
        <v/>
      </c>
      <c r="O187">
        <f>IF(INVENTARIO!AB187="","",INVENTARIO!AB187)</f>
        <v/>
      </c>
      <c r="P187">
        <f>IF(INVENTARIO!AC187="","",INVENTARIO!AC187)</f>
        <v/>
      </c>
      <c r="Q187">
        <f>IF(AND(K187="",N187="",L187=""),"",IF(AND((K187="ALTA"),OR(LEFT(N187,2)="L0",LEFT(N187,2)="L1",L187="No Iniciado")),"CRÍTICO - Incumplimiento Normativo SEPS",IF(AND(OR(LEFT(N187,2)="L4",LEFT(N187,2)="L5"),AND(P187&lt;&gt;"",P187&lt;&gt;"N/A")),"CONFORME - Control Efectivo ISO 27001","OBSERVACIÓN - Revisar Controles")))</f>
        <v/>
      </c>
    </row>
    <row r="188">
      <c r="A188">
        <f>IF(INVENTARIO!A188="","",INVENTARIO!A188)</f>
        <v/>
      </c>
      <c r="B188">
        <f>IF(INVENTARIO!E188="","",INVENTARIO!E188)</f>
        <v/>
      </c>
      <c r="C188">
        <f>IF(INVENTARIO!F188="","",INVENTARIO!F188)</f>
        <v/>
      </c>
      <c r="D188">
        <f>IF(INVENTARIO!H188="","",INVENTARIO!H188)</f>
        <v/>
      </c>
      <c r="E188">
        <f>IF(INVENTARIO!I188="","",INVENTARIO!I188)</f>
        <v/>
      </c>
      <c r="F188">
        <f>IF(INVENTARIO!N188="","",INVENTARIO!N188)</f>
        <v/>
      </c>
      <c r="G188">
        <f>IF(INVENTARIO!P188="","",INVENTARIO!P188)</f>
        <v/>
      </c>
      <c r="H188">
        <f>IF(INVENTARIO!Q188="","",INVENTARIO!Q188)</f>
        <v/>
      </c>
      <c r="I188">
        <f>IF(INVENTARIO!R188="","",INVENTARIO!R188)</f>
        <v/>
      </c>
      <c r="J188">
        <f>IF(G188="PUBLICA(1)",1,IF(G188="USO INTERNO(2)",2,IF(G188="RESTRINGIDO(3)",3,0)))+IF(H188="BAJA(1)",1,IF(H188="MEDIA(2)",2,IF(H188="ALTA(3)",3,0)))+IF(I188="BAJA(1)",1,IF(I188="MEDIA(2)",2,IF(I188="ALTA(3)",3,0)))</f>
        <v/>
      </c>
      <c r="K188">
        <f>IF(J188="", "", IF(J188&gt;=8,"ALTA",IF(J188&gt;=6,"MEDIA","BAJA")))</f>
        <v/>
      </c>
      <c r="L188">
        <f>IF(INVENTARIO!Y188="","",INVENTARIO!Y188)</f>
        <v/>
      </c>
      <c r="M188">
        <f>IF(INVENTARIO!Z188="","",INVENTARIO!Z188)</f>
        <v/>
      </c>
      <c r="N188">
        <f>IF(INVENTARIO!AA188="","",INVENTARIO!AA188)</f>
        <v/>
      </c>
      <c r="O188">
        <f>IF(INVENTARIO!AB188="","",INVENTARIO!AB188)</f>
        <v/>
      </c>
      <c r="P188">
        <f>IF(INVENTARIO!AC188="","",INVENTARIO!AC188)</f>
        <v/>
      </c>
      <c r="Q188">
        <f>IF(AND(K188="",N188="",L188=""),"",IF(AND((K188="ALTA"),OR(LEFT(N188,2)="L0",LEFT(N188,2)="L1",L188="No Iniciado")),"CRÍTICO - Incumplimiento Normativo SEPS",IF(AND(OR(LEFT(N188,2)="L4",LEFT(N188,2)="L5"),AND(P188&lt;&gt;"",P188&lt;&gt;"N/A")),"CONFORME - Control Efectivo ISO 27001","OBSERVACIÓN - Revisar Controles")))</f>
        <v/>
      </c>
    </row>
    <row r="189">
      <c r="A189">
        <f>IF(INVENTARIO!A189="","",INVENTARIO!A189)</f>
        <v/>
      </c>
      <c r="B189">
        <f>IF(INVENTARIO!E189="","",INVENTARIO!E189)</f>
        <v/>
      </c>
      <c r="C189">
        <f>IF(INVENTARIO!F189="","",INVENTARIO!F189)</f>
        <v/>
      </c>
      <c r="D189">
        <f>IF(INVENTARIO!H189="","",INVENTARIO!H189)</f>
        <v/>
      </c>
      <c r="E189">
        <f>IF(INVENTARIO!I189="","",INVENTARIO!I189)</f>
        <v/>
      </c>
      <c r="F189">
        <f>IF(INVENTARIO!N189="","",INVENTARIO!N189)</f>
        <v/>
      </c>
      <c r="G189">
        <f>IF(INVENTARIO!P189="","",INVENTARIO!P189)</f>
        <v/>
      </c>
      <c r="H189">
        <f>IF(INVENTARIO!Q189="","",INVENTARIO!Q189)</f>
        <v/>
      </c>
      <c r="I189">
        <f>IF(INVENTARIO!R189="","",INVENTARIO!R189)</f>
        <v/>
      </c>
      <c r="J189">
        <f>IF(G189="PUBLICA(1)",1,IF(G189="USO INTERNO(2)",2,IF(G189="RESTRINGIDO(3)",3,0)))+IF(H189="BAJA(1)",1,IF(H189="MEDIA(2)",2,IF(H189="ALTA(3)",3,0)))+IF(I189="BAJA(1)",1,IF(I189="MEDIA(2)",2,IF(I189="ALTA(3)",3,0)))</f>
        <v/>
      </c>
      <c r="K189">
        <f>IF(J189="", "", IF(J189&gt;=8,"ALTA",IF(J189&gt;=6,"MEDIA","BAJA")))</f>
        <v/>
      </c>
      <c r="L189">
        <f>IF(INVENTARIO!Y189="","",INVENTARIO!Y189)</f>
        <v/>
      </c>
      <c r="M189">
        <f>IF(INVENTARIO!Z189="","",INVENTARIO!Z189)</f>
        <v/>
      </c>
      <c r="N189">
        <f>IF(INVENTARIO!AA189="","",INVENTARIO!AA189)</f>
        <v/>
      </c>
      <c r="O189">
        <f>IF(INVENTARIO!AB189="","",INVENTARIO!AB189)</f>
        <v/>
      </c>
      <c r="P189">
        <f>IF(INVENTARIO!AC189="","",INVENTARIO!AC189)</f>
        <v/>
      </c>
      <c r="Q189">
        <f>IF(AND(K189="",N189="",L189=""),"",IF(AND((K189="ALTA"),OR(LEFT(N189,2)="L0",LEFT(N189,2)="L1",L189="No Iniciado")),"CRÍTICO - Incumplimiento Normativo SEPS",IF(AND(OR(LEFT(N189,2)="L4",LEFT(N189,2)="L5"),AND(P189&lt;&gt;"",P189&lt;&gt;"N/A")),"CONFORME - Control Efectivo ISO 27001","OBSERVACIÓN - Revisar Controles")))</f>
        <v/>
      </c>
    </row>
    <row r="190">
      <c r="A190">
        <f>IF(INVENTARIO!A190="","",INVENTARIO!A190)</f>
        <v/>
      </c>
      <c r="B190">
        <f>IF(INVENTARIO!E190="","",INVENTARIO!E190)</f>
        <v/>
      </c>
      <c r="C190">
        <f>IF(INVENTARIO!F190="","",INVENTARIO!F190)</f>
        <v/>
      </c>
      <c r="D190">
        <f>IF(INVENTARIO!H190="","",INVENTARIO!H190)</f>
        <v/>
      </c>
      <c r="E190">
        <f>IF(INVENTARIO!I190="","",INVENTARIO!I190)</f>
        <v/>
      </c>
      <c r="F190">
        <f>IF(INVENTARIO!N190="","",INVENTARIO!N190)</f>
        <v/>
      </c>
      <c r="G190">
        <f>IF(INVENTARIO!P190="","",INVENTARIO!P190)</f>
        <v/>
      </c>
      <c r="H190">
        <f>IF(INVENTARIO!Q190="","",INVENTARIO!Q190)</f>
        <v/>
      </c>
      <c r="I190">
        <f>IF(INVENTARIO!R190="","",INVENTARIO!R190)</f>
        <v/>
      </c>
      <c r="J190">
        <f>IF(G190="PUBLICA(1)",1,IF(G190="USO INTERNO(2)",2,IF(G190="RESTRINGIDO(3)",3,0)))+IF(H190="BAJA(1)",1,IF(H190="MEDIA(2)",2,IF(H190="ALTA(3)",3,0)))+IF(I190="BAJA(1)",1,IF(I190="MEDIA(2)",2,IF(I190="ALTA(3)",3,0)))</f>
        <v/>
      </c>
      <c r="K190">
        <f>IF(J190="", "", IF(J190&gt;=8,"ALTA",IF(J190&gt;=6,"MEDIA","BAJA")))</f>
        <v/>
      </c>
      <c r="L190">
        <f>IF(INVENTARIO!Y190="","",INVENTARIO!Y190)</f>
        <v/>
      </c>
      <c r="M190">
        <f>IF(INVENTARIO!Z190="","",INVENTARIO!Z190)</f>
        <v/>
      </c>
      <c r="N190">
        <f>IF(INVENTARIO!AA190="","",INVENTARIO!AA190)</f>
        <v/>
      </c>
      <c r="O190">
        <f>IF(INVENTARIO!AB190="","",INVENTARIO!AB190)</f>
        <v/>
      </c>
      <c r="P190">
        <f>IF(INVENTARIO!AC190="","",INVENTARIO!AC190)</f>
        <v/>
      </c>
      <c r="Q190">
        <f>IF(AND(K190="",N190="",L190=""),"",IF(AND((K190="ALTA"),OR(LEFT(N190,2)="L0",LEFT(N190,2)="L1",L190="No Iniciado")),"CRÍTICO - Incumplimiento Normativo SEPS",IF(AND(OR(LEFT(N190,2)="L4",LEFT(N190,2)="L5"),AND(P190&lt;&gt;"",P190&lt;&gt;"N/A")),"CONFORME - Control Efectivo ISO 27001","OBSERVACIÓN - Revisar Controles")))</f>
        <v/>
      </c>
    </row>
    <row r="191">
      <c r="A191">
        <f>IF(INVENTARIO!A191="","",INVENTARIO!A191)</f>
        <v/>
      </c>
      <c r="B191">
        <f>IF(INVENTARIO!E191="","",INVENTARIO!E191)</f>
        <v/>
      </c>
      <c r="C191">
        <f>IF(INVENTARIO!F191="","",INVENTARIO!F191)</f>
        <v/>
      </c>
      <c r="D191">
        <f>IF(INVENTARIO!H191="","",INVENTARIO!H191)</f>
        <v/>
      </c>
      <c r="E191">
        <f>IF(INVENTARIO!I191="","",INVENTARIO!I191)</f>
        <v/>
      </c>
      <c r="F191">
        <f>IF(INVENTARIO!N191="","",INVENTARIO!N191)</f>
        <v/>
      </c>
      <c r="G191">
        <f>IF(INVENTARIO!P191="","",INVENTARIO!P191)</f>
        <v/>
      </c>
      <c r="H191">
        <f>IF(INVENTARIO!Q191="","",INVENTARIO!Q191)</f>
        <v/>
      </c>
      <c r="I191">
        <f>IF(INVENTARIO!R191="","",INVENTARIO!R191)</f>
        <v/>
      </c>
      <c r="J191">
        <f>IF(G191="PUBLICA(1)",1,IF(G191="USO INTERNO(2)",2,IF(G191="RESTRINGIDO(3)",3,0)))+IF(H191="BAJA(1)",1,IF(H191="MEDIA(2)",2,IF(H191="ALTA(3)",3,0)))+IF(I191="BAJA(1)",1,IF(I191="MEDIA(2)",2,IF(I191="ALTA(3)",3,0)))</f>
        <v/>
      </c>
      <c r="K191">
        <f>IF(J191="", "", IF(J191&gt;=8,"ALTA",IF(J191&gt;=6,"MEDIA","BAJA")))</f>
        <v/>
      </c>
      <c r="L191">
        <f>IF(INVENTARIO!Y191="","",INVENTARIO!Y191)</f>
        <v/>
      </c>
      <c r="M191">
        <f>IF(INVENTARIO!Z191="","",INVENTARIO!Z191)</f>
        <v/>
      </c>
      <c r="N191">
        <f>IF(INVENTARIO!AA191="","",INVENTARIO!AA191)</f>
        <v/>
      </c>
      <c r="O191">
        <f>IF(INVENTARIO!AB191="","",INVENTARIO!AB191)</f>
        <v/>
      </c>
      <c r="P191">
        <f>IF(INVENTARIO!AC191="","",INVENTARIO!AC191)</f>
        <v/>
      </c>
      <c r="Q191">
        <f>IF(AND(K191="",N191="",L191=""),"",IF(AND((K191="ALTA"),OR(LEFT(N191,2)="L0",LEFT(N191,2)="L1",L191="No Iniciado")),"CRÍTICO - Incumplimiento Normativo SEPS",IF(AND(OR(LEFT(N191,2)="L4",LEFT(N191,2)="L5"),AND(P191&lt;&gt;"",P191&lt;&gt;"N/A")),"CONFORME - Control Efectivo ISO 27001","OBSERVACIÓN - Revisar Controles")))</f>
        <v/>
      </c>
    </row>
    <row r="192">
      <c r="A192">
        <f>IF(INVENTARIO!A192="","",INVENTARIO!A192)</f>
        <v/>
      </c>
      <c r="B192">
        <f>IF(INVENTARIO!E192="","",INVENTARIO!E192)</f>
        <v/>
      </c>
      <c r="C192">
        <f>IF(INVENTARIO!F192="","",INVENTARIO!F192)</f>
        <v/>
      </c>
      <c r="D192">
        <f>IF(INVENTARIO!H192="","",INVENTARIO!H192)</f>
        <v/>
      </c>
      <c r="E192">
        <f>IF(INVENTARIO!I192="","",INVENTARIO!I192)</f>
        <v/>
      </c>
      <c r="F192">
        <f>IF(INVENTARIO!N192="","",INVENTARIO!N192)</f>
        <v/>
      </c>
      <c r="G192">
        <f>IF(INVENTARIO!P192="","",INVENTARIO!P192)</f>
        <v/>
      </c>
      <c r="H192">
        <f>IF(INVENTARIO!Q192="","",INVENTARIO!Q192)</f>
        <v/>
      </c>
      <c r="I192">
        <f>IF(INVENTARIO!R192="","",INVENTARIO!R192)</f>
        <v/>
      </c>
      <c r="J192">
        <f>IF(G192="PUBLICA(1)",1,IF(G192="USO INTERNO(2)",2,IF(G192="RESTRINGIDO(3)",3,0)))+IF(H192="BAJA(1)",1,IF(H192="MEDIA(2)",2,IF(H192="ALTA(3)",3,0)))+IF(I192="BAJA(1)",1,IF(I192="MEDIA(2)",2,IF(I192="ALTA(3)",3,0)))</f>
        <v/>
      </c>
      <c r="K192">
        <f>IF(J192="", "", IF(J192&gt;=8,"ALTA",IF(J192&gt;=6,"MEDIA","BAJA")))</f>
        <v/>
      </c>
      <c r="L192">
        <f>IF(INVENTARIO!Y192="","",INVENTARIO!Y192)</f>
        <v/>
      </c>
      <c r="M192">
        <f>IF(INVENTARIO!Z192="","",INVENTARIO!Z192)</f>
        <v/>
      </c>
      <c r="N192">
        <f>IF(INVENTARIO!AA192="","",INVENTARIO!AA192)</f>
        <v/>
      </c>
      <c r="O192">
        <f>IF(INVENTARIO!AB192="","",INVENTARIO!AB192)</f>
        <v/>
      </c>
      <c r="P192">
        <f>IF(INVENTARIO!AC192="","",INVENTARIO!AC192)</f>
        <v/>
      </c>
      <c r="Q192">
        <f>IF(AND(K192="",N192="",L192=""),"",IF(AND((K192="ALTA"),OR(LEFT(N192,2)="L0",LEFT(N192,2)="L1",L192="No Iniciado")),"CRÍTICO - Incumplimiento Normativo SEPS",IF(AND(OR(LEFT(N192,2)="L4",LEFT(N192,2)="L5"),AND(P192&lt;&gt;"",P192&lt;&gt;"N/A")),"CONFORME - Control Efectivo ISO 27001","OBSERVACIÓN - Revisar Controles")))</f>
        <v/>
      </c>
    </row>
    <row r="193">
      <c r="A193">
        <f>IF(INVENTARIO!A193="","",INVENTARIO!A193)</f>
        <v/>
      </c>
      <c r="B193">
        <f>IF(INVENTARIO!E193="","",INVENTARIO!E193)</f>
        <v/>
      </c>
      <c r="C193">
        <f>IF(INVENTARIO!F193="","",INVENTARIO!F193)</f>
        <v/>
      </c>
      <c r="D193">
        <f>IF(INVENTARIO!H193="","",INVENTARIO!H193)</f>
        <v/>
      </c>
      <c r="E193">
        <f>IF(INVENTARIO!I193="","",INVENTARIO!I193)</f>
        <v/>
      </c>
      <c r="F193">
        <f>IF(INVENTARIO!N193="","",INVENTARIO!N193)</f>
        <v/>
      </c>
      <c r="G193">
        <f>IF(INVENTARIO!P193="","",INVENTARIO!P193)</f>
        <v/>
      </c>
      <c r="H193">
        <f>IF(INVENTARIO!Q193="","",INVENTARIO!Q193)</f>
        <v/>
      </c>
      <c r="I193">
        <f>IF(INVENTARIO!R193="","",INVENTARIO!R193)</f>
        <v/>
      </c>
      <c r="J193">
        <f>IF(G193="PUBLICA(1)",1,IF(G193="USO INTERNO(2)",2,IF(G193="RESTRINGIDO(3)",3,0)))+IF(H193="BAJA(1)",1,IF(H193="MEDIA(2)",2,IF(H193="ALTA(3)",3,0)))+IF(I193="BAJA(1)",1,IF(I193="MEDIA(2)",2,IF(I193="ALTA(3)",3,0)))</f>
        <v/>
      </c>
      <c r="K193">
        <f>IF(J193="", "", IF(J193&gt;=8,"ALTA",IF(J193&gt;=6,"MEDIA","BAJA")))</f>
        <v/>
      </c>
      <c r="L193">
        <f>IF(INVENTARIO!Y193="","",INVENTARIO!Y193)</f>
        <v/>
      </c>
      <c r="M193">
        <f>IF(INVENTARIO!Z193="","",INVENTARIO!Z193)</f>
        <v/>
      </c>
      <c r="N193">
        <f>IF(INVENTARIO!AA193="","",INVENTARIO!AA193)</f>
        <v/>
      </c>
      <c r="O193">
        <f>IF(INVENTARIO!AB193="","",INVENTARIO!AB193)</f>
        <v/>
      </c>
      <c r="P193">
        <f>IF(INVENTARIO!AC193="","",INVENTARIO!AC193)</f>
        <v/>
      </c>
      <c r="Q193">
        <f>IF(AND(K193="",N193="",L193=""),"",IF(AND((K193="ALTA"),OR(LEFT(N193,2)="L0",LEFT(N193,2)="L1",L193="No Iniciado")),"CRÍTICO - Incumplimiento Normativo SEPS",IF(AND(OR(LEFT(N193,2)="L4",LEFT(N193,2)="L5"),AND(P193&lt;&gt;"",P193&lt;&gt;"N/A")),"CONFORME - Control Efectivo ISO 27001","OBSERVACIÓN - Revisar Controles")))</f>
        <v/>
      </c>
    </row>
    <row r="194">
      <c r="A194">
        <f>IF(INVENTARIO!A194="","",INVENTARIO!A194)</f>
        <v/>
      </c>
      <c r="B194">
        <f>IF(INVENTARIO!E194="","",INVENTARIO!E194)</f>
        <v/>
      </c>
      <c r="C194">
        <f>IF(INVENTARIO!F194="","",INVENTARIO!F194)</f>
        <v/>
      </c>
      <c r="D194">
        <f>IF(INVENTARIO!H194="","",INVENTARIO!H194)</f>
        <v/>
      </c>
      <c r="E194">
        <f>IF(INVENTARIO!I194="","",INVENTARIO!I194)</f>
        <v/>
      </c>
      <c r="F194">
        <f>IF(INVENTARIO!N194="","",INVENTARIO!N194)</f>
        <v/>
      </c>
      <c r="G194">
        <f>IF(INVENTARIO!P194="","",INVENTARIO!P194)</f>
        <v/>
      </c>
      <c r="H194">
        <f>IF(INVENTARIO!Q194="","",INVENTARIO!Q194)</f>
        <v/>
      </c>
      <c r="I194">
        <f>IF(INVENTARIO!R194="","",INVENTARIO!R194)</f>
        <v/>
      </c>
      <c r="J194">
        <f>IF(G194="PUBLICA(1)",1,IF(G194="USO INTERNO(2)",2,IF(G194="RESTRINGIDO(3)",3,0)))+IF(H194="BAJA(1)",1,IF(H194="MEDIA(2)",2,IF(H194="ALTA(3)",3,0)))+IF(I194="BAJA(1)",1,IF(I194="MEDIA(2)",2,IF(I194="ALTA(3)",3,0)))</f>
        <v/>
      </c>
      <c r="K194">
        <f>IF(J194="", "", IF(J194&gt;=8,"ALTA",IF(J194&gt;=6,"MEDIA","BAJA")))</f>
        <v/>
      </c>
      <c r="L194">
        <f>IF(INVENTARIO!Y194="","",INVENTARIO!Y194)</f>
        <v/>
      </c>
      <c r="M194">
        <f>IF(INVENTARIO!Z194="","",INVENTARIO!Z194)</f>
        <v/>
      </c>
      <c r="N194">
        <f>IF(INVENTARIO!AA194="","",INVENTARIO!AA194)</f>
        <v/>
      </c>
      <c r="O194">
        <f>IF(INVENTARIO!AB194="","",INVENTARIO!AB194)</f>
        <v/>
      </c>
      <c r="P194">
        <f>IF(INVENTARIO!AC194="","",INVENTARIO!AC194)</f>
        <v/>
      </c>
      <c r="Q194">
        <f>IF(AND(K194="",N194="",L194=""),"",IF(AND((K194="ALTA"),OR(LEFT(N194,2)="L0",LEFT(N194,2)="L1",L194="No Iniciado")),"CRÍTICO - Incumplimiento Normativo SEPS",IF(AND(OR(LEFT(N194,2)="L4",LEFT(N194,2)="L5"),AND(P194&lt;&gt;"",P194&lt;&gt;"N/A")),"CONFORME - Control Efectivo ISO 27001","OBSERVACIÓN - Revisar Controles")))</f>
        <v/>
      </c>
    </row>
    <row r="195">
      <c r="A195">
        <f>IF(INVENTARIO!A195="","",INVENTARIO!A195)</f>
        <v/>
      </c>
      <c r="B195">
        <f>IF(INVENTARIO!E195="","",INVENTARIO!E195)</f>
        <v/>
      </c>
      <c r="C195">
        <f>IF(INVENTARIO!F195="","",INVENTARIO!F195)</f>
        <v/>
      </c>
      <c r="D195">
        <f>IF(INVENTARIO!H195="","",INVENTARIO!H195)</f>
        <v/>
      </c>
      <c r="E195">
        <f>IF(INVENTARIO!I195="","",INVENTARIO!I195)</f>
        <v/>
      </c>
      <c r="F195">
        <f>IF(INVENTARIO!N195="","",INVENTARIO!N195)</f>
        <v/>
      </c>
      <c r="G195">
        <f>IF(INVENTARIO!P195="","",INVENTARIO!P195)</f>
        <v/>
      </c>
      <c r="H195">
        <f>IF(INVENTARIO!Q195="","",INVENTARIO!Q195)</f>
        <v/>
      </c>
      <c r="I195">
        <f>IF(INVENTARIO!R195="","",INVENTARIO!R195)</f>
        <v/>
      </c>
      <c r="J195">
        <f>IF(G195="PUBLICA(1)",1,IF(G195="USO INTERNO(2)",2,IF(G195="RESTRINGIDO(3)",3,0)))+IF(H195="BAJA(1)",1,IF(H195="MEDIA(2)",2,IF(H195="ALTA(3)",3,0)))+IF(I195="BAJA(1)",1,IF(I195="MEDIA(2)",2,IF(I195="ALTA(3)",3,0)))</f>
        <v/>
      </c>
      <c r="K195">
        <f>IF(J195="", "", IF(J195&gt;=8,"ALTA",IF(J195&gt;=6,"MEDIA","BAJA")))</f>
        <v/>
      </c>
      <c r="L195">
        <f>IF(INVENTARIO!Y195="","",INVENTARIO!Y195)</f>
        <v/>
      </c>
      <c r="M195">
        <f>IF(INVENTARIO!Z195="","",INVENTARIO!Z195)</f>
        <v/>
      </c>
      <c r="N195">
        <f>IF(INVENTARIO!AA195="","",INVENTARIO!AA195)</f>
        <v/>
      </c>
      <c r="O195">
        <f>IF(INVENTARIO!AB195="","",INVENTARIO!AB195)</f>
        <v/>
      </c>
      <c r="P195">
        <f>IF(INVENTARIO!AC195="","",INVENTARIO!AC195)</f>
        <v/>
      </c>
      <c r="Q195">
        <f>IF(AND(K195="",N195="",L195=""),"",IF(AND((K195="ALTA"),OR(LEFT(N195,2)="L0",LEFT(N195,2)="L1",L195="No Iniciado")),"CRÍTICO - Incumplimiento Normativo SEPS",IF(AND(OR(LEFT(N195,2)="L4",LEFT(N195,2)="L5"),AND(P195&lt;&gt;"",P195&lt;&gt;"N/A")),"CONFORME - Control Efectivo ISO 27001","OBSERVACIÓN - Revisar Controles")))</f>
        <v/>
      </c>
    </row>
    <row r="196">
      <c r="A196">
        <f>IF(INVENTARIO!A196="","",INVENTARIO!A196)</f>
        <v/>
      </c>
      <c r="B196">
        <f>IF(INVENTARIO!E196="","",INVENTARIO!E196)</f>
        <v/>
      </c>
      <c r="C196">
        <f>IF(INVENTARIO!F196="","",INVENTARIO!F196)</f>
        <v/>
      </c>
      <c r="D196">
        <f>IF(INVENTARIO!H196="","",INVENTARIO!H196)</f>
        <v/>
      </c>
      <c r="E196">
        <f>IF(INVENTARIO!I196="","",INVENTARIO!I196)</f>
        <v/>
      </c>
      <c r="F196">
        <f>IF(INVENTARIO!N196="","",INVENTARIO!N196)</f>
        <v/>
      </c>
      <c r="G196">
        <f>IF(INVENTARIO!P196="","",INVENTARIO!P196)</f>
        <v/>
      </c>
      <c r="H196">
        <f>IF(INVENTARIO!Q196="","",INVENTARIO!Q196)</f>
        <v/>
      </c>
      <c r="I196">
        <f>IF(INVENTARIO!R196="","",INVENTARIO!R196)</f>
        <v/>
      </c>
      <c r="J196">
        <f>IF(G196="PUBLICA(1)",1,IF(G196="USO INTERNO(2)",2,IF(G196="RESTRINGIDO(3)",3,0)))+IF(H196="BAJA(1)",1,IF(H196="MEDIA(2)",2,IF(H196="ALTA(3)",3,0)))+IF(I196="BAJA(1)",1,IF(I196="MEDIA(2)",2,IF(I196="ALTA(3)",3,0)))</f>
        <v/>
      </c>
      <c r="K196">
        <f>IF(J196="", "", IF(J196&gt;=8,"ALTA",IF(J196&gt;=6,"MEDIA","BAJA")))</f>
        <v/>
      </c>
      <c r="L196">
        <f>IF(INVENTARIO!Y196="","",INVENTARIO!Y196)</f>
        <v/>
      </c>
      <c r="M196">
        <f>IF(INVENTARIO!Z196="","",INVENTARIO!Z196)</f>
        <v/>
      </c>
      <c r="N196">
        <f>IF(INVENTARIO!AA196="","",INVENTARIO!AA196)</f>
        <v/>
      </c>
      <c r="O196">
        <f>IF(INVENTARIO!AB196="","",INVENTARIO!AB196)</f>
        <v/>
      </c>
      <c r="P196">
        <f>IF(INVENTARIO!AC196="","",INVENTARIO!AC196)</f>
        <v/>
      </c>
      <c r="Q196">
        <f>IF(AND(K196="",N196="",L196=""),"",IF(AND((K196="ALTA"),OR(LEFT(N196,2)="L0",LEFT(N196,2)="L1",L196="No Iniciado")),"CRÍTICO - Incumplimiento Normativo SEPS",IF(AND(OR(LEFT(N196,2)="L4",LEFT(N196,2)="L5"),AND(P196&lt;&gt;"",P196&lt;&gt;"N/A")),"CONFORME - Control Efectivo ISO 27001","OBSERVACIÓN - Revisar Controles")))</f>
        <v/>
      </c>
    </row>
    <row r="197">
      <c r="A197">
        <f>IF(INVENTARIO!A197="","",INVENTARIO!A197)</f>
        <v/>
      </c>
      <c r="B197">
        <f>IF(INVENTARIO!E197="","",INVENTARIO!E197)</f>
        <v/>
      </c>
      <c r="C197">
        <f>IF(INVENTARIO!F197="","",INVENTARIO!F197)</f>
        <v/>
      </c>
      <c r="D197">
        <f>IF(INVENTARIO!H197="","",INVENTARIO!H197)</f>
        <v/>
      </c>
      <c r="E197">
        <f>IF(INVENTARIO!I197="","",INVENTARIO!I197)</f>
        <v/>
      </c>
      <c r="F197">
        <f>IF(INVENTARIO!N197="","",INVENTARIO!N197)</f>
        <v/>
      </c>
      <c r="G197">
        <f>IF(INVENTARIO!P197="","",INVENTARIO!P197)</f>
        <v/>
      </c>
      <c r="H197">
        <f>IF(INVENTARIO!Q197="","",INVENTARIO!Q197)</f>
        <v/>
      </c>
      <c r="I197">
        <f>IF(INVENTARIO!R197="","",INVENTARIO!R197)</f>
        <v/>
      </c>
      <c r="J197">
        <f>IF(G197="PUBLICA(1)",1,IF(G197="USO INTERNO(2)",2,IF(G197="RESTRINGIDO(3)",3,0)))+IF(H197="BAJA(1)",1,IF(H197="MEDIA(2)",2,IF(H197="ALTA(3)",3,0)))+IF(I197="BAJA(1)",1,IF(I197="MEDIA(2)",2,IF(I197="ALTA(3)",3,0)))</f>
        <v/>
      </c>
      <c r="K197">
        <f>IF(J197="", "", IF(J197&gt;=8,"ALTA",IF(J197&gt;=6,"MEDIA","BAJA")))</f>
        <v/>
      </c>
      <c r="L197">
        <f>IF(INVENTARIO!Y197="","",INVENTARIO!Y197)</f>
        <v/>
      </c>
      <c r="M197">
        <f>IF(INVENTARIO!Z197="","",INVENTARIO!Z197)</f>
        <v/>
      </c>
      <c r="N197">
        <f>IF(INVENTARIO!AA197="","",INVENTARIO!AA197)</f>
        <v/>
      </c>
      <c r="O197">
        <f>IF(INVENTARIO!AB197="","",INVENTARIO!AB197)</f>
        <v/>
      </c>
      <c r="P197">
        <f>IF(INVENTARIO!AC197="","",INVENTARIO!AC197)</f>
        <v/>
      </c>
      <c r="Q197">
        <f>IF(AND(K197="",N197="",L197=""),"",IF(AND((K197="ALTA"),OR(LEFT(N197,2)="L0",LEFT(N197,2)="L1",L197="No Iniciado")),"CRÍTICO - Incumplimiento Normativo SEPS",IF(AND(OR(LEFT(N197,2)="L4",LEFT(N197,2)="L5"),AND(P197&lt;&gt;"",P197&lt;&gt;"N/A")),"CONFORME - Control Efectivo ISO 27001","OBSERVACIÓN - Revisar Controles")))</f>
        <v/>
      </c>
    </row>
    <row r="198">
      <c r="A198">
        <f>IF(INVENTARIO!A198="","",INVENTARIO!A198)</f>
        <v/>
      </c>
      <c r="B198">
        <f>IF(INVENTARIO!E198="","",INVENTARIO!E198)</f>
        <v/>
      </c>
      <c r="C198">
        <f>IF(INVENTARIO!F198="","",INVENTARIO!F198)</f>
        <v/>
      </c>
      <c r="D198">
        <f>IF(INVENTARIO!H198="","",INVENTARIO!H198)</f>
        <v/>
      </c>
      <c r="E198">
        <f>IF(INVENTARIO!I198="","",INVENTARIO!I198)</f>
        <v/>
      </c>
      <c r="F198">
        <f>IF(INVENTARIO!N198="","",INVENTARIO!N198)</f>
        <v/>
      </c>
      <c r="G198">
        <f>IF(INVENTARIO!P198="","",INVENTARIO!P198)</f>
        <v/>
      </c>
      <c r="H198">
        <f>IF(INVENTARIO!Q198="","",INVENTARIO!Q198)</f>
        <v/>
      </c>
      <c r="I198">
        <f>IF(INVENTARIO!R198="","",INVENTARIO!R198)</f>
        <v/>
      </c>
      <c r="J198">
        <f>IF(G198="PUBLICA(1)",1,IF(G198="USO INTERNO(2)",2,IF(G198="RESTRINGIDO(3)",3,0)))+IF(H198="BAJA(1)",1,IF(H198="MEDIA(2)",2,IF(H198="ALTA(3)",3,0)))+IF(I198="BAJA(1)",1,IF(I198="MEDIA(2)",2,IF(I198="ALTA(3)",3,0)))</f>
        <v/>
      </c>
      <c r="K198">
        <f>IF(J198="", "", IF(J198&gt;=8,"ALTA",IF(J198&gt;=6,"MEDIA","BAJA")))</f>
        <v/>
      </c>
      <c r="L198">
        <f>IF(INVENTARIO!Y198="","",INVENTARIO!Y198)</f>
        <v/>
      </c>
      <c r="M198">
        <f>IF(INVENTARIO!Z198="","",INVENTARIO!Z198)</f>
        <v/>
      </c>
      <c r="N198">
        <f>IF(INVENTARIO!AA198="","",INVENTARIO!AA198)</f>
        <v/>
      </c>
      <c r="O198">
        <f>IF(INVENTARIO!AB198="","",INVENTARIO!AB198)</f>
        <v/>
      </c>
      <c r="P198">
        <f>IF(INVENTARIO!AC198="","",INVENTARIO!AC198)</f>
        <v/>
      </c>
      <c r="Q198">
        <f>IF(AND(K198="",N198="",L198=""),"",IF(AND((K198="ALTA"),OR(LEFT(N198,2)="L0",LEFT(N198,2)="L1",L198="No Iniciado")),"CRÍTICO - Incumplimiento Normativo SEPS",IF(AND(OR(LEFT(N198,2)="L4",LEFT(N198,2)="L5"),AND(P198&lt;&gt;"",P198&lt;&gt;"N/A")),"CONFORME - Control Efectivo ISO 27001","OBSERVACIÓN - Revisar Controles")))</f>
        <v/>
      </c>
    </row>
    <row r="199">
      <c r="A199">
        <f>IF(INVENTARIO!A199="","",INVENTARIO!A199)</f>
        <v/>
      </c>
      <c r="B199">
        <f>IF(INVENTARIO!E199="","",INVENTARIO!E199)</f>
        <v/>
      </c>
      <c r="C199">
        <f>IF(INVENTARIO!F199="","",INVENTARIO!F199)</f>
        <v/>
      </c>
      <c r="D199">
        <f>IF(INVENTARIO!H199="","",INVENTARIO!H199)</f>
        <v/>
      </c>
      <c r="E199">
        <f>IF(INVENTARIO!I199="","",INVENTARIO!I199)</f>
        <v/>
      </c>
      <c r="F199">
        <f>IF(INVENTARIO!N199="","",INVENTARIO!N199)</f>
        <v/>
      </c>
      <c r="G199">
        <f>IF(INVENTARIO!P199="","",INVENTARIO!P199)</f>
        <v/>
      </c>
      <c r="H199">
        <f>IF(INVENTARIO!Q199="","",INVENTARIO!Q199)</f>
        <v/>
      </c>
      <c r="I199">
        <f>IF(INVENTARIO!R199="","",INVENTARIO!R199)</f>
        <v/>
      </c>
      <c r="J199">
        <f>IF(G199="PUBLICA(1)",1,IF(G199="USO INTERNO(2)",2,IF(G199="RESTRINGIDO(3)",3,0)))+IF(H199="BAJA(1)",1,IF(H199="MEDIA(2)",2,IF(H199="ALTA(3)",3,0)))+IF(I199="BAJA(1)",1,IF(I199="MEDIA(2)",2,IF(I199="ALTA(3)",3,0)))</f>
        <v/>
      </c>
      <c r="K199">
        <f>IF(J199="", "", IF(J199&gt;=8,"ALTA",IF(J199&gt;=6,"MEDIA","BAJA")))</f>
        <v/>
      </c>
      <c r="L199">
        <f>IF(INVENTARIO!Y199="","",INVENTARIO!Y199)</f>
        <v/>
      </c>
      <c r="M199">
        <f>IF(INVENTARIO!Z199="","",INVENTARIO!Z199)</f>
        <v/>
      </c>
      <c r="N199">
        <f>IF(INVENTARIO!AA199="","",INVENTARIO!AA199)</f>
        <v/>
      </c>
      <c r="O199">
        <f>IF(INVENTARIO!AB199="","",INVENTARIO!AB199)</f>
        <v/>
      </c>
      <c r="P199">
        <f>IF(INVENTARIO!AC199="","",INVENTARIO!AC199)</f>
        <v/>
      </c>
      <c r="Q199">
        <f>IF(AND(K199="",N199="",L199=""),"",IF(AND((K199="ALTA"),OR(LEFT(N199,2)="L0",LEFT(N199,2)="L1",L199="No Iniciado")),"CRÍTICO - Incumplimiento Normativo SEPS",IF(AND(OR(LEFT(N199,2)="L4",LEFT(N199,2)="L5"),AND(P199&lt;&gt;"",P199&lt;&gt;"N/A")),"CONFORME - Control Efectivo ISO 27001","OBSERVACIÓN - Revisar Controles")))</f>
        <v/>
      </c>
    </row>
    <row r="200">
      <c r="A200">
        <f>IF(INVENTARIO!A200="","",INVENTARIO!A200)</f>
        <v/>
      </c>
      <c r="B200">
        <f>IF(INVENTARIO!E200="","",INVENTARIO!E200)</f>
        <v/>
      </c>
      <c r="C200">
        <f>IF(INVENTARIO!F200="","",INVENTARIO!F200)</f>
        <v/>
      </c>
      <c r="D200">
        <f>IF(INVENTARIO!H200="","",INVENTARIO!H200)</f>
        <v/>
      </c>
      <c r="E200">
        <f>IF(INVENTARIO!I200="","",INVENTARIO!I200)</f>
        <v/>
      </c>
      <c r="F200">
        <f>IF(INVENTARIO!N200="","",INVENTARIO!N200)</f>
        <v/>
      </c>
      <c r="G200">
        <f>IF(INVENTARIO!P200="","",INVENTARIO!P200)</f>
        <v/>
      </c>
      <c r="H200">
        <f>IF(INVENTARIO!Q200="","",INVENTARIO!Q200)</f>
        <v/>
      </c>
      <c r="I200">
        <f>IF(INVENTARIO!R200="","",INVENTARIO!R200)</f>
        <v/>
      </c>
      <c r="J200">
        <f>IF(G200="PUBLICA(1)",1,IF(G200="USO INTERNO(2)",2,IF(G200="RESTRINGIDO(3)",3,0)))+IF(H200="BAJA(1)",1,IF(H200="MEDIA(2)",2,IF(H200="ALTA(3)",3,0)))+IF(I200="BAJA(1)",1,IF(I200="MEDIA(2)",2,IF(I200="ALTA(3)",3,0)))</f>
        <v/>
      </c>
      <c r="K200">
        <f>IF(J200="", "", IF(J200&gt;=8,"ALTA",IF(J200&gt;=6,"MEDIA","BAJA")))</f>
        <v/>
      </c>
      <c r="L200">
        <f>IF(INVENTARIO!Y200="","",INVENTARIO!Y200)</f>
        <v/>
      </c>
      <c r="M200">
        <f>IF(INVENTARIO!Z200="","",INVENTARIO!Z200)</f>
        <v/>
      </c>
      <c r="N200">
        <f>IF(INVENTARIO!AA200="","",INVENTARIO!AA200)</f>
        <v/>
      </c>
      <c r="O200">
        <f>IF(INVENTARIO!AB200="","",INVENTARIO!AB200)</f>
        <v/>
      </c>
      <c r="P200">
        <f>IF(INVENTARIO!AC200="","",INVENTARIO!AC200)</f>
        <v/>
      </c>
      <c r="Q200">
        <f>IF(AND(K200="",N200="",L200=""),"",IF(AND((K200="ALTA"),OR(LEFT(N200,2)="L0",LEFT(N200,2)="L1",L200="No Iniciado")),"CRÍTICO - Incumplimiento Normativo SEPS",IF(AND(OR(LEFT(N200,2)="L4",LEFT(N200,2)="L5"),AND(P200&lt;&gt;"",P200&lt;&gt;"N/A")),"CONFORME - Control Efectivo ISO 27001","OBSERVACIÓN - Revisar Controles")))</f>
        <v/>
      </c>
    </row>
    <row r="201">
      <c r="A201">
        <f>IF(INVENTARIO!A201="","",INVENTARIO!A201)</f>
        <v/>
      </c>
      <c r="B201">
        <f>IF(INVENTARIO!E201="","",INVENTARIO!E201)</f>
        <v/>
      </c>
      <c r="C201">
        <f>IF(INVENTARIO!F201="","",INVENTARIO!F201)</f>
        <v/>
      </c>
      <c r="D201">
        <f>IF(INVENTARIO!H201="","",INVENTARIO!H201)</f>
        <v/>
      </c>
      <c r="E201">
        <f>IF(INVENTARIO!I201="","",INVENTARIO!I201)</f>
        <v/>
      </c>
      <c r="F201">
        <f>IF(INVENTARIO!N201="","",INVENTARIO!N201)</f>
        <v/>
      </c>
      <c r="G201">
        <f>IF(INVENTARIO!P201="","",INVENTARIO!P201)</f>
        <v/>
      </c>
      <c r="H201">
        <f>IF(INVENTARIO!Q201="","",INVENTARIO!Q201)</f>
        <v/>
      </c>
      <c r="I201">
        <f>IF(INVENTARIO!R201="","",INVENTARIO!R201)</f>
        <v/>
      </c>
      <c r="J201">
        <f>IF(G201="PUBLICA(1)",1,IF(G201="USO INTERNO(2)",2,IF(G201="RESTRINGIDO(3)",3,0)))+IF(H201="BAJA(1)",1,IF(H201="MEDIA(2)",2,IF(H201="ALTA(3)",3,0)))+IF(I201="BAJA(1)",1,IF(I201="MEDIA(2)",2,IF(I201="ALTA(3)",3,0)))</f>
        <v/>
      </c>
      <c r="K201">
        <f>IF(J201="", "", IF(J201&gt;=8,"ALTA",IF(J201&gt;=6,"MEDIA","BAJA")))</f>
        <v/>
      </c>
      <c r="L201">
        <f>IF(INVENTARIO!Y201="","",INVENTARIO!Y201)</f>
        <v/>
      </c>
      <c r="M201">
        <f>IF(INVENTARIO!Z201="","",INVENTARIO!Z201)</f>
        <v/>
      </c>
      <c r="N201">
        <f>IF(INVENTARIO!AA201="","",INVENTARIO!AA201)</f>
        <v/>
      </c>
      <c r="O201">
        <f>IF(INVENTARIO!AB201="","",INVENTARIO!AB201)</f>
        <v/>
      </c>
      <c r="P201">
        <f>IF(INVENTARIO!AC201="","",INVENTARIO!AC201)</f>
        <v/>
      </c>
      <c r="Q201">
        <f>IF(AND(K201="",N201="",L201=""),"",IF(AND((K201="ALTA"),OR(LEFT(N201,2)="L0",LEFT(N201,2)="L1",L201="No Iniciado")),"CRÍTICO - Incumplimiento Normativo SEPS",IF(AND(OR(LEFT(N201,2)="L4",LEFT(N201,2)="L5"),AND(P201&lt;&gt;"",P201&lt;&gt;"N/A")),"CONFORME - Control Efectivo ISO 27001","OBSERVACIÓN - Revisar Controles")))</f>
        <v/>
      </c>
    </row>
    <row r="202">
      <c r="A202">
        <f>IF(INVENTARIO!A202="","",INVENTARIO!A202)</f>
        <v/>
      </c>
      <c r="B202">
        <f>IF(INVENTARIO!E202="","",INVENTARIO!E202)</f>
        <v/>
      </c>
      <c r="C202">
        <f>IF(INVENTARIO!F202="","",INVENTARIO!F202)</f>
        <v/>
      </c>
      <c r="D202">
        <f>IF(INVENTARIO!H202="","",INVENTARIO!H202)</f>
        <v/>
      </c>
      <c r="E202">
        <f>IF(INVENTARIO!I202="","",INVENTARIO!I202)</f>
        <v/>
      </c>
      <c r="F202">
        <f>IF(INVENTARIO!N202="","",INVENTARIO!N202)</f>
        <v/>
      </c>
      <c r="G202">
        <f>IF(INVENTARIO!P202="","",INVENTARIO!P202)</f>
        <v/>
      </c>
      <c r="H202">
        <f>IF(INVENTARIO!Q202="","",INVENTARIO!Q202)</f>
        <v/>
      </c>
      <c r="I202">
        <f>IF(INVENTARIO!R202="","",INVENTARIO!R202)</f>
        <v/>
      </c>
      <c r="J202">
        <f>IF(G202="PUBLICA(1)",1,IF(G202="USO INTERNO(2)",2,IF(G202="RESTRINGIDO(3)",3,0)))+IF(H202="BAJA(1)",1,IF(H202="MEDIA(2)",2,IF(H202="ALTA(3)",3,0)))+IF(I202="BAJA(1)",1,IF(I202="MEDIA(2)",2,IF(I202="ALTA(3)",3,0)))</f>
        <v/>
      </c>
      <c r="K202">
        <f>IF(J202="", "", IF(J202&gt;=8,"ALTA",IF(J202&gt;=6,"MEDIA","BAJA")))</f>
        <v/>
      </c>
      <c r="L202">
        <f>IF(INVENTARIO!Y202="","",INVENTARIO!Y202)</f>
        <v/>
      </c>
      <c r="M202">
        <f>IF(INVENTARIO!Z202="","",INVENTARIO!Z202)</f>
        <v/>
      </c>
      <c r="N202">
        <f>IF(INVENTARIO!AA202="","",INVENTARIO!AA202)</f>
        <v/>
      </c>
      <c r="O202">
        <f>IF(INVENTARIO!AB202="","",INVENTARIO!AB202)</f>
        <v/>
      </c>
      <c r="P202">
        <f>IF(INVENTARIO!AC202="","",INVENTARIO!AC202)</f>
        <v/>
      </c>
      <c r="Q202">
        <f>IF(AND(K202="",N202="",L202=""),"",IF(AND((K202="ALTA"),OR(LEFT(N202,2)="L0",LEFT(N202,2)="L1",L202="No Iniciado")),"CRÍTICO - Incumplimiento Normativo SEPS",IF(AND(OR(LEFT(N202,2)="L4",LEFT(N202,2)="L5"),AND(P202&lt;&gt;"",P202&lt;&gt;"N/A")),"CONFORME - Control Efectivo ISO 27001","OBSERVACIÓN - Revisar Controles")))</f>
        <v/>
      </c>
    </row>
    <row r="203">
      <c r="A203">
        <f>IF(INVENTARIO!A203="","",INVENTARIO!A203)</f>
        <v/>
      </c>
      <c r="B203">
        <f>IF(INVENTARIO!E203="","",INVENTARIO!E203)</f>
        <v/>
      </c>
      <c r="C203">
        <f>IF(INVENTARIO!F203="","",INVENTARIO!F203)</f>
        <v/>
      </c>
      <c r="D203">
        <f>IF(INVENTARIO!H203="","",INVENTARIO!H203)</f>
        <v/>
      </c>
      <c r="E203">
        <f>IF(INVENTARIO!I203="","",INVENTARIO!I203)</f>
        <v/>
      </c>
      <c r="F203">
        <f>IF(INVENTARIO!N203="","",INVENTARIO!N203)</f>
        <v/>
      </c>
      <c r="G203">
        <f>IF(INVENTARIO!P203="","",INVENTARIO!P203)</f>
        <v/>
      </c>
      <c r="H203">
        <f>IF(INVENTARIO!Q203="","",INVENTARIO!Q203)</f>
        <v/>
      </c>
      <c r="I203">
        <f>IF(INVENTARIO!R203="","",INVENTARIO!R203)</f>
        <v/>
      </c>
      <c r="J203">
        <f>IF(G203="PUBLICA(1)",1,IF(G203="USO INTERNO(2)",2,IF(G203="RESTRINGIDO(3)",3,0)))+IF(H203="BAJA(1)",1,IF(H203="MEDIA(2)",2,IF(H203="ALTA(3)",3,0)))+IF(I203="BAJA(1)",1,IF(I203="MEDIA(2)",2,IF(I203="ALTA(3)",3,0)))</f>
        <v/>
      </c>
      <c r="K203">
        <f>IF(J203="", "", IF(J203&gt;=8,"ALTA",IF(J203&gt;=6,"MEDIA","BAJA")))</f>
        <v/>
      </c>
      <c r="L203">
        <f>IF(INVENTARIO!Y203="","",INVENTARIO!Y203)</f>
        <v/>
      </c>
      <c r="M203">
        <f>IF(INVENTARIO!Z203="","",INVENTARIO!Z203)</f>
        <v/>
      </c>
      <c r="N203">
        <f>IF(INVENTARIO!AA203="","",INVENTARIO!AA203)</f>
        <v/>
      </c>
      <c r="O203">
        <f>IF(INVENTARIO!AB203="","",INVENTARIO!AB203)</f>
        <v/>
      </c>
      <c r="P203">
        <f>IF(INVENTARIO!AC203="","",INVENTARIO!AC203)</f>
        <v/>
      </c>
      <c r="Q203">
        <f>IF(AND(K203="",N203="",L203=""),"",IF(AND((K203="ALTA"),OR(LEFT(N203,2)="L0",LEFT(N203,2)="L1",L203="No Iniciado")),"CRÍTICO - Incumplimiento Normativo SEPS",IF(AND(OR(LEFT(N203,2)="L4",LEFT(N203,2)="L5"),AND(P203&lt;&gt;"",P203&lt;&gt;"N/A")),"CONFORME - Control Efectivo ISO 27001","OBSERVACIÓN - Revisar Controles")))</f>
        <v/>
      </c>
    </row>
    <row r="204">
      <c r="A204">
        <f>IF(INVENTARIO!A204="","",INVENTARIO!A204)</f>
        <v/>
      </c>
      <c r="B204">
        <f>IF(INVENTARIO!E204="","",INVENTARIO!E204)</f>
        <v/>
      </c>
      <c r="C204">
        <f>IF(INVENTARIO!F204="","",INVENTARIO!F204)</f>
        <v/>
      </c>
      <c r="D204">
        <f>IF(INVENTARIO!H204="","",INVENTARIO!H204)</f>
        <v/>
      </c>
      <c r="E204">
        <f>IF(INVENTARIO!I204="","",INVENTARIO!I204)</f>
        <v/>
      </c>
      <c r="F204">
        <f>IF(INVENTARIO!N204="","",INVENTARIO!N204)</f>
        <v/>
      </c>
      <c r="G204">
        <f>IF(INVENTARIO!P204="","",INVENTARIO!P204)</f>
        <v/>
      </c>
      <c r="H204">
        <f>IF(INVENTARIO!Q204="","",INVENTARIO!Q204)</f>
        <v/>
      </c>
      <c r="I204">
        <f>IF(INVENTARIO!R204="","",INVENTARIO!R204)</f>
        <v/>
      </c>
      <c r="J204">
        <f>IF(G204="PUBLICA(1)",1,IF(G204="USO INTERNO(2)",2,IF(G204="RESTRINGIDO(3)",3,0)))+IF(H204="BAJA(1)",1,IF(H204="MEDIA(2)",2,IF(H204="ALTA(3)",3,0)))+IF(I204="BAJA(1)",1,IF(I204="MEDIA(2)",2,IF(I204="ALTA(3)",3,0)))</f>
        <v/>
      </c>
      <c r="K204">
        <f>IF(J204="", "", IF(J204&gt;=8,"ALTA",IF(J204&gt;=6,"MEDIA","BAJA")))</f>
        <v/>
      </c>
      <c r="L204">
        <f>IF(INVENTARIO!Y204="","",INVENTARIO!Y204)</f>
        <v/>
      </c>
      <c r="M204">
        <f>IF(INVENTARIO!Z204="","",INVENTARIO!Z204)</f>
        <v/>
      </c>
      <c r="N204">
        <f>IF(INVENTARIO!AA204="","",INVENTARIO!AA204)</f>
        <v/>
      </c>
      <c r="O204">
        <f>IF(INVENTARIO!AB204="","",INVENTARIO!AB204)</f>
        <v/>
      </c>
      <c r="P204">
        <f>IF(INVENTARIO!AC204="","",INVENTARIO!AC204)</f>
        <v/>
      </c>
      <c r="Q204">
        <f>IF(AND(K204="",N204="",L204=""),"",IF(AND((K204="ALTA"),OR(LEFT(N204,2)="L0",LEFT(N204,2)="L1",L204="No Iniciado")),"CRÍTICO - Incumplimiento Normativo SEPS",IF(AND(OR(LEFT(N204,2)="L4",LEFT(N204,2)="L5"),AND(P204&lt;&gt;"",P204&lt;&gt;"N/A")),"CONFORME - Control Efectivo ISO 27001","OBSERVACIÓN - Revisar Controles")))</f>
        <v/>
      </c>
    </row>
    <row r="205">
      <c r="A205">
        <f>IF(INVENTARIO!A205="","",INVENTARIO!A205)</f>
        <v/>
      </c>
      <c r="B205">
        <f>IF(INVENTARIO!E205="","",INVENTARIO!E205)</f>
        <v/>
      </c>
      <c r="C205">
        <f>IF(INVENTARIO!F205="","",INVENTARIO!F205)</f>
        <v/>
      </c>
      <c r="D205">
        <f>IF(INVENTARIO!H205="","",INVENTARIO!H205)</f>
        <v/>
      </c>
      <c r="E205">
        <f>IF(INVENTARIO!I205="","",INVENTARIO!I205)</f>
        <v/>
      </c>
      <c r="F205">
        <f>IF(INVENTARIO!N205="","",INVENTARIO!N205)</f>
        <v/>
      </c>
      <c r="G205">
        <f>IF(INVENTARIO!P205="","",INVENTARIO!P205)</f>
        <v/>
      </c>
      <c r="H205">
        <f>IF(INVENTARIO!Q205="","",INVENTARIO!Q205)</f>
        <v/>
      </c>
      <c r="I205">
        <f>IF(INVENTARIO!R205="","",INVENTARIO!R205)</f>
        <v/>
      </c>
      <c r="J205">
        <f>IF(G205="PUBLICA(1)",1,IF(G205="USO INTERNO(2)",2,IF(G205="RESTRINGIDO(3)",3,0)))+IF(H205="BAJA(1)",1,IF(H205="MEDIA(2)",2,IF(H205="ALTA(3)",3,0)))+IF(I205="BAJA(1)",1,IF(I205="MEDIA(2)",2,IF(I205="ALTA(3)",3,0)))</f>
        <v/>
      </c>
      <c r="K205">
        <f>IF(J205="", "", IF(J205&gt;=8,"ALTA",IF(J205&gt;=6,"MEDIA","BAJA")))</f>
        <v/>
      </c>
      <c r="L205">
        <f>IF(INVENTARIO!Y205="","",INVENTARIO!Y205)</f>
        <v/>
      </c>
      <c r="M205">
        <f>IF(INVENTARIO!Z205="","",INVENTARIO!Z205)</f>
        <v/>
      </c>
      <c r="N205">
        <f>IF(INVENTARIO!AA205="","",INVENTARIO!AA205)</f>
        <v/>
      </c>
      <c r="O205">
        <f>IF(INVENTARIO!AB205="","",INVENTARIO!AB205)</f>
        <v/>
      </c>
      <c r="P205">
        <f>IF(INVENTARIO!AC205="","",INVENTARIO!AC205)</f>
        <v/>
      </c>
      <c r="Q205">
        <f>IF(AND(K205="",N205="",L205=""),"",IF(AND((K205="ALTA"),OR(LEFT(N205,2)="L0",LEFT(N205,2)="L1",L205="No Iniciado")),"CRÍTICO - Incumplimiento Normativo SEPS",IF(AND(OR(LEFT(N205,2)="L4",LEFT(N205,2)="L5"),AND(P205&lt;&gt;"",P205&lt;&gt;"N/A")),"CONFORME - Control Efectivo ISO 27001","OBSERVACIÓN - Revisar Controles")))</f>
        <v/>
      </c>
    </row>
    <row r="206">
      <c r="A206">
        <f>IF(INVENTARIO!A206="","",INVENTARIO!A206)</f>
        <v/>
      </c>
      <c r="B206">
        <f>IF(INVENTARIO!E206="","",INVENTARIO!E206)</f>
        <v/>
      </c>
      <c r="C206">
        <f>IF(INVENTARIO!F206="","",INVENTARIO!F206)</f>
        <v/>
      </c>
      <c r="D206">
        <f>IF(INVENTARIO!H206="","",INVENTARIO!H206)</f>
        <v/>
      </c>
      <c r="E206">
        <f>IF(INVENTARIO!I206="","",INVENTARIO!I206)</f>
        <v/>
      </c>
      <c r="F206">
        <f>IF(INVENTARIO!N206="","",INVENTARIO!N206)</f>
        <v/>
      </c>
      <c r="G206">
        <f>IF(INVENTARIO!P206="","",INVENTARIO!P206)</f>
        <v/>
      </c>
      <c r="H206">
        <f>IF(INVENTARIO!Q206="","",INVENTARIO!Q206)</f>
        <v/>
      </c>
      <c r="I206">
        <f>IF(INVENTARIO!R206="","",INVENTARIO!R206)</f>
        <v/>
      </c>
      <c r="J206">
        <f>IF(G206="PUBLICA(1)",1,IF(G206="USO INTERNO(2)",2,IF(G206="RESTRINGIDO(3)",3,0)))+IF(H206="BAJA(1)",1,IF(H206="MEDIA(2)",2,IF(H206="ALTA(3)",3,0)))+IF(I206="BAJA(1)",1,IF(I206="MEDIA(2)",2,IF(I206="ALTA(3)",3,0)))</f>
        <v/>
      </c>
      <c r="K206">
        <f>IF(J206="", "", IF(J206&gt;=8,"ALTA",IF(J206&gt;=6,"MEDIA","BAJA")))</f>
        <v/>
      </c>
      <c r="L206">
        <f>IF(INVENTARIO!Y206="","",INVENTARIO!Y206)</f>
        <v/>
      </c>
      <c r="M206">
        <f>IF(INVENTARIO!Z206="","",INVENTARIO!Z206)</f>
        <v/>
      </c>
      <c r="N206">
        <f>IF(INVENTARIO!AA206="","",INVENTARIO!AA206)</f>
        <v/>
      </c>
      <c r="O206">
        <f>IF(INVENTARIO!AB206="","",INVENTARIO!AB206)</f>
        <v/>
      </c>
      <c r="P206">
        <f>IF(INVENTARIO!AC206="","",INVENTARIO!AC206)</f>
        <v/>
      </c>
      <c r="Q206">
        <f>IF(AND(K206="",N206="",L206=""),"",IF(AND((K206="ALTA"),OR(LEFT(N206,2)="L0",LEFT(N206,2)="L1",L206="No Iniciado")),"CRÍTICO - Incumplimiento Normativo SEPS",IF(AND(OR(LEFT(N206,2)="L4",LEFT(N206,2)="L5"),AND(P206&lt;&gt;"",P206&lt;&gt;"N/A")),"CONFORME - Control Efectivo ISO 27001","OBSERVACIÓN - Revisar Controles")))</f>
        <v/>
      </c>
    </row>
    <row r="207">
      <c r="A207">
        <f>IF(INVENTARIO!A207="","",INVENTARIO!A207)</f>
        <v/>
      </c>
      <c r="B207">
        <f>IF(INVENTARIO!E207="","",INVENTARIO!E207)</f>
        <v/>
      </c>
      <c r="C207">
        <f>IF(INVENTARIO!F207="","",INVENTARIO!F207)</f>
        <v/>
      </c>
      <c r="D207">
        <f>IF(INVENTARIO!H207="","",INVENTARIO!H207)</f>
        <v/>
      </c>
      <c r="E207">
        <f>IF(INVENTARIO!I207="","",INVENTARIO!I207)</f>
        <v/>
      </c>
      <c r="F207">
        <f>IF(INVENTARIO!N207="","",INVENTARIO!N207)</f>
        <v/>
      </c>
      <c r="G207">
        <f>IF(INVENTARIO!P207="","",INVENTARIO!P207)</f>
        <v/>
      </c>
      <c r="H207">
        <f>IF(INVENTARIO!Q207="","",INVENTARIO!Q207)</f>
        <v/>
      </c>
      <c r="I207">
        <f>IF(INVENTARIO!R207="","",INVENTARIO!R207)</f>
        <v/>
      </c>
      <c r="J207">
        <f>IF(G207="PUBLICA(1)",1,IF(G207="USO INTERNO(2)",2,IF(G207="RESTRINGIDO(3)",3,0)))+IF(H207="BAJA(1)",1,IF(H207="MEDIA(2)",2,IF(H207="ALTA(3)",3,0)))+IF(I207="BAJA(1)",1,IF(I207="MEDIA(2)",2,IF(I207="ALTA(3)",3,0)))</f>
        <v/>
      </c>
      <c r="K207">
        <f>IF(J207="", "", IF(J207&gt;=8,"ALTA",IF(J207&gt;=6,"MEDIA","BAJA")))</f>
        <v/>
      </c>
      <c r="L207">
        <f>IF(INVENTARIO!Y207="","",INVENTARIO!Y207)</f>
        <v/>
      </c>
      <c r="M207">
        <f>IF(INVENTARIO!Z207="","",INVENTARIO!Z207)</f>
        <v/>
      </c>
      <c r="N207">
        <f>IF(INVENTARIO!AA207="","",INVENTARIO!AA207)</f>
        <v/>
      </c>
      <c r="O207">
        <f>IF(INVENTARIO!AB207="","",INVENTARIO!AB207)</f>
        <v/>
      </c>
      <c r="P207">
        <f>IF(INVENTARIO!AC207="","",INVENTARIO!AC207)</f>
        <v/>
      </c>
      <c r="Q207">
        <f>IF(AND(K207="",N207="",L207=""),"",IF(AND((K207="ALTA"),OR(LEFT(N207,2)="L0",LEFT(N207,2)="L1",L207="No Iniciado")),"CRÍTICO - Incumplimiento Normativo SEPS",IF(AND(OR(LEFT(N207,2)="L4",LEFT(N207,2)="L5"),AND(P207&lt;&gt;"",P207&lt;&gt;"N/A")),"CONFORME - Control Efectivo ISO 27001","OBSERVACIÓN - Revisar Controles")))</f>
        <v/>
      </c>
    </row>
    <row r="208">
      <c r="A208">
        <f>IF(INVENTARIO!A208="","",INVENTARIO!A208)</f>
        <v/>
      </c>
      <c r="B208">
        <f>IF(INVENTARIO!E208="","",INVENTARIO!E208)</f>
        <v/>
      </c>
      <c r="C208">
        <f>IF(INVENTARIO!F208="","",INVENTARIO!F208)</f>
        <v/>
      </c>
      <c r="D208">
        <f>IF(INVENTARIO!H208="","",INVENTARIO!H208)</f>
        <v/>
      </c>
      <c r="E208">
        <f>IF(INVENTARIO!I208="","",INVENTARIO!I208)</f>
        <v/>
      </c>
      <c r="F208">
        <f>IF(INVENTARIO!N208="","",INVENTARIO!N208)</f>
        <v/>
      </c>
      <c r="G208">
        <f>IF(INVENTARIO!P208="","",INVENTARIO!P208)</f>
        <v/>
      </c>
      <c r="H208">
        <f>IF(INVENTARIO!Q208="","",INVENTARIO!Q208)</f>
        <v/>
      </c>
      <c r="I208">
        <f>IF(INVENTARIO!R208="","",INVENTARIO!R208)</f>
        <v/>
      </c>
      <c r="J208">
        <f>IF(G208="PUBLICA(1)",1,IF(G208="USO INTERNO(2)",2,IF(G208="RESTRINGIDO(3)",3,0)))+IF(H208="BAJA(1)",1,IF(H208="MEDIA(2)",2,IF(H208="ALTA(3)",3,0)))+IF(I208="BAJA(1)",1,IF(I208="MEDIA(2)",2,IF(I208="ALTA(3)",3,0)))</f>
        <v/>
      </c>
      <c r="K208">
        <f>IF(J208="", "", IF(J208&gt;=8,"ALTA",IF(J208&gt;=6,"MEDIA","BAJA")))</f>
        <v/>
      </c>
      <c r="L208">
        <f>IF(INVENTARIO!Y208="","",INVENTARIO!Y208)</f>
        <v/>
      </c>
      <c r="M208">
        <f>IF(INVENTARIO!Z208="","",INVENTARIO!Z208)</f>
        <v/>
      </c>
      <c r="N208">
        <f>IF(INVENTARIO!AA208="","",INVENTARIO!AA208)</f>
        <v/>
      </c>
      <c r="O208">
        <f>IF(INVENTARIO!AB208="","",INVENTARIO!AB208)</f>
        <v/>
      </c>
      <c r="P208">
        <f>IF(INVENTARIO!AC208="","",INVENTARIO!AC208)</f>
        <v/>
      </c>
      <c r="Q208">
        <f>IF(AND(K208="",N208="",L208=""),"",IF(AND((K208="ALTA"),OR(LEFT(N208,2)="L0",LEFT(N208,2)="L1",L208="No Iniciado")),"CRÍTICO - Incumplimiento Normativo SEPS",IF(AND(OR(LEFT(N208,2)="L4",LEFT(N208,2)="L5"),AND(P208&lt;&gt;"",P208&lt;&gt;"N/A")),"CONFORME - Control Efectivo ISO 27001","OBSERVACIÓN - Revisar Controles")))</f>
        <v/>
      </c>
    </row>
    <row r="209">
      <c r="A209">
        <f>IF(INVENTARIO!A209="","",INVENTARIO!A209)</f>
        <v/>
      </c>
      <c r="B209">
        <f>IF(INVENTARIO!E209="","",INVENTARIO!E209)</f>
        <v/>
      </c>
      <c r="C209">
        <f>IF(INVENTARIO!F209="","",INVENTARIO!F209)</f>
        <v/>
      </c>
      <c r="D209">
        <f>IF(INVENTARIO!H209="","",INVENTARIO!H209)</f>
        <v/>
      </c>
      <c r="E209">
        <f>IF(INVENTARIO!I209="","",INVENTARIO!I209)</f>
        <v/>
      </c>
      <c r="F209">
        <f>IF(INVENTARIO!N209="","",INVENTARIO!N209)</f>
        <v/>
      </c>
      <c r="G209">
        <f>IF(INVENTARIO!P209="","",INVENTARIO!P209)</f>
        <v/>
      </c>
      <c r="H209">
        <f>IF(INVENTARIO!Q209="","",INVENTARIO!Q209)</f>
        <v/>
      </c>
      <c r="I209">
        <f>IF(INVENTARIO!R209="","",INVENTARIO!R209)</f>
        <v/>
      </c>
      <c r="J209">
        <f>IF(G209="PUBLICA(1)",1,IF(G209="USO INTERNO(2)",2,IF(G209="RESTRINGIDO(3)",3,0)))+IF(H209="BAJA(1)",1,IF(H209="MEDIA(2)",2,IF(H209="ALTA(3)",3,0)))+IF(I209="BAJA(1)",1,IF(I209="MEDIA(2)",2,IF(I209="ALTA(3)",3,0)))</f>
        <v/>
      </c>
      <c r="K209">
        <f>IF(J209="", "", IF(J209&gt;=8,"ALTA",IF(J209&gt;=6,"MEDIA","BAJA")))</f>
        <v/>
      </c>
      <c r="L209">
        <f>IF(INVENTARIO!Y209="","",INVENTARIO!Y209)</f>
        <v/>
      </c>
      <c r="M209">
        <f>IF(INVENTARIO!Z209="","",INVENTARIO!Z209)</f>
        <v/>
      </c>
      <c r="N209">
        <f>IF(INVENTARIO!AA209="","",INVENTARIO!AA209)</f>
        <v/>
      </c>
      <c r="O209">
        <f>IF(INVENTARIO!AB209="","",INVENTARIO!AB209)</f>
        <v/>
      </c>
      <c r="P209">
        <f>IF(INVENTARIO!AC209="","",INVENTARIO!AC209)</f>
        <v/>
      </c>
      <c r="Q209">
        <f>IF(AND(K209="",N209="",L209=""),"",IF(AND((K209="ALTA"),OR(LEFT(N209,2)="L0",LEFT(N209,2)="L1",L209="No Iniciado")),"CRÍTICO - Incumplimiento Normativo SEPS",IF(AND(OR(LEFT(N209,2)="L4",LEFT(N209,2)="L5"),AND(P209&lt;&gt;"",P209&lt;&gt;"N/A")),"CONFORME - Control Efectivo ISO 27001","OBSERVACIÓN - Revisar Controles")))</f>
        <v/>
      </c>
    </row>
    <row r="210">
      <c r="A210">
        <f>IF(INVENTARIO!A210="","",INVENTARIO!A210)</f>
        <v/>
      </c>
      <c r="B210">
        <f>IF(INVENTARIO!E210="","",INVENTARIO!E210)</f>
        <v/>
      </c>
      <c r="C210">
        <f>IF(INVENTARIO!F210="","",INVENTARIO!F210)</f>
        <v/>
      </c>
      <c r="D210">
        <f>IF(INVENTARIO!H210="","",INVENTARIO!H210)</f>
        <v/>
      </c>
      <c r="E210">
        <f>IF(INVENTARIO!I210="","",INVENTARIO!I210)</f>
        <v/>
      </c>
      <c r="F210">
        <f>IF(INVENTARIO!N210="","",INVENTARIO!N210)</f>
        <v/>
      </c>
      <c r="G210">
        <f>IF(INVENTARIO!P210="","",INVENTARIO!P210)</f>
        <v/>
      </c>
      <c r="H210">
        <f>IF(INVENTARIO!Q210="","",INVENTARIO!Q210)</f>
        <v/>
      </c>
      <c r="I210">
        <f>IF(INVENTARIO!R210="","",INVENTARIO!R210)</f>
        <v/>
      </c>
      <c r="J210">
        <f>IF(G210="PUBLICA(1)",1,IF(G210="USO INTERNO(2)",2,IF(G210="RESTRINGIDO(3)",3,0)))+IF(H210="BAJA(1)",1,IF(H210="MEDIA(2)",2,IF(H210="ALTA(3)",3,0)))+IF(I210="BAJA(1)",1,IF(I210="MEDIA(2)",2,IF(I210="ALTA(3)",3,0)))</f>
        <v/>
      </c>
      <c r="K210">
        <f>IF(J210="", "", IF(J210&gt;=8,"ALTA",IF(J210&gt;=6,"MEDIA","BAJA")))</f>
        <v/>
      </c>
      <c r="L210">
        <f>IF(INVENTARIO!Y210="","",INVENTARIO!Y210)</f>
        <v/>
      </c>
      <c r="M210">
        <f>IF(INVENTARIO!Z210="","",INVENTARIO!Z210)</f>
        <v/>
      </c>
      <c r="N210">
        <f>IF(INVENTARIO!AA210="","",INVENTARIO!AA210)</f>
        <v/>
      </c>
      <c r="O210">
        <f>IF(INVENTARIO!AB210="","",INVENTARIO!AB210)</f>
        <v/>
      </c>
      <c r="P210">
        <f>IF(INVENTARIO!AC210="","",INVENTARIO!AC210)</f>
        <v/>
      </c>
      <c r="Q210">
        <f>IF(AND(K210="",N210="",L210=""),"",IF(AND((K210="ALTA"),OR(LEFT(N210,2)="L0",LEFT(N210,2)="L1",L210="No Iniciado")),"CRÍTICO - Incumplimiento Normativo SEPS",IF(AND(OR(LEFT(N210,2)="L4",LEFT(N210,2)="L5"),AND(P210&lt;&gt;"",P210&lt;&gt;"N/A")),"CONFORME - Control Efectivo ISO 27001","OBSERVACIÓN - Revisar Controles")))</f>
        <v/>
      </c>
    </row>
    <row r="211">
      <c r="A211">
        <f>IF(INVENTARIO!A211="","",INVENTARIO!A211)</f>
        <v/>
      </c>
      <c r="B211">
        <f>IF(INVENTARIO!E211="","",INVENTARIO!E211)</f>
        <v/>
      </c>
      <c r="C211">
        <f>IF(INVENTARIO!F211="","",INVENTARIO!F211)</f>
        <v/>
      </c>
      <c r="D211">
        <f>IF(INVENTARIO!H211="","",INVENTARIO!H211)</f>
        <v/>
      </c>
      <c r="E211">
        <f>IF(INVENTARIO!I211="","",INVENTARIO!I211)</f>
        <v/>
      </c>
      <c r="F211">
        <f>IF(INVENTARIO!N211="","",INVENTARIO!N211)</f>
        <v/>
      </c>
      <c r="G211">
        <f>IF(INVENTARIO!P211="","",INVENTARIO!P211)</f>
        <v/>
      </c>
      <c r="H211">
        <f>IF(INVENTARIO!Q211="","",INVENTARIO!Q211)</f>
        <v/>
      </c>
      <c r="I211">
        <f>IF(INVENTARIO!R211="","",INVENTARIO!R211)</f>
        <v/>
      </c>
      <c r="J211">
        <f>IF(G211="PUBLICA(1)",1,IF(G211="USO INTERNO(2)",2,IF(G211="RESTRINGIDO(3)",3,0)))+IF(H211="BAJA(1)",1,IF(H211="MEDIA(2)",2,IF(H211="ALTA(3)",3,0)))+IF(I211="BAJA(1)",1,IF(I211="MEDIA(2)",2,IF(I211="ALTA(3)",3,0)))</f>
        <v/>
      </c>
      <c r="K211">
        <f>IF(J211="", "", IF(J211&gt;=8,"ALTA",IF(J211&gt;=6,"MEDIA","BAJA")))</f>
        <v/>
      </c>
      <c r="L211">
        <f>IF(INVENTARIO!Y211="","",INVENTARIO!Y211)</f>
        <v/>
      </c>
      <c r="M211">
        <f>IF(INVENTARIO!Z211="","",INVENTARIO!Z211)</f>
        <v/>
      </c>
      <c r="N211">
        <f>IF(INVENTARIO!AA211="","",INVENTARIO!AA211)</f>
        <v/>
      </c>
      <c r="O211">
        <f>IF(INVENTARIO!AB211="","",INVENTARIO!AB211)</f>
        <v/>
      </c>
      <c r="P211">
        <f>IF(INVENTARIO!AC211="","",INVENTARIO!AC211)</f>
        <v/>
      </c>
      <c r="Q211">
        <f>IF(AND(K211="",N211="",L211=""),"",IF(AND((K211="ALTA"),OR(LEFT(N211,2)="L0",LEFT(N211,2)="L1",L211="No Iniciado")),"CRÍTICO - Incumplimiento Normativo SEPS",IF(AND(OR(LEFT(N211,2)="L4",LEFT(N211,2)="L5"),AND(P211&lt;&gt;"",P211&lt;&gt;"N/A")),"CONFORME - Control Efectivo ISO 27001","OBSERVACIÓN - Revisar Controles")))</f>
        <v/>
      </c>
    </row>
    <row r="212">
      <c r="A212">
        <f>IF(INVENTARIO!A212="","",INVENTARIO!A212)</f>
        <v/>
      </c>
      <c r="B212">
        <f>IF(INVENTARIO!E212="","",INVENTARIO!E212)</f>
        <v/>
      </c>
      <c r="C212">
        <f>IF(INVENTARIO!F212="","",INVENTARIO!F212)</f>
        <v/>
      </c>
      <c r="D212">
        <f>IF(INVENTARIO!H212="","",INVENTARIO!H212)</f>
        <v/>
      </c>
      <c r="E212">
        <f>IF(INVENTARIO!I212="","",INVENTARIO!I212)</f>
        <v/>
      </c>
      <c r="F212">
        <f>IF(INVENTARIO!N212="","",INVENTARIO!N212)</f>
        <v/>
      </c>
      <c r="G212">
        <f>IF(INVENTARIO!P212="","",INVENTARIO!P212)</f>
        <v/>
      </c>
      <c r="H212">
        <f>IF(INVENTARIO!Q212="","",INVENTARIO!Q212)</f>
        <v/>
      </c>
      <c r="I212">
        <f>IF(INVENTARIO!R212="","",INVENTARIO!R212)</f>
        <v/>
      </c>
      <c r="J212">
        <f>IF(G212="PUBLICA(1)",1,IF(G212="USO INTERNO(2)",2,IF(G212="RESTRINGIDO(3)",3,0)))+IF(H212="BAJA(1)",1,IF(H212="MEDIA(2)",2,IF(H212="ALTA(3)",3,0)))+IF(I212="BAJA(1)",1,IF(I212="MEDIA(2)",2,IF(I212="ALTA(3)",3,0)))</f>
        <v/>
      </c>
      <c r="K212">
        <f>IF(J212="", "", IF(J212&gt;=8,"ALTA",IF(J212&gt;=6,"MEDIA","BAJA")))</f>
        <v/>
      </c>
      <c r="L212">
        <f>IF(INVENTARIO!Y212="","",INVENTARIO!Y212)</f>
        <v/>
      </c>
      <c r="M212">
        <f>IF(INVENTARIO!Z212="","",INVENTARIO!Z212)</f>
        <v/>
      </c>
      <c r="N212">
        <f>IF(INVENTARIO!AA212="","",INVENTARIO!AA212)</f>
        <v/>
      </c>
      <c r="O212">
        <f>IF(INVENTARIO!AB212="","",INVENTARIO!AB212)</f>
        <v/>
      </c>
      <c r="P212">
        <f>IF(INVENTARIO!AC212="","",INVENTARIO!AC212)</f>
        <v/>
      </c>
      <c r="Q212">
        <f>IF(AND(K212="",N212="",L212=""),"",IF(AND((K212="ALTA"),OR(LEFT(N212,2)="L0",LEFT(N212,2)="L1",L212="No Iniciado")),"CRÍTICO - Incumplimiento Normativo SEPS",IF(AND(OR(LEFT(N212,2)="L4",LEFT(N212,2)="L5"),AND(P212&lt;&gt;"",P212&lt;&gt;"N/A")),"CONFORME - Control Efectivo ISO 27001","OBSERVACIÓN - Revisar Controles")))</f>
        <v/>
      </c>
    </row>
    <row r="213">
      <c r="A213">
        <f>IF(INVENTARIO!A213="","",INVENTARIO!A213)</f>
        <v/>
      </c>
      <c r="B213">
        <f>IF(INVENTARIO!E213="","",INVENTARIO!E213)</f>
        <v/>
      </c>
      <c r="C213">
        <f>IF(INVENTARIO!F213="","",INVENTARIO!F213)</f>
        <v/>
      </c>
      <c r="D213">
        <f>IF(INVENTARIO!H213="","",INVENTARIO!H213)</f>
        <v/>
      </c>
      <c r="E213">
        <f>IF(INVENTARIO!I213="","",INVENTARIO!I213)</f>
        <v/>
      </c>
      <c r="F213">
        <f>IF(INVENTARIO!N213="","",INVENTARIO!N213)</f>
        <v/>
      </c>
      <c r="G213">
        <f>IF(INVENTARIO!P213="","",INVENTARIO!P213)</f>
        <v/>
      </c>
      <c r="H213">
        <f>IF(INVENTARIO!Q213="","",INVENTARIO!Q213)</f>
        <v/>
      </c>
      <c r="I213">
        <f>IF(INVENTARIO!R213="","",INVENTARIO!R213)</f>
        <v/>
      </c>
      <c r="J213">
        <f>IF(G213="PUBLICA(1)",1,IF(G213="USO INTERNO(2)",2,IF(G213="RESTRINGIDO(3)",3,0)))+IF(H213="BAJA(1)",1,IF(H213="MEDIA(2)",2,IF(H213="ALTA(3)",3,0)))+IF(I213="BAJA(1)",1,IF(I213="MEDIA(2)",2,IF(I213="ALTA(3)",3,0)))</f>
        <v/>
      </c>
      <c r="K213">
        <f>IF(J213="", "", IF(J213&gt;=8,"ALTA",IF(J213&gt;=6,"MEDIA","BAJA")))</f>
        <v/>
      </c>
      <c r="L213">
        <f>IF(INVENTARIO!Y213="","",INVENTARIO!Y213)</f>
        <v/>
      </c>
      <c r="M213">
        <f>IF(INVENTARIO!Z213="","",INVENTARIO!Z213)</f>
        <v/>
      </c>
      <c r="N213">
        <f>IF(INVENTARIO!AA213="","",INVENTARIO!AA213)</f>
        <v/>
      </c>
      <c r="O213">
        <f>IF(INVENTARIO!AB213="","",INVENTARIO!AB213)</f>
        <v/>
      </c>
      <c r="P213">
        <f>IF(INVENTARIO!AC213="","",INVENTARIO!AC213)</f>
        <v/>
      </c>
      <c r="Q213">
        <f>IF(AND(K213="",N213="",L213=""),"",IF(AND((K213="ALTA"),OR(LEFT(N213,2)="L0",LEFT(N213,2)="L1",L213="No Iniciado")),"CRÍTICO - Incumplimiento Normativo SEPS",IF(AND(OR(LEFT(N213,2)="L4",LEFT(N213,2)="L5"),AND(P213&lt;&gt;"",P213&lt;&gt;"N/A")),"CONFORME - Control Efectivo ISO 27001","OBSERVACIÓN - Revisar Controles")))</f>
        <v/>
      </c>
    </row>
    <row r="214">
      <c r="A214">
        <f>IF(INVENTARIO!A214="","",INVENTARIO!A214)</f>
        <v/>
      </c>
      <c r="B214">
        <f>IF(INVENTARIO!E214="","",INVENTARIO!E214)</f>
        <v/>
      </c>
      <c r="C214">
        <f>IF(INVENTARIO!F214="","",INVENTARIO!F214)</f>
        <v/>
      </c>
      <c r="D214">
        <f>IF(INVENTARIO!H214="","",INVENTARIO!H214)</f>
        <v/>
      </c>
      <c r="E214">
        <f>IF(INVENTARIO!I214="","",INVENTARIO!I214)</f>
        <v/>
      </c>
      <c r="F214">
        <f>IF(INVENTARIO!N214="","",INVENTARIO!N214)</f>
        <v/>
      </c>
      <c r="G214">
        <f>IF(INVENTARIO!P214="","",INVENTARIO!P214)</f>
        <v/>
      </c>
      <c r="H214">
        <f>IF(INVENTARIO!Q214="","",INVENTARIO!Q214)</f>
        <v/>
      </c>
      <c r="I214">
        <f>IF(INVENTARIO!R214="","",INVENTARIO!R214)</f>
        <v/>
      </c>
      <c r="J214">
        <f>IF(G214="PUBLICA(1)",1,IF(G214="USO INTERNO(2)",2,IF(G214="RESTRINGIDO(3)",3,0)))+IF(H214="BAJA(1)",1,IF(H214="MEDIA(2)",2,IF(H214="ALTA(3)",3,0)))+IF(I214="BAJA(1)",1,IF(I214="MEDIA(2)",2,IF(I214="ALTA(3)",3,0)))</f>
        <v/>
      </c>
      <c r="K214">
        <f>IF(J214="", "", IF(J214&gt;=8,"ALTA",IF(J214&gt;=6,"MEDIA","BAJA")))</f>
        <v/>
      </c>
      <c r="L214">
        <f>IF(INVENTARIO!Y214="","",INVENTARIO!Y214)</f>
        <v/>
      </c>
      <c r="M214">
        <f>IF(INVENTARIO!Z214="","",INVENTARIO!Z214)</f>
        <v/>
      </c>
      <c r="N214">
        <f>IF(INVENTARIO!AA214="","",INVENTARIO!AA214)</f>
        <v/>
      </c>
      <c r="O214">
        <f>IF(INVENTARIO!AB214="","",INVENTARIO!AB214)</f>
        <v/>
      </c>
      <c r="P214">
        <f>IF(INVENTARIO!AC214="","",INVENTARIO!AC214)</f>
        <v/>
      </c>
      <c r="Q214">
        <f>IF(AND(K214="",N214="",L214=""),"",IF(AND((K214="ALTA"),OR(LEFT(N214,2)="L0",LEFT(N214,2)="L1",L214="No Iniciado")),"CRÍTICO - Incumplimiento Normativo SEPS",IF(AND(OR(LEFT(N214,2)="L4",LEFT(N214,2)="L5"),AND(P214&lt;&gt;"",P214&lt;&gt;"N/A")),"CONFORME - Control Efectivo ISO 27001","OBSERVACIÓN - Revisar Controles")))</f>
        <v/>
      </c>
    </row>
    <row r="215">
      <c r="A215">
        <f>IF(INVENTARIO!A215="","",INVENTARIO!A215)</f>
        <v/>
      </c>
      <c r="B215">
        <f>IF(INVENTARIO!E215="","",INVENTARIO!E215)</f>
        <v/>
      </c>
      <c r="C215">
        <f>IF(INVENTARIO!F215="","",INVENTARIO!F215)</f>
        <v/>
      </c>
      <c r="D215">
        <f>IF(INVENTARIO!H215="","",INVENTARIO!H215)</f>
        <v/>
      </c>
      <c r="E215">
        <f>IF(INVENTARIO!I215="","",INVENTARIO!I215)</f>
        <v/>
      </c>
      <c r="F215">
        <f>IF(INVENTARIO!N215="","",INVENTARIO!N215)</f>
        <v/>
      </c>
      <c r="G215">
        <f>IF(INVENTARIO!P215="","",INVENTARIO!P215)</f>
        <v/>
      </c>
      <c r="H215">
        <f>IF(INVENTARIO!Q215="","",INVENTARIO!Q215)</f>
        <v/>
      </c>
      <c r="I215">
        <f>IF(INVENTARIO!R215="","",INVENTARIO!R215)</f>
        <v/>
      </c>
      <c r="J215">
        <f>IF(G215="PUBLICA(1)",1,IF(G215="USO INTERNO(2)",2,IF(G215="RESTRINGIDO(3)",3,0)))+IF(H215="BAJA(1)",1,IF(H215="MEDIA(2)",2,IF(H215="ALTA(3)",3,0)))+IF(I215="BAJA(1)",1,IF(I215="MEDIA(2)",2,IF(I215="ALTA(3)",3,0)))</f>
        <v/>
      </c>
      <c r="K215">
        <f>IF(J215="", "", IF(J215&gt;=8,"ALTA",IF(J215&gt;=6,"MEDIA","BAJA")))</f>
        <v/>
      </c>
      <c r="L215">
        <f>IF(INVENTARIO!Y215="","",INVENTARIO!Y215)</f>
        <v/>
      </c>
      <c r="M215">
        <f>IF(INVENTARIO!Z215="","",INVENTARIO!Z215)</f>
        <v/>
      </c>
      <c r="N215">
        <f>IF(INVENTARIO!AA215="","",INVENTARIO!AA215)</f>
        <v/>
      </c>
      <c r="O215">
        <f>IF(INVENTARIO!AB215="","",INVENTARIO!AB215)</f>
        <v/>
      </c>
      <c r="P215">
        <f>IF(INVENTARIO!AC215="","",INVENTARIO!AC215)</f>
        <v/>
      </c>
      <c r="Q215">
        <f>IF(AND(K215="",N215="",L215=""),"",IF(AND((K215="ALTA"),OR(LEFT(N215,2)="L0",LEFT(N215,2)="L1",L215="No Iniciado")),"CRÍTICO - Incumplimiento Normativo SEPS",IF(AND(OR(LEFT(N215,2)="L4",LEFT(N215,2)="L5"),AND(P215&lt;&gt;"",P215&lt;&gt;"N/A")),"CONFORME - Control Efectivo ISO 27001","OBSERVACIÓN - Revisar Controles")))</f>
        <v/>
      </c>
    </row>
    <row r="216">
      <c r="A216">
        <f>IF(INVENTARIO!A216="","",INVENTARIO!A216)</f>
        <v/>
      </c>
      <c r="B216">
        <f>IF(INVENTARIO!E216="","",INVENTARIO!E216)</f>
        <v/>
      </c>
      <c r="C216">
        <f>IF(INVENTARIO!F216="","",INVENTARIO!F216)</f>
        <v/>
      </c>
      <c r="D216">
        <f>IF(INVENTARIO!H216="","",INVENTARIO!H216)</f>
        <v/>
      </c>
      <c r="E216">
        <f>IF(INVENTARIO!I216="","",INVENTARIO!I216)</f>
        <v/>
      </c>
      <c r="F216">
        <f>IF(INVENTARIO!N216="","",INVENTARIO!N216)</f>
        <v/>
      </c>
      <c r="G216">
        <f>IF(INVENTARIO!P216="","",INVENTARIO!P216)</f>
        <v/>
      </c>
      <c r="H216">
        <f>IF(INVENTARIO!Q216="","",INVENTARIO!Q216)</f>
        <v/>
      </c>
      <c r="I216">
        <f>IF(INVENTARIO!R216="","",INVENTARIO!R216)</f>
        <v/>
      </c>
      <c r="J216">
        <f>IF(G216="PUBLICA(1)",1,IF(G216="USO INTERNO(2)",2,IF(G216="RESTRINGIDO(3)",3,0)))+IF(H216="BAJA(1)",1,IF(H216="MEDIA(2)",2,IF(H216="ALTA(3)",3,0)))+IF(I216="BAJA(1)",1,IF(I216="MEDIA(2)",2,IF(I216="ALTA(3)",3,0)))</f>
        <v/>
      </c>
      <c r="K216">
        <f>IF(J216="", "", IF(J216&gt;=8,"ALTA",IF(J216&gt;=6,"MEDIA","BAJA")))</f>
        <v/>
      </c>
      <c r="L216">
        <f>IF(INVENTARIO!Y216="","",INVENTARIO!Y216)</f>
        <v/>
      </c>
      <c r="M216">
        <f>IF(INVENTARIO!Z216="","",INVENTARIO!Z216)</f>
        <v/>
      </c>
      <c r="N216">
        <f>IF(INVENTARIO!AA216="","",INVENTARIO!AA216)</f>
        <v/>
      </c>
      <c r="O216">
        <f>IF(INVENTARIO!AB216="","",INVENTARIO!AB216)</f>
        <v/>
      </c>
      <c r="P216">
        <f>IF(INVENTARIO!AC216="","",INVENTARIO!AC216)</f>
        <v/>
      </c>
      <c r="Q216">
        <f>IF(AND(K216="",N216="",L216=""),"",IF(AND((K216="ALTA"),OR(LEFT(N216,2)="L0",LEFT(N216,2)="L1",L216="No Iniciado")),"CRÍTICO - Incumplimiento Normativo SEPS",IF(AND(OR(LEFT(N216,2)="L4",LEFT(N216,2)="L5"),AND(P216&lt;&gt;"",P216&lt;&gt;"N/A")),"CONFORME - Control Efectivo ISO 27001","OBSERVACIÓN - Revisar Controles")))</f>
        <v/>
      </c>
    </row>
    <row r="217">
      <c r="A217">
        <f>IF(INVENTARIO!A217="","",INVENTARIO!A217)</f>
        <v/>
      </c>
      <c r="B217">
        <f>IF(INVENTARIO!E217="","",INVENTARIO!E217)</f>
        <v/>
      </c>
      <c r="C217">
        <f>IF(INVENTARIO!F217="","",INVENTARIO!F217)</f>
        <v/>
      </c>
      <c r="D217">
        <f>IF(INVENTARIO!H217="","",INVENTARIO!H217)</f>
        <v/>
      </c>
      <c r="E217">
        <f>IF(INVENTARIO!I217="","",INVENTARIO!I217)</f>
        <v/>
      </c>
      <c r="F217">
        <f>IF(INVENTARIO!N217="","",INVENTARIO!N217)</f>
        <v/>
      </c>
      <c r="G217">
        <f>IF(INVENTARIO!P217="","",INVENTARIO!P217)</f>
        <v/>
      </c>
      <c r="H217">
        <f>IF(INVENTARIO!Q217="","",INVENTARIO!Q217)</f>
        <v/>
      </c>
      <c r="I217">
        <f>IF(INVENTARIO!R217="","",INVENTARIO!R217)</f>
        <v/>
      </c>
      <c r="J217">
        <f>IF(G217="PUBLICA(1)",1,IF(G217="USO INTERNO(2)",2,IF(G217="RESTRINGIDO(3)",3,0)))+IF(H217="BAJA(1)",1,IF(H217="MEDIA(2)",2,IF(H217="ALTA(3)",3,0)))+IF(I217="BAJA(1)",1,IF(I217="MEDIA(2)",2,IF(I217="ALTA(3)",3,0)))</f>
        <v/>
      </c>
      <c r="K217">
        <f>IF(J217="", "", IF(J217&gt;=8,"ALTA",IF(J217&gt;=6,"MEDIA","BAJA")))</f>
        <v/>
      </c>
      <c r="L217">
        <f>IF(INVENTARIO!Y217="","",INVENTARIO!Y217)</f>
        <v/>
      </c>
      <c r="M217">
        <f>IF(INVENTARIO!Z217="","",INVENTARIO!Z217)</f>
        <v/>
      </c>
      <c r="N217">
        <f>IF(INVENTARIO!AA217="","",INVENTARIO!AA217)</f>
        <v/>
      </c>
      <c r="O217">
        <f>IF(INVENTARIO!AB217="","",INVENTARIO!AB217)</f>
        <v/>
      </c>
      <c r="P217">
        <f>IF(INVENTARIO!AC217="","",INVENTARIO!AC217)</f>
        <v/>
      </c>
      <c r="Q217">
        <f>IF(AND(K217="",N217="",L217=""),"",IF(AND((K217="ALTA"),OR(LEFT(N217,2)="L0",LEFT(N217,2)="L1",L217="No Iniciado")),"CRÍTICO - Incumplimiento Normativo SEPS",IF(AND(OR(LEFT(N217,2)="L4",LEFT(N217,2)="L5"),AND(P217&lt;&gt;"",P217&lt;&gt;"N/A")),"CONFORME - Control Efectivo ISO 27001","OBSERVACIÓN - Revisar Controles")))</f>
        <v/>
      </c>
    </row>
    <row r="218">
      <c r="A218">
        <f>IF(INVENTARIO!A218="","",INVENTARIO!A218)</f>
        <v/>
      </c>
      <c r="B218">
        <f>IF(INVENTARIO!E218="","",INVENTARIO!E218)</f>
        <v/>
      </c>
      <c r="C218">
        <f>IF(INVENTARIO!F218="","",INVENTARIO!F218)</f>
        <v/>
      </c>
      <c r="D218">
        <f>IF(INVENTARIO!H218="","",INVENTARIO!H218)</f>
        <v/>
      </c>
      <c r="E218">
        <f>IF(INVENTARIO!I218="","",INVENTARIO!I218)</f>
        <v/>
      </c>
      <c r="F218">
        <f>IF(INVENTARIO!N218="","",INVENTARIO!N218)</f>
        <v/>
      </c>
      <c r="G218">
        <f>IF(INVENTARIO!P218="","",INVENTARIO!P218)</f>
        <v/>
      </c>
      <c r="H218">
        <f>IF(INVENTARIO!Q218="","",INVENTARIO!Q218)</f>
        <v/>
      </c>
      <c r="I218">
        <f>IF(INVENTARIO!R218="","",INVENTARIO!R218)</f>
        <v/>
      </c>
      <c r="J218">
        <f>IF(G218="PUBLICA(1)",1,IF(G218="USO INTERNO(2)",2,IF(G218="RESTRINGIDO(3)",3,0)))+IF(H218="BAJA(1)",1,IF(H218="MEDIA(2)",2,IF(H218="ALTA(3)",3,0)))+IF(I218="BAJA(1)",1,IF(I218="MEDIA(2)",2,IF(I218="ALTA(3)",3,0)))</f>
        <v/>
      </c>
      <c r="K218">
        <f>IF(J218="", "", IF(J218&gt;=8,"ALTA",IF(J218&gt;=6,"MEDIA","BAJA")))</f>
        <v/>
      </c>
      <c r="L218">
        <f>IF(INVENTARIO!Y218="","",INVENTARIO!Y218)</f>
        <v/>
      </c>
      <c r="M218">
        <f>IF(INVENTARIO!Z218="","",INVENTARIO!Z218)</f>
        <v/>
      </c>
      <c r="N218">
        <f>IF(INVENTARIO!AA218="","",INVENTARIO!AA218)</f>
        <v/>
      </c>
      <c r="O218">
        <f>IF(INVENTARIO!AB218="","",INVENTARIO!AB218)</f>
        <v/>
      </c>
      <c r="P218">
        <f>IF(INVENTARIO!AC218="","",INVENTARIO!AC218)</f>
        <v/>
      </c>
      <c r="Q218">
        <f>IF(AND(K218="",N218="",L218=""),"",IF(AND((K218="ALTA"),OR(LEFT(N218,2)="L0",LEFT(N218,2)="L1",L218="No Iniciado")),"CRÍTICO - Incumplimiento Normativo SEPS",IF(AND(OR(LEFT(N218,2)="L4",LEFT(N218,2)="L5"),AND(P218&lt;&gt;"",P218&lt;&gt;"N/A")),"CONFORME - Control Efectivo ISO 27001","OBSERVACIÓN - Revisar Controles")))</f>
        <v/>
      </c>
    </row>
    <row r="219">
      <c r="A219">
        <f>IF(INVENTARIO!A219="","",INVENTARIO!A219)</f>
        <v/>
      </c>
      <c r="B219">
        <f>IF(INVENTARIO!E219="","",INVENTARIO!E219)</f>
        <v/>
      </c>
      <c r="C219">
        <f>IF(INVENTARIO!F219="","",INVENTARIO!F219)</f>
        <v/>
      </c>
      <c r="D219">
        <f>IF(INVENTARIO!H219="","",INVENTARIO!H219)</f>
        <v/>
      </c>
      <c r="E219">
        <f>IF(INVENTARIO!I219="","",INVENTARIO!I219)</f>
        <v/>
      </c>
      <c r="F219">
        <f>IF(INVENTARIO!N219="","",INVENTARIO!N219)</f>
        <v/>
      </c>
      <c r="G219">
        <f>IF(INVENTARIO!P219="","",INVENTARIO!P219)</f>
        <v/>
      </c>
      <c r="H219">
        <f>IF(INVENTARIO!Q219="","",INVENTARIO!Q219)</f>
        <v/>
      </c>
      <c r="I219">
        <f>IF(INVENTARIO!R219="","",INVENTARIO!R219)</f>
        <v/>
      </c>
      <c r="J219">
        <f>IF(G219="PUBLICA(1)",1,IF(G219="USO INTERNO(2)",2,IF(G219="RESTRINGIDO(3)",3,0)))+IF(H219="BAJA(1)",1,IF(H219="MEDIA(2)",2,IF(H219="ALTA(3)",3,0)))+IF(I219="BAJA(1)",1,IF(I219="MEDIA(2)",2,IF(I219="ALTA(3)",3,0)))</f>
        <v/>
      </c>
      <c r="K219">
        <f>IF(J219="", "", IF(J219&gt;=8,"ALTA",IF(J219&gt;=6,"MEDIA","BAJA")))</f>
        <v/>
      </c>
      <c r="L219">
        <f>IF(INVENTARIO!Y219="","",INVENTARIO!Y219)</f>
        <v/>
      </c>
      <c r="M219">
        <f>IF(INVENTARIO!Z219="","",INVENTARIO!Z219)</f>
        <v/>
      </c>
      <c r="N219">
        <f>IF(INVENTARIO!AA219="","",INVENTARIO!AA219)</f>
        <v/>
      </c>
      <c r="O219">
        <f>IF(INVENTARIO!AB219="","",INVENTARIO!AB219)</f>
        <v/>
      </c>
      <c r="P219">
        <f>IF(INVENTARIO!AC219="","",INVENTARIO!AC219)</f>
        <v/>
      </c>
      <c r="Q219">
        <f>IF(AND(K219="",N219="",L219=""),"",IF(AND((K219="ALTA"),OR(LEFT(N219,2)="L0",LEFT(N219,2)="L1",L219="No Iniciado")),"CRÍTICO - Incumplimiento Normativo SEPS",IF(AND(OR(LEFT(N219,2)="L4",LEFT(N219,2)="L5"),AND(P219&lt;&gt;"",P219&lt;&gt;"N/A")),"CONFORME - Control Efectivo ISO 27001","OBSERVACIÓN - Revisar Controles")))</f>
        <v/>
      </c>
    </row>
    <row r="220">
      <c r="A220">
        <f>IF(INVENTARIO!A220="","",INVENTARIO!A220)</f>
        <v/>
      </c>
      <c r="B220">
        <f>IF(INVENTARIO!E220="","",INVENTARIO!E220)</f>
        <v/>
      </c>
      <c r="C220">
        <f>IF(INVENTARIO!F220="","",INVENTARIO!F220)</f>
        <v/>
      </c>
      <c r="D220">
        <f>IF(INVENTARIO!H220="","",INVENTARIO!H220)</f>
        <v/>
      </c>
      <c r="E220">
        <f>IF(INVENTARIO!I220="","",INVENTARIO!I220)</f>
        <v/>
      </c>
      <c r="F220">
        <f>IF(INVENTARIO!N220="","",INVENTARIO!N220)</f>
        <v/>
      </c>
      <c r="G220">
        <f>IF(INVENTARIO!P220="","",INVENTARIO!P220)</f>
        <v/>
      </c>
      <c r="H220">
        <f>IF(INVENTARIO!Q220="","",INVENTARIO!Q220)</f>
        <v/>
      </c>
      <c r="I220">
        <f>IF(INVENTARIO!R220="","",INVENTARIO!R220)</f>
        <v/>
      </c>
      <c r="J220">
        <f>IF(G220="PUBLICA(1)",1,IF(G220="USO INTERNO(2)",2,IF(G220="RESTRINGIDO(3)",3,0)))+IF(H220="BAJA(1)",1,IF(H220="MEDIA(2)",2,IF(H220="ALTA(3)",3,0)))+IF(I220="BAJA(1)",1,IF(I220="MEDIA(2)",2,IF(I220="ALTA(3)",3,0)))</f>
        <v/>
      </c>
      <c r="K220">
        <f>IF(J220="", "", IF(J220&gt;=8,"ALTA",IF(J220&gt;=6,"MEDIA","BAJA")))</f>
        <v/>
      </c>
      <c r="L220">
        <f>IF(INVENTARIO!Y220="","",INVENTARIO!Y220)</f>
        <v/>
      </c>
      <c r="M220">
        <f>IF(INVENTARIO!Z220="","",INVENTARIO!Z220)</f>
        <v/>
      </c>
      <c r="N220">
        <f>IF(INVENTARIO!AA220="","",INVENTARIO!AA220)</f>
        <v/>
      </c>
      <c r="O220">
        <f>IF(INVENTARIO!AB220="","",INVENTARIO!AB220)</f>
        <v/>
      </c>
      <c r="P220">
        <f>IF(INVENTARIO!AC220="","",INVENTARIO!AC220)</f>
        <v/>
      </c>
      <c r="Q220">
        <f>IF(AND(K220="",N220="",L220=""),"",IF(AND((K220="ALTA"),OR(LEFT(N220,2)="L0",LEFT(N220,2)="L1",L220="No Iniciado")),"CRÍTICO - Incumplimiento Normativo SEPS",IF(AND(OR(LEFT(N220,2)="L4",LEFT(N220,2)="L5"),AND(P220&lt;&gt;"",P220&lt;&gt;"N/A")),"CONFORME - Control Efectivo ISO 27001","OBSERVACIÓN - Revisar Controles")))</f>
        <v/>
      </c>
    </row>
    <row r="221">
      <c r="A221">
        <f>IF(INVENTARIO!A221="","",INVENTARIO!A221)</f>
        <v/>
      </c>
      <c r="B221">
        <f>IF(INVENTARIO!E221="","",INVENTARIO!E221)</f>
        <v/>
      </c>
      <c r="C221">
        <f>IF(INVENTARIO!F221="","",INVENTARIO!F221)</f>
        <v/>
      </c>
      <c r="D221">
        <f>IF(INVENTARIO!H221="","",INVENTARIO!H221)</f>
        <v/>
      </c>
      <c r="E221">
        <f>IF(INVENTARIO!I221="","",INVENTARIO!I221)</f>
        <v/>
      </c>
      <c r="F221">
        <f>IF(INVENTARIO!N221="","",INVENTARIO!N221)</f>
        <v/>
      </c>
      <c r="G221">
        <f>IF(INVENTARIO!P221="","",INVENTARIO!P221)</f>
        <v/>
      </c>
      <c r="H221">
        <f>IF(INVENTARIO!Q221="","",INVENTARIO!Q221)</f>
        <v/>
      </c>
      <c r="I221">
        <f>IF(INVENTARIO!R221="","",INVENTARIO!R221)</f>
        <v/>
      </c>
      <c r="J221">
        <f>IF(G221="PUBLICA(1)",1,IF(G221="USO INTERNO(2)",2,IF(G221="RESTRINGIDO(3)",3,0)))+IF(H221="BAJA(1)",1,IF(H221="MEDIA(2)",2,IF(H221="ALTA(3)",3,0)))+IF(I221="BAJA(1)",1,IF(I221="MEDIA(2)",2,IF(I221="ALTA(3)",3,0)))</f>
        <v/>
      </c>
      <c r="K221">
        <f>IF(J221="", "", IF(J221&gt;=8,"ALTA",IF(J221&gt;=6,"MEDIA","BAJA")))</f>
        <v/>
      </c>
      <c r="L221">
        <f>IF(INVENTARIO!Y221="","",INVENTARIO!Y221)</f>
        <v/>
      </c>
      <c r="M221">
        <f>IF(INVENTARIO!Z221="","",INVENTARIO!Z221)</f>
        <v/>
      </c>
      <c r="N221">
        <f>IF(INVENTARIO!AA221="","",INVENTARIO!AA221)</f>
        <v/>
      </c>
      <c r="O221">
        <f>IF(INVENTARIO!AB221="","",INVENTARIO!AB221)</f>
        <v/>
      </c>
      <c r="P221">
        <f>IF(INVENTARIO!AC221="","",INVENTARIO!AC221)</f>
        <v/>
      </c>
      <c r="Q221">
        <f>IF(AND(K221="",N221="",L221=""),"",IF(AND((K221="ALTA"),OR(LEFT(N221,2)="L0",LEFT(N221,2)="L1",L221="No Iniciado")),"CRÍTICO - Incumplimiento Normativo SEPS",IF(AND(OR(LEFT(N221,2)="L4",LEFT(N221,2)="L5"),AND(P221&lt;&gt;"",P221&lt;&gt;"N/A")),"CONFORME - Control Efectivo ISO 27001","OBSERVACIÓN - Revisar Controles")))</f>
        <v/>
      </c>
    </row>
    <row r="222">
      <c r="A222">
        <f>IF(INVENTARIO!A222="","",INVENTARIO!A222)</f>
        <v/>
      </c>
      <c r="B222">
        <f>IF(INVENTARIO!E222="","",INVENTARIO!E222)</f>
        <v/>
      </c>
      <c r="C222">
        <f>IF(INVENTARIO!F222="","",INVENTARIO!F222)</f>
        <v/>
      </c>
      <c r="D222">
        <f>IF(INVENTARIO!H222="","",INVENTARIO!H222)</f>
        <v/>
      </c>
      <c r="E222">
        <f>IF(INVENTARIO!I222="","",INVENTARIO!I222)</f>
        <v/>
      </c>
      <c r="F222">
        <f>IF(INVENTARIO!N222="","",INVENTARIO!N222)</f>
        <v/>
      </c>
      <c r="G222">
        <f>IF(INVENTARIO!P222="","",INVENTARIO!P222)</f>
        <v/>
      </c>
      <c r="H222">
        <f>IF(INVENTARIO!Q222="","",INVENTARIO!Q222)</f>
        <v/>
      </c>
      <c r="I222">
        <f>IF(INVENTARIO!R222="","",INVENTARIO!R222)</f>
        <v/>
      </c>
      <c r="J222">
        <f>IF(G222="PUBLICA(1)",1,IF(G222="USO INTERNO(2)",2,IF(G222="RESTRINGIDO(3)",3,0)))+IF(H222="BAJA(1)",1,IF(H222="MEDIA(2)",2,IF(H222="ALTA(3)",3,0)))+IF(I222="BAJA(1)",1,IF(I222="MEDIA(2)",2,IF(I222="ALTA(3)",3,0)))</f>
        <v/>
      </c>
      <c r="K222">
        <f>IF(J222="", "", IF(J222&gt;=8,"ALTA",IF(J222&gt;=6,"MEDIA","BAJA")))</f>
        <v/>
      </c>
      <c r="L222">
        <f>IF(INVENTARIO!Y222="","",INVENTARIO!Y222)</f>
        <v/>
      </c>
      <c r="M222">
        <f>IF(INVENTARIO!Z222="","",INVENTARIO!Z222)</f>
        <v/>
      </c>
      <c r="N222">
        <f>IF(INVENTARIO!AA222="","",INVENTARIO!AA222)</f>
        <v/>
      </c>
      <c r="O222">
        <f>IF(INVENTARIO!AB222="","",INVENTARIO!AB222)</f>
        <v/>
      </c>
      <c r="P222">
        <f>IF(INVENTARIO!AC222="","",INVENTARIO!AC222)</f>
        <v/>
      </c>
      <c r="Q222">
        <f>IF(AND(K222="",N222="",L222=""),"",IF(AND((K222="ALTA"),OR(LEFT(N222,2)="L0",LEFT(N222,2)="L1",L222="No Iniciado")),"CRÍTICO - Incumplimiento Normativo SEPS",IF(AND(OR(LEFT(N222,2)="L4",LEFT(N222,2)="L5"),AND(P222&lt;&gt;"",P222&lt;&gt;"N/A")),"CONFORME - Control Efectivo ISO 27001","OBSERVACIÓN - Revisar Controles")))</f>
        <v/>
      </c>
    </row>
    <row r="223">
      <c r="A223">
        <f>IF(INVENTARIO!A223="","",INVENTARIO!A223)</f>
        <v/>
      </c>
      <c r="B223">
        <f>IF(INVENTARIO!E223="","",INVENTARIO!E223)</f>
        <v/>
      </c>
      <c r="C223">
        <f>IF(INVENTARIO!F223="","",INVENTARIO!F223)</f>
        <v/>
      </c>
      <c r="D223">
        <f>IF(INVENTARIO!H223="","",INVENTARIO!H223)</f>
        <v/>
      </c>
      <c r="E223">
        <f>IF(INVENTARIO!I223="","",INVENTARIO!I223)</f>
        <v/>
      </c>
      <c r="F223">
        <f>IF(INVENTARIO!N223="","",INVENTARIO!N223)</f>
        <v/>
      </c>
      <c r="G223">
        <f>IF(INVENTARIO!P223="","",INVENTARIO!P223)</f>
        <v/>
      </c>
      <c r="H223">
        <f>IF(INVENTARIO!Q223="","",INVENTARIO!Q223)</f>
        <v/>
      </c>
      <c r="I223">
        <f>IF(INVENTARIO!R223="","",INVENTARIO!R223)</f>
        <v/>
      </c>
      <c r="J223">
        <f>IF(G223="PUBLICA(1)",1,IF(G223="USO INTERNO(2)",2,IF(G223="RESTRINGIDO(3)",3,0)))+IF(H223="BAJA(1)",1,IF(H223="MEDIA(2)",2,IF(H223="ALTA(3)",3,0)))+IF(I223="BAJA(1)",1,IF(I223="MEDIA(2)",2,IF(I223="ALTA(3)",3,0)))</f>
        <v/>
      </c>
      <c r="K223">
        <f>IF(J223="", "", IF(J223&gt;=8,"ALTA",IF(J223&gt;=6,"MEDIA","BAJA")))</f>
        <v/>
      </c>
      <c r="L223">
        <f>IF(INVENTARIO!Y223="","",INVENTARIO!Y223)</f>
        <v/>
      </c>
      <c r="M223">
        <f>IF(INVENTARIO!Z223="","",INVENTARIO!Z223)</f>
        <v/>
      </c>
      <c r="N223">
        <f>IF(INVENTARIO!AA223="","",INVENTARIO!AA223)</f>
        <v/>
      </c>
      <c r="O223">
        <f>IF(INVENTARIO!AB223="","",INVENTARIO!AB223)</f>
        <v/>
      </c>
      <c r="P223">
        <f>IF(INVENTARIO!AC223="","",INVENTARIO!AC223)</f>
        <v/>
      </c>
      <c r="Q223">
        <f>IF(AND(K223="",N223="",L223=""),"",IF(AND((K223="ALTA"),OR(LEFT(N223,2)="L0",LEFT(N223,2)="L1",L223="No Iniciado")),"CRÍTICO - Incumplimiento Normativo SEPS",IF(AND(OR(LEFT(N223,2)="L4",LEFT(N223,2)="L5"),AND(P223&lt;&gt;"",P223&lt;&gt;"N/A")),"CONFORME - Control Efectivo ISO 27001","OBSERVACIÓN - Revisar Controles")))</f>
        <v/>
      </c>
    </row>
    <row r="224">
      <c r="A224">
        <f>IF(INVENTARIO!A224="","",INVENTARIO!A224)</f>
        <v/>
      </c>
      <c r="B224">
        <f>IF(INVENTARIO!E224="","",INVENTARIO!E224)</f>
        <v/>
      </c>
      <c r="C224">
        <f>IF(INVENTARIO!F224="","",INVENTARIO!F224)</f>
        <v/>
      </c>
      <c r="D224">
        <f>IF(INVENTARIO!H224="","",INVENTARIO!H224)</f>
        <v/>
      </c>
      <c r="E224">
        <f>IF(INVENTARIO!I224="","",INVENTARIO!I224)</f>
        <v/>
      </c>
      <c r="F224">
        <f>IF(INVENTARIO!N224="","",INVENTARIO!N224)</f>
        <v/>
      </c>
      <c r="G224">
        <f>IF(INVENTARIO!P224="","",INVENTARIO!P224)</f>
        <v/>
      </c>
      <c r="H224">
        <f>IF(INVENTARIO!Q224="","",INVENTARIO!Q224)</f>
        <v/>
      </c>
      <c r="I224">
        <f>IF(INVENTARIO!R224="","",INVENTARIO!R224)</f>
        <v/>
      </c>
      <c r="J224">
        <f>IF(G224="PUBLICA(1)",1,IF(G224="USO INTERNO(2)",2,IF(G224="RESTRINGIDO(3)",3,0)))+IF(H224="BAJA(1)",1,IF(H224="MEDIA(2)",2,IF(H224="ALTA(3)",3,0)))+IF(I224="BAJA(1)",1,IF(I224="MEDIA(2)",2,IF(I224="ALTA(3)",3,0)))</f>
        <v/>
      </c>
      <c r="K224">
        <f>IF(J224="", "", IF(J224&gt;=8,"ALTA",IF(J224&gt;=6,"MEDIA","BAJA")))</f>
        <v/>
      </c>
      <c r="L224">
        <f>IF(INVENTARIO!Y224="","",INVENTARIO!Y224)</f>
        <v/>
      </c>
      <c r="M224">
        <f>IF(INVENTARIO!Z224="","",INVENTARIO!Z224)</f>
        <v/>
      </c>
      <c r="N224">
        <f>IF(INVENTARIO!AA224="","",INVENTARIO!AA224)</f>
        <v/>
      </c>
      <c r="O224">
        <f>IF(INVENTARIO!AB224="","",INVENTARIO!AB224)</f>
        <v/>
      </c>
      <c r="P224">
        <f>IF(INVENTARIO!AC224="","",INVENTARIO!AC224)</f>
        <v/>
      </c>
      <c r="Q224">
        <f>IF(AND(K224="",N224="",L224=""),"",IF(AND((K224="ALTA"),OR(LEFT(N224,2)="L0",LEFT(N224,2)="L1",L224="No Iniciado")),"CRÍTICO - Incumplimiento Normativo SEPS",IF(AND(OR(LEFT(N224,2)="L4",LEFT(N224,2)="L5"),AND(P224&lt;&gt;"",P224&lt;&gt;"N/A")),"CONFORME - Control Efectivo ISO 27001","OBSERVACIÓN - Revisar Controles")))</f>
        <v/>
      </c>
    </row>
    <row r="225">
      <c r="A225">
        <f>IF(INVENTARIO!A225="","",INVENTARIO!A225)</f>
        <v/>
      </c>
      <c r="B225">
        <f>IF(INVENTARIO!E225="","",INVENTARIO!E225)</f>
        <v/>
      </c>
      <c r="C225">
        <f>IF(INVENTARIO!F225="","",INVENTARIO!F225)</f>
        <v/>
      </c>
      <c r="D225">
        <f>IF(INVENTARIO!H225="","",INVENTARIO!H225)</f>
        <v/>
      </c>
      <c r="E225">
        <f>IF(INVENTARIO!I225="","",INVENTARIO!I225)</f>
        <v/>
      </c>
      <c r="F225">
        <f>IF(INVENTARIO!N225="","",INVENTARIO!N225)</f>
        <v/>
      </c>
      <c r="G225">
        <f>IF(INVENTARIO!P225="","",INVENTARIO!P225)</f>
        <v/>
      </c>
      <c r="H225">
        <f>IF(INVENTARIO!Q225="","",INVENTARIO!Q225)</f>
        <v/>
      </c>
      <c r="I225">
        <f>IF(INVENTARIO!R225="","",INVENTARIO!R225)</f>
        <v/>
      </c>
      <c r="J225">
        <f>IF(G225="PUBLICA(1)",1,IF(G225="USO INTERNO(2)",2,IF(G225="RESTRINGIDO(3)",3,0)))+IF(H225="BAJA(1)",1,IF(H225="MEDIA(2)",2,IF(H225="ALTA(3)",3,0)))+IF(I225="BAJA(1)",1,IF(I225="MEDIA(2)",2,IF(I225="ALTA(3)",3,0)))</f>
        <v/>
      </c>
      <c r="K225">
        <f>IF(J225="", "", IF(J225&gt;=8,"ALTA",IF(J225&gt;=6,"MEDIA","BAJA")))</f>
        <v/>
      </c>
      <c r="L225">
        <f>IF(INVENTARIO!Y225="","",INVENTARIO!Y225)</f>
        <v/>
      </c>
      <c r="M225">
        <f>IF(INVENTARIO!Z225="","",INVENTARIO!Z225)</f>
        <v/>
      </c>
      <c r="N225">
        <f>IF(INVENTARIO!AA225="","",INVENTARIO!AA225)</f>
        <v/>
      </c>
      <c r="O225">
        <f>IF(INVENTARIO!AB225="","",INVENTARIO!AB225)</f>
        <v/>
      </c>
      <c r="P225">
        <f>IF(INVENTARIO!AC225="","",INVENTARIO!AC225)</f>
        <v/>
      </c>
      <c r="Q225">
        <f>IF(AND(K225="",N225="",L225=""),"",IF(AND((K225="ALTA"),OR(LEFT(N225,2)="L0",LEFT(N225,2)="L1",L225="No Iniciado")),"CRÍTICO - Incumplimiento Normativo SEPS",IF(AND(OR(LEFT(N225,2)="L4",LEFT(N225,2)="L5"),AND(P225&lt;&gt;"",P225&lt;&gt;"N/A")),"CONFORME - Control Efectivo ISO 27001","OBSERVACIÓN - Revisar Controles")))</f>
        <v/>
      </c>
    </row>
    <row r="226">
      <c r="A226">
        <f>IF(INVENTARIO!A226="","",INVENTARIO!A226)</f>
        <v/>
      </c>
      <c r="B226">
        <f>IF(INVENTARIO!E226="","",INVENTARIO!E226)</f>
        <v/>
      </c>
      <c r="C226">
        <f>IF(INVENTARIO!F226="","",INVENTARIO!F226)</f>
        <v/>
      </c>
      <c r="D226">
        <f>IF(INVENTARIO!H226="","",INVENTARIO!H226)</f>
        <v/>
      </c>
      <c r="E226">
        <f>IF(INVENTARIO!I226="","",INVENTARIO!I226)</f>
        <v/>
      </c>
      <c r="F226">
        <f>IF(INVENTARIO!N226="","",INVENTARIO!N226)</f>
        <v/>
      </c>
      <c r="G226">
        <f>IF(INVENTARIO!P226="","",INVENTARIO!P226)</f>
        <v/>
      </c>
      <c r="H226">
        <f>IF(INVENTARIO!Q226="","",INVENTARIO!Q226)</f>
        <v/>
      </c>
      <c r="I226">
        <f>IF(INVENTARIO!R226="","",INVENTARIO!R226)</f>
        <v/>
      </c>
      <c r="J226">
        <f>IF(G226="PUBLICA(1)",1,IF(G226="USO INTERNO(2)",2,IF(G226="RESTRINGIDO(3)",3,0)))+IF(H226="BAJA(1)",1,IF(H226="MEDIA(2)",2,IF(H226="ALTA(3)",3,0)))+IF(I226="BAJA(1)",1,IF(I226="MEDIA(2)",2,IF(I226="ALTA(3)",3,0)))</f>
        <v/>
      </c>
      <c r="K226">
        <f>IF(J226="", "", IF(J226&gt;=8,"ALTA",IF(J226&gt;=6,"MEDIA","BAJA")))</f>
        <v/>
      </c>
      <c r="L226">
        <f>IF(INVENTARIO!Y226="","",INVENTARIO!Y226)</f>
        <v/>
      </c>
      <c r="M226">
        <f>IF(INVENTARIO!Z226="","",INVENTARIO!Z226)</f>
        <v/>
      </c>
      <c r="N226">
        <f>IF(INVENTARIO!AA226="","",INVENTARIO!AA226)</f>
        <v/>
      </c>
      <c r="O226">
        <f>IF(INVENTARIO!AB226="","",INVENTARIO!AB226)</f>
        <v/>
      </c>
      <c r="P226">
        <f>IF(INVENTARIO!AC226="","",INVENTARIO!AC226)</f>
        <v/>
      </c>
      <c r="Q226">
        <f>IF(AND(K226="",N226="",L226=""),"",IF(AND((K226="ALTA"),OR(LEFT(N226,2)="L0",LEFT(N226,2)="L1",L226="No Iniciado")),"CRÍTICO - Incumplimiento Normativo SEPS",IF(AND(OR(LEFT(N226,2)="L4",LEFT(N226,2)="L5"),AND(P226&lt;&gt;"",P226&lt;&gt;"N/A")),"CONFORME - Control Efectivo ISO 27001","OBSERVACIÓN - Revisar Controles")))</f>
        <v/>
      </c>
    </row>
    <row r="227">
      <c r="A227">
        <f>IF(INVENTARIO!A227="","",INVENTARIO!A227)</f>
        <v/>
      </c>
      <c r="B227">
        <f>IF(INVENTARIO!E227="","",INVENTARIO!E227)</f>
        <v/>
      </c>
      <c r="C227">
        <f>IF(INVENTARIO!F227="","",INVENTARIO!F227)</f>
        <v/>
      </c>
      <c r="D227">
        <f>IF(INVENTARIO!H227="","",INVENTARIO!H227)</f>
        <v/>
      </c>
      <c r="E227">
        <f>IF(INVENTARIO!I227="","",INVENTARIO!I227)</f>
        <v/>
      </c>
      <c r="F227">
        <f>IF(INVENTARIO!N227="","",INVENTARIO!N227)</f>
        <v/>
      </c>
      <c r="G227">
        <f>IF(INVENTARIO!P227="","",INVENTARIO!P227)</f>
        <v/>
      </c>
      <c r="H227">
        <f>IF(INVENTARIO!Q227="","",INVENTARIO!Q227)</f>
        <v/>
      </c>
      <c r="I227">
        <f>IF(INVENTARIO!R227="","",INVENTARIO!R227)</f>
        <v/>
      </c>
      <c r="J227">
        <f>IF(G227="PUBLICA(1)",1,IF(G227="USO INTERNO(2)",2,IF(G227="RESTRINGIDO(3)",3,0)))+IF(H227="BAJA(1)",1,IF(H227="MEDIA(2)",2,IF(H227="ALTA(3)",3,0)))+IF(I227="BAJA(1)",1,IF(I227="MEDIA(2)",2,IF(I227="ALTA(3)",3,0)))</f>
        <v/>
      </c>
      <c r="K227">
        <f>IF(J227="", "", IF(J227&gt;=8,"ALTA",IF(J227&gt;=6,"MEDIA","BAJA")))</f>
        <v/>
      </c>
      <c r="L227">
        <f>IF(INVENTARIO!Y227="","",INVENTARIO!Y227)</f>
        <v/>
      </c>
      <c r="M227">
        <f>IF(INVENTARIO!Z227="","",INVENTARIO!Z227)</f>
        <v/>
      </c>
      <c r="N227">
        <f>IF(INVENTARIO!AA227="","",INVENTARIO!AA227)</f>
        <v/>
      </c>
      <c r="O227">
        <f>IF(INVENTARIO!AB227="","",INVENTARIO!AB227)</f>
        <v/>
      </c>
      <c r="P227">
        <f>IF(INVENTARIO!AC227="","",INVENTARIO!AC227)</f>
        <v/>
      </c>
      <c r="Q227">
        <f>IF(AND(K227="",N227="",L227=""),"",IF(AND((K227="ALTA"),OR(LEFT(N227,2)="L0",LEFT(N227,2)="L1",L227="No Iniciado")),"CRÍTICO - Incumplimiento Normativo SEPS",IF(AND(OR(LEFT(N227,2)="L4",LEFT(N227,2)="L5"),AND(P227&lt;&gt;"",P227&lt;&gt;"N/A")),"CONFORME - Control Efectivo ISO 27001","OBSERVACIÓN - Revisar Controles")))</f>
        <v/>
      </c>
    </row>
    <row r="228">
      <c r="A228">
        <f>IF(INVENTARIO!A228="","",INVENTARIO!A228)</f>
        <v/>
      </c>
      <c r="B228">
        <f>IF(INVENTARIO!E228="","",INVENTARIO!E228)</f>
        <v/>
      </c>
      <c r="C228">
        <f>IF(INVENTARIO!F228="","",INVENTARIO!F228)</f>
        <v/>
      </c>
      <c r="D228">
        <f>IF(INVENTARIO!H228="","",INVENTARIO!H228)</f>
        <v/>
      </c>
      <c r="E228">
        <f>IF(INVENTARIO!I228="","",INVENTARIO!I228)</f>
        <v/>
      </c>
      <c r="F228">
        <f>IF(INVENTARIO!N228="","",INVENTARIO!N228)</f>
        <v/>
      </c>
      <c r="G228">
        <f>IF(INVENTARIO!P228="","",INVENTARIO!P228)</f>
        <v/>
      </c>
      <c r="H228">
        <f>IF(INVENTARIO!Q228="","",INVENTARIO!Q228)</f>
        <v/>
      </c>
      <c r="I228">
        <f>IF(INVENTARIO!R228="","",INVENTARIO!R228)</f>
        <v/>
      </c>
      <c r="J228">
        <f>IF(G228="PUBLICA(1)",1,IF(G228="USO INTERNO(2)",2,IF(G228="RESTRINGIDO(3)",3,0)))+IF(H228="BAJA(1)",1,IF(H228="MEDIA(2)",2,IF(H228="ALTA(3)",3,0)))+IF(I228="BAJA(1)",1,IF(I228="MEDIA(2)",2,IF(I228="ALTA(3)",3,0)))</f>
        <v/>
      </c>
      <c r="K228">
        <f>IF(J228="", "", IF(J228&gt;=8,"ALTA",IF(J228&gt;=6,"MEDIA","BAJA")))</f>
        <v/>
      </c>
      <c r="L228">
        <f>IF(INVENTARIO!Y228="","",INVENTARIO!Y228)</f>
        <v/>
      </c>
      <c r="M228">
        <f>IF(INVENTARIO!Z228="","",INVENTARIO!Z228)</f>
        <v/>
      </c>
      <c r="N228">
        <f>IF(INVENTARIO!AA228="","",INVENTARIO!AA228)</f>
        <v/>
      </c>
      <c r="O228">
        <f>IF(INVENTARIO!AB228="","",INVENTARIO!AB228)</f>
        <v/>
      </c>
      <c r="P228">
        <f>IF(INVENTARIO!AC228="","",INVENTARIO!AC228)</f>
        <v/>
      </c>
      <c r="Q228">
        <f>IF(AND(K228="",N228="",L228=""),"",IF(AND((K228="ALTA"),OR(LEFT(N228,2)="L0",LEFT(N228,2)="L1",L228="No Iniciado")),"CRÍTICO - Incumplimiento Normativo SEPS",IF(AND(OR(LEFT(N228,2)="L4",LEFT(N228,2)="L5"),AND(P228&lt;&gt;"",P228&lt;&gt;"N/A")),"CONFORME - Control Efectivo ISO 27001","OBSERVACIÓN - Revisar Controles")))</f>
        <v/>
      </c>
    </row>
    <row r="229">
      <c r="A229">
        <f>IF(INVENTARIO!A229="","",INVENTARIO!A229)</f>
        <v/>
      </c>
      <c r="B229">
        <f>IF(INVENTARIO!E229="","",INVENTARIO!E229)</f>
        <v/>
      </c>
      <c r="C229">
        <f>IF(INVENTARIO!F229="","",INVENTARIO!F229)</f>
        <v/>
      </c>
      <c r="D229">
        <f>IF(INVENTARIO!H229="","",INVENTARIO!H229)</f>
        <v/>
      </c>
      <c r="E229">
        <f>IF(INVENTARIO!I229="","",INVENTARIO!I229)</f>
        <v/>
      </c>
      <c r="F229">
        <f>IF(INVENTARIO!N229="","",INVENTARIO!N229)</f>
        <v/>
      </c>
      <c r="G229">
        <f>IF(INVENTARIO!P229="","",INVENTARIO!P229)</f>
        <v/>
      </c>
      <c r="H229">
        <f>IF(INVENTARIO!Q229="","",INVENTARIO!Q229)</f>
        <v/>
      </c>
      <c r="I229">
        <f>IF(INVENTARIO!R229="","",INVENTARIO!R229)</f>
        <v/>
      </c>
      <c r="J229">
        <f>IF(G229="PUBLICA(1)",1,IF(G229="USO INTERNO(2)",2,IF(G229="RESTRINGIDO(3)",3,0)))+IF(H229="BAJA(1)",1,IF(H229="MEDIA(2)",2,IF(H229="ALTA(3)",3,0)))+IF(I229="BAJA(1)",1,IF(I229="MEDIA(2)",2,IF(I229="ALTA(3)",3,0)))</f>
        <v/>
      </c>
      <c r="K229">
        <f>IF(J229="", "", IF(J229&gt;=8,"ALTA",IF(J229&gt;=6,"MEDIA","BAJA")))</f>
        <v/>
      </c>
      <c r="L229">
        <f>IF(INVENTARIO!Y229="","",INVENTARIO!Y229)</f>
        <v/>
      </c>
      <c r="M229">
        <f>IF(INVENTARIO!Z229="","",INVENTARIO!Z229)</f>
        <v/>
      </c>
      <c r="N229">
        <f>IF(INVENTARIO!AA229="","",INVENTARIO!AA229)</f>
        <v/>
      </c>
      <c r="O229">
        <f>IF(INVENTARIO!AB229="","",INVENTARIO!AB229)</f>
        <v/>
      </c>
      <c r="P229">
        <f>IF(INVENTARIO!AC229="","",INVENTARIO!AC229)</f>
        <v/>
      </c>
      <c r="Q229">
        <f>IF(AND(K229="",N229="",L229=""),"",IF(AND((K229="ALTA"),OR(LEFT(N229,2)="L0",LEFT(N229,2)="L1",L229="No Iniciado")),"CRÍTICO - Incumplimiento Normativo SEPS",IF(AND(OR(LEFT(N229,2)="L4",LEFT(N229,2)="L5"),AND(P229&lt;&gt;"",P229&lt;&gt;"N/A")),"CONFORME - Control Efectivo ISO 27001","OBSERVACIÓN - Revisar Controles")))</f>
        <v/>
      </c>
    </row>
    <row r="230">
      <c r="A230">
        <f>IF(INVENTARIO!A230="","",INVENTARIO!A230)</f>
        <v/>
      </c>
      <c r="B230">
        <f>IF(INVENTARIO!E230="","",INVENTARIO!E230)</f>
        <v/>
      </c>
      <c r="C230">
        <f>IF(INVENTARIO!F230="","",INVENTARIO!F230)</f>
        <v/>
      </c>
      <c r="D230">
        <f>IF(INVENTARIO!H230="","",INVENTARIO!H230)</f>
        <v/>
      </c>
      <c r="E230">
        <f>IF(INVENTARIO!I230="","",INVENTARIO!I230)</f>
        <v/>
      </c>
      <c r="F230">
        <f>IF(INVENTARIO!N230="","",INVENTARIO!N230)</f>
        <v/>
      </c>
      <c r="G230">
        <f>IF(INVENTARIO!P230="","",INVENTARIO!P230)</f>
        <v/>
      </c>
      <c r="H230">
        <f>IF(INVENTARIO!Q230="","",INVENTARIO!Q230)</f>
        <v/>
      </c>
      <c r="I230">
        <f>IF(INVENTARIO!R230="","",INVENTARIO!R230)</f>
        <v/>
      </c>
      <c r="J230">
        <f>IF(G230="PUBLICA(1)",1,IF(G230="USO INTERNO(2)",2,IF(G230="RESTRINGIDO(3)",3,0)))+IF(H230="BAJA(1)",1,IF(H230="MEDIA(2)",2,IF(H230="ALTA(3)",3,0)))+IF(I230="BAJA(1)",1,IF(I230="MEDIA(2)",2,IF(I230="ALTA(3)",3,0)))</f>
        <v/>
      </c>
      <c r="K230">
        <f>IF(J230="", "", IF(J230&gt;=8,"ALTA",IF(J230&gt;=6,"MEDIA","BAJA")))</f>
        <v/>
      </c>
      <c r="L230">
        <f>IF(INVENTARIO!Y230="","",INVENTARIO!Y230)</f>
        <v/>
      </c>
      <c r="M230">
        <f>IF(INVENTARIO!Z230="","",INVENTARIO!Z230)</f>
        <v/>
      </c>
      <c r="N230">
        <f>IF(INVENTARIO!AA230="","",INVENTARIO!AA230)</f>
        <v/>
      </c>
      <c r="O230">
        <f>IF(INVENTARIO!AB230="","",INVENTARIO!AB230)</f>
        <v/>
      </c>
      <c r="P230">
        <f>IF(INVENTARIO!AC230="","",INVENTARIO!AC230)</f>
        <v/>
      </c>
      <c r="Q230">
        <f>IF(AND(K230="",N230="",L230=""),"",IF(AND((K230="ALTA"),OR(LEFT(N230,2)="L0",LEFT(N230,2)="L1",L230="No Iniciado")),"CRÍTICO - Incumplimiento Normativo SEPS",IF(AND(OR(LEFT(N230,2)="L4",LEFT(N230,2)="L5"),AND(P230&lt;&gt;"",P230&lt;&gt;"N/A")),"CONFORME - Control Efectivo ISO 27001","OBSERVACIÓN - Revisar Controles")))</f>
        <v/>
      </c>
    </row>
    <row r="231">
      <c r="A231">
        <f>IF(INVENTARIO!A231="","",INVENTARIO!A231)</f>
        <v/>
      </c>
      <c r="B231">
        <f>IF(INVENTARIO!E231="","",INVENTARIO!E231)</f>
        <v/>
      </c>
      <c r="C231">
        <f>IF(INVENTARIO!F231="","",INVENTARIO!F231)</f>
        <v/>
      </c>
      <c r="D231">
        <f>IF(INVENTARIO!H231="","",INVENTARIO!H231)</f>
        <v/>
      </c>
      <c r="E231">
        <f>IF(INVENTARIO!I231="","",INVENTARIO!I231)</f>
        <v/>
      </c>
      <c r="F231">
        <f>IF(INVENTARIO!N231="","",INVENTARIO!N231)</f>
        <v/>
      </c>
      <c r="G231">
        <f>IF(INVENTARIO!P231="","",INVENTARIO!P231)</f>
        <v/>
      </c>
      <c r="H231">
        <f>IF(INVENTARIO!Q231="","",INVENTARIO!Q231)</f>
        <v/>
      </c>
      <c r="I231">
        <f>IF(INVENTARIO!R231="","",INVENTARIO!R231)</f>
        <v/>
      </c>
      <c r="J231">
        <f>IF(G231="PUBLICA(1)",1,IF(G231="USO INTERNO(2)",2,IF(G231="RESTRINGIDO(3)",3,0)))+IF(H231="BAJA(1)",1,IF(H231="MEDIA(2)",2,IF(H231="ALTA(3)",3,0)))+IF(I231="BAJA(1)",1,IF(I231="MEDIA(2)",2,IF(I231="ALTA(3)",3,0)))</f>
        <v/>
      </c>
      <c r="K231">
        <f>IF(J231="", "", IF(J231&gt;=8,"ALTA",IF(J231&gt;=6,"MEDIA","BAJA")))</f>
        <v/>
      </c>
      <c r="L231">
        <f>IF(INVENTARIO!Y231="","",INVENTARIO!Y231)</f>
        <v/>
      </c>
      <c r="M231">
        <f>IF(INVENTARIO!Z231="","",INVENTARIO!Z231)</f>
        <v/>
      </c>
      <c r="N231">
        <f>IF(INVENTARIO!AA231="","",INVENTARIO!AA231)</f>
        <v/>
      </c>
      <c r="O231">
        <f>IF(INVENTARIO!AB231="","",INVENTARIO!AB231)</f>
        <v/>
      </c>
      <c r="P231">
        <f>IF(INVENTARIO!AC231="","",INVENTARIO!AC231)</f>
        <v/>
      </c>
      <c r="Q231">
        <f>IF(AND(K231="",N231="",L231=""),"",IF(AND((K231="ALTA"),OR(LEFT(N231,2)="L0",LEFT(N231,2)="L1",L231="No Iniciado")),"CRÍTICO - Incumplimiento Normativo SEPS",IF(AND(OR(LEFT(N231,2)="L4",LEFT(N231,2)="L5"),AND(P231&lt;&gt;"",P231&lt;&gt;"N/A")),"CONFORME - Control Efectivo ISO 27001","OBSERVACIÓN - Revisar Controles")))</f>
        <v/>
      </c>
    </row>
    <row r="232">
      <c r="A232">
        <f>IF(INVENTARIO!A232="","",INVENTARIO!A232)</f>
        <v/>
      </c>
      <c r="B232">
        <f>IF(INVENTARIO!E232="","",INVENTARIO!E232)</f>
        <v/>
      </c>
      <c r="C232">
        <f>IF(INVENTARIO!F232="","",INVENTARIO!F232)</f>
        <v/>
      </c>
      <c r="D232">
        <f>IF(INVENTARIO!H232="","",INVENTARIO!H232)</f>
        <v/>
      </c>
      <c r="E232">
        <f>IF(INVENTARIO!I232="","",INVENTARIO!I232)</f>
        <v/>
      </c>
      <c r="F232">
        <f>IF(INVENTARIO!N232="","",INVENTARIO!N232)</f>
        <v/>
      </c>
      <c r="G232">
        <f>IF(INVENTARIO!P232="","",INVENTARIO!P232)</f>
        <v/>
      </c>
      <c r="H232">
        <f>IF(INVENTARIO!Q232="","",INVENTARIO!Q232)</f>
        <v/>
      </c>
      <c r="I232">
        <f>IF(INVENTARIO!R232="","",INVENTARIO!R232)</f>
        <v/>
      </c>
      <c r="J232">
        <f>IF(G232="PUBLICA(1)",1,IF(G232="USO INTERNO(2)",2,IF(G232="RESTRINGIDO(3)",3,0)))+IF(H232="BAJA(1)",1,IF(H232="MEDIA(2)",2,IF(H232="ALTA(3)",3,0)))+IF(I232="BAJA(1)",1,IF(I232="MEDIA(2)",2,IF(I232="ALTA(3)",3,0)))</f>
        <v/>
      </c>
      <c r="K232">
        <f>IF(J232="", "", IF(J232&gt;=8,"ALTA",IF(J232&gt;=6,"MEDIA","BAJA")))</f>
        <v/>
      </c>
      <c r="L232">
        <f>IF(INVENTARIO!Y232="","",INVENTARIO!Y232)</f>
        <v/>
      </c>
      <c r="M232">
        <f>IF(INVENTARIO!Z232="","",INVENTARIO!Z232)</f>
        <v/>
      </c>
      <c r="N232">
        <f>IF(INVENTARIO!AA232="","",INVENTARIO!AA232)</f>
        <v/>
      </c>
      <c r="O232">
        <f>IF(INVENTARIO!AB232="","",INVENTARIO!AB232)</f>
        <v/>
      </c>
      <c r="P232">
        <f>IF(INVENTARIO!AC232="","",INVENTARIO!AC232)</f>
        <v/>
      </c>
      <c r="Q232">
        <f>IF(AND(K232="",N232="",L232=""),"",IF(AND((K232="ALTA"),OR(LEFT(N232,2)="L0",LEFT(N232,2)="L1",L232="No Iniciado")),"CRÍTICO - Incumplimiento Normativo SEPS",IF(AND(OR(LEFT(N232,2)="L4",LEFT(N232,2)="L5"),AND(P232&lt;&gt;"",P232&lt;&gt;"N/A")),"CONFORME - Control Efectivo ISO 27001","OBSERVACIÓN - Revisar Controles")))</f>
        <v/>
      </c>
    </row>
    <row r="233">
      <c r="A233">
        <f>IF(INVENTARIO!A233="","",INVENTARIO!A233)</f>
        <v/>
      </c>
      <c r="B233">
        <f>IF(INVENTARIO!E233="","",INVENTARIO!E233)</f>
        <v/>
      </c>
      <c r="C233">
        <f>IF(INVENTARIO!F233="","",INVENTARIO!F233)</f>
        <v/>
      </c>
      <c r="D233">
        <f>IF(INVENTARIO!H233="","",INVENTARIO!H233)</f>
        <v/>
      </c>
      <c r="E233">
        <f>IF(INVENTARIO!I233="","",INVENTARIO!I233)</f>
        <v/>
      </c>
      <c r="F233">
        <f>IF(INVENTARIO!N233="","",INVENTARIO!N233)</f>
        <v/>
      </c>
      <c r="G233">
        <f>IF(INVENTARIO!P233="","",INVENTARIO!P233)</f>
        <v/>
      </c>
      <c r="H233">
        <f>IF(INVENTARIO!Q233="","",INVENTARIO!Q233)</f>
        <v/>
      </c>
      <c r="I233">
        <f>IF(INVENTARIO!R233="","",INVENTARIO!R233)</f>
        <v/>
      </c>
      <c r="J233">
        <f>IF(G233="PUBLICA(1)",1,IF(G233="USO INTERNO(2)",2,IF(G233="RESTRINGIDO(3)",3,0)))+IF(H233="BAJA(1)",1,IF(H233="MEDIA(2)",2,IF(H233="ALTA(3)",3,0)))+IF(I233="BAJA(1)",1,IF(I233="MEDIA(2)",2,IF(I233="ALTA(3)",3,0)))</f>
        <v/>
      </c>
      <c r="K233">
        <f>IF(J233="", "", IF(J233&gt;=8,"ALTA",IF(J233&gt;=6,"MEDIA","BAJA")))</f>
        <v/>
      </c>
      <c r="L233">
        <f>IF(INVENTARIO!Y233="","",INVENTARIO!Y233)</f>
        <v/>
      </c>
      <c r="M233">
        <f>IF(INVENTARIO!Z233="","",INVENTARIO!Z233)</f>
        <v/>
      </c>
      <c r="N233">
        <f>IF(INVENTARIO!AA233="","",INVENTARIO!AA233)</f>
        <v/>
      </c>
      <c r="O233">
        <f>IF(INVENTARIO!AB233="","",INVENTARIO!AB233)</f>
        <v/>
      </c>
      <c r="P233">
        <f>IF(INVENTARIO!AC233="","",INVENTARIO!AC233)</f>
        <v/>
      </c>
      <c r="Q233">
        <f>IF(AND(K233="",N233="",L233=""),"",IF(AND((K233="ALTA"),OR(LEFT(N233,2)="L0",LEFT(N233,2)="L1",L233="No Iniciado")),"CRÍTICO - Incumplimiento Normativo SEPS",IF(AND(OR(LEFT(N233,2)="L4",LEFT(N233,2)="L5"),AND(P233&lt;&gt;"",P233&lt;&gt;"N/A")),"CONFORME - Control Efectivo ISO 27001","OBSERVACIÓN - Revisar Controles")))</f>
        <v/>
      </c>
    </row>
    <row r="234">
      <c r="A234">
        <f>IF(INVENTARIO!A234="","",INVENTARIO!A234)</f>
        <v/>
      </c>
      <c r="B234">
        <f>IF(INVENTARIO!E234="","",INVENTARIO!E234)</f>
        <v/>
      </c>
      <c r="C234">
        <f>IF(INVENTARIO!F234="","",INVENTARIO!F234)</f>
        <v/>
      </c>
      <c r="D234">
        <f>IF(INVENTARIO!H234="","",INVENTARIO!H234)</f>
        <v/>
      </c>
      <c r="E234">
        <f>IF(INVENTARIO!I234="","",INVENTARIO!I234)</f>
        <v/>
      </c>
      <c r="F234">
        <f>IF(INVENTARIO!N234="","",INVENTARIO!N234)</f>
        <v/>
      </c>
      <c r="G234">
        <f>IF(INVENTARIO!P234="","",INVENTARIO!P234)</f>
        <v/>
      </c>
      <c r="H234">
        <f>IF(INVENTARIO!Q234="","",INVENTARIO!Q234)</f>
        <v/>
      </c>
      <c r="I234">
        <f>IF(INVENTARIO!R234="","",INVENTARIO!R234)</f>
        <v/>
      </c>
      <c r="J234">
        <f>IF(G234="PUBLICA(1)",1,IF(G234="USO INTERNO(2)",2,IF(G234="RESTRINGIDO(3)",3,0)))+IF(H234="BAJA(1)",1,IF(H234="MEDIA(2)",2,IF(H234="ALTA(3)",3,0)))+IF(I234="BAJA(1)",1,IF(I234="MEDIA(2)",2,IF(I234="ALTA(3)",3,0)))</f>
        <v/>
      </c>
      <c r="K234">
        <f>IF(J234="", "", IF(J234&gt;=8,"ALTA",IF(J234&gt;=6,"MEDIA","BAJA")))</f>
        <v/>
      </c>
      <c r="L234">
        <f>IF(INVENTARIO!Y234="","",INVENTARIO!Y234)</f>
        <v/>
      </c>
      <c r="M234">
        <f>IF(INVENTARIO!Z234="","",INVENTARIO!Z234)</f>
        <v/>
      </c>
      <c r="N234">
        <f>IF(INVENTARIO!AA234="","",INVENTARIO!AA234)</f>
        <v/>
      </c>
      <c r="O234">
        <f>IF(INVENTARIO!AB234="","",INVENTARIO!AB234)</f>
        <v/>
      </c>
      <c r="P234">
        <f>IF(INVENTARIO!AC234="","",INVENTARIO!AC234)</f>
        <v/>
      </c>
      <c r="Q234">
        <f>IF(AND(K234="",N234="",L234=""),"",IF(AND((K234="ALTA"),OR(LEFT(N234,2)="L0",LEFT(N234,2)="L1",L234="No Iniciado")),"CRÍTICO - Incumplimiento Normativo SEPS",IF(AND(OR(LEFT(N234,2)="L4",LEFT(N234,2)="L5"),AND(P234&lt;&gt;"",P234&lt;&gt;"N/A")),"CONFORME - Control Efectivo ISO 27001","OBSERVACIÓN - Revisar Controles")))</f>
        <v/>
      </c>
    </row>
    <row r="235">
      <c r="A235">
        <f>IF(INVENTARIO!A235="","",INVENTARIO!A235)</f>
        <v/>
      </c>
      <c r="B235">
        <f>IF(INVENTARIO!E235="","",INVENTARIO!E235)</f>
        <v/>
      </c>
      <c r="C235">
        <f>IF(INVENTARIO!F235="","",INVENTARIO!F235)</f>
        <v/>
      </c>
      <c r="D235">
        <f>IF(INVENTARIO!H235="","",INVENTARIO!H235)</f>
        <v/>
      </c>
      <c r="E235">
        <f>IF(INVENTARIO!I235="","",INVENTARIO!I235)</f>
        <v/>
      </c>
      <c r="F235">
        <f>IF(INVENTARIO!N235="","",INVENTARIO!N235)</f>
        <v/>
      </c>
      <c r="G235">
        <f>IF(INVENTARIO!P235="","",INVENTARIO!P235)</f>
        <v/>
      </c>
      <c r="H235">
        <f>IF(INVENTARIO!Q235="","",INVENTARIO!Q235)</f>
        <v/>
      </c>
      <c r="I235">
        <f>IF(INVENTARIO!R235="","",INVENTARIO!R235)</f>
        <v/>
      </c>
      <c r="J235">
        <f>IF(G235="PUBLICA(1)",1,IF(G235="USO INTERNO(2)",2,IF(G235="RESTRINGIDO(3)",3,0)))+IF(H235="BAJA(1)",1,IF(H235="MEDIA(2)",2,IF(H235="ALTA(3)",3,0)))+IF(I235="BAJA(1)",1,IF(I235="MEDIA(2)",2,IF(I235="ALTA(3)",3,0)))</f>
        <v/>
      </c>
      <c r="K235">
        <f>IF(J235="", "", IF(J235&gt;=8,"ALTA",IF(J235&gt;=6,"MEDIA","BAJA")))</f>
        <v/>
      </c>
      <c r="L235">
        <f>IF(INVENTARIO!Y235="","",INVENTARIO!Y235)</f>
        <v/>
      </c>
      <c r="M235">
        <f>IF(INVENTARIO!Z235="","",INVENTARIO!Z235)</f>
        <v/>
      </c>
      <c r="N235">
        <f>IF(INVENTARIO!AA235="","",INVENTARIO!AA235)</f>
        <v/>
      </c>
      <c r="O235">
        <f>IF(INVENTARIO!AB235="","",INVENTARIO!AB235)</f>
        <v/>
      </c>
      <c r="P235">
        <f>IF(INVENTARIO!AC235="","",INVENTARIO!AC235)</f>
        <v/>
      </c>
      <c r="Q235">
        <f>IF(AND(K235="",N235="",L235=""),"",IF(AND((K235="ALTA"),OR(LEFT(N235,2)="L0",LEFT(N235,2)="L1",L235="No Iniciado")),"CRÍTICO - Incumplimiento Normativo SEPS",IF(AND(OR(LEFT(N235,2)="L4",LEFT(N235,2)="L5"),AND(P235&lt;&gt;"",P235&lt;&gt;"N/A")),"CONFORME - Control Efectivo ISO 27001","OBSERVACIÓN - Revisar Controles")))</f>
        <v/>
      </c>
    </row>
    <row r="236">
      <c r="A236">
        <f>IF(INVENTARIO!A236="","",INVENTARIO!A236)</f>
        <v/>
      </c>
      <c r="B236">
        <f>IF(INVENTARIO!E236="","",INVENTARIO!E236)</f>
        <v/>
      </c>
      <c r="C236">
        <f>IF(INVENTARIO!F236="","",INVENTARIO!F236)</f>
        <v/>
      </c>
      <c r="D236">
        <f>IF(INVENTARIO!H236="","",INVENTARIO!H236)</f>
        <v/>
      </c>
      <c r="E236">
        <f>IF(INVENTARIO!I236="","",INVENTARIO!I236)</f>
        <v/>
      </c>
      <c r="F236">
        <f>IF(INVENTARIO!N236="","",INVENTARIO!N236)</f>
        <v/>
      </c>
      <c r="G236">
        <f>IF(INVENTARIO!P236="","",INVENTARIO!P236)</f>
        <v/>
      </c>
      <c r="H236">
        <f>IF(INVENTARIO!Q236="","",INVENTARIO!Q236)</f>
        <v/>
      </c>
      <c r="I236">
        <f>IF(INVENTARIO!R236="","",INVENTARIO!R236)</f>
        <v/>
      </c>
      <c r="J236">
        <f>IF(G236="PUBLICA(1)",1,IF(G236="USO INTERNO(2)",2,IF(G236="RESTRINGIDO(3)",3,0)))+IF(H236="BAJA(1)",1,IF(H236="MEDIA(2)",2,IF(H236="ALTA(3)",3,0)))+IF(I236="BAJA(1)",1,IF(I236="MEDIA(2)",2,IF(I236="ALTA(3)",3,0)))</f>
        <v/>
      </c>
      <c r="K236">
        <f>IF(J236="", "", IF(J236&gt;=8,"ALTA",IF(J236&gt;=6,"MEDIA","BAJA")))</f>
        <v/>
      </c>
      <c r="L236">
        <f>IF(INVENTARIO!Y236="","",INVENTARIO!Y236)</f>
        <v/>
      </c>
      <c r="M236">
        <f>IF(INVENTARIO!Z236="","",INVENTARIO!Z236)</f>
        <v/>
      </c>
      <c r="N236">
        <f>IF(INVENTARIO!AA236="","",INVENTARIO!AA236)</f>
        <v/>
      </c>
      <c r="O236">
        <f>IF(INVENTARIO!AB236="","",INVENTARIO!AB236)</f>
        <v/>
      </c>
      <c r="P236">
        <f>IF(INVENTARIO!AC236="","",INVENTARIO!AC236)</f>
        <v/>
      </c>
      <c r="Q236">
        <f>IF(AND(K236="",N236="",L236=""),"",IF(AND((K236="ALTA"),OR(LEFT(N236,2)="L0",LEFT(N236,2)="L1",L236="No Iniciado")),"CRÍTICO - Incumplimiento Normativo SEPS",IF(AND(OR(LEFT(N236,2)="L4",LEFT(N236,2)="L5"),AND(P236&lt;&gt;"",P236&lt;&gt;"N/A")),"CONFORME - Control Efectivo ISO 27001","OBSERVACIÓN - Revisar Controles")))</f>
        <v/>
      </c>
    </row>
    <row r="237">
      <c r="A237">
        <f>IF(INVENTARIO!A237="","",INVENTARIO!A237)</f>
        <v/>
      </c>
      <c r="B237">
        <f>IF(INVENTARIO!E237="","",INVENTARIO!E237)</f>
        <v/>
      </c>
      <c r="C237">
        <f>IF(INVENTARIO!F237="","",INVENTARIO!F237)</f>
        <v/>
      </c>
      <c r="D237">
        <f>IF(INVENTARIO!H237="","",INVENTARIO!H237)</f>
        <v/>
      </c>
      <c r="E237">
        <f>IF(INVENTARIO!I237="","",INVENTARIO!I237)</f>
        <v/>
      </c>
      <c r="F237">
        <f>IF(INVENTARIO!N237="","",INVENTARIO!N237)</f>
        <v/>
      </c>
      <c r="G237">
        <f>IF(INVENTARIO!P237="","",INVENTARIO!P237)</f>
        <v/>
      </c>
      <c r="H237">
        <f>IF(INVENTARIO!Q237="","",INVENTARIO!Q237)</f>
        <v/>
      </c>
      <c r="I237">
        <f>IF(INVENTARIO!R237="","",INVENTARIO!R237)</f>
        <v/>
      </c>
      <c r="J237">
        <f>IF(G237="PUBLICA(1)",1,IF(G237="USO INTERNO(2)",2,IF(G237="RESTRINGIDO(3)",3,0)))+IF(H237="BAJA(1)",1,IF(H237="MEDIA(2)",2,IF(H237="ALTA(3)",3,0)))+IF(I237="BAJA(1)",1,IF(I237="MEDIA(2)",2,IF(I237="ALTA(3)",3,0)))</f>
        <v/>
      </c>
      <c r="K237">
        <f>IF(J237="", "", IF(J237&gt;=8,"ALTA",IF(J237&gt;=6,"MEDIA","BAJA")))</f>
        <v/>
      </c>
      <c r="L237">
        <f>IF(INVENTARIO!Y237="","",INVENTARIO!Y237)</f>
        <v/>
      </c>
      <c r="M237">
        <f>IF(INVENTARIO!Z237="","",INVENTARIO!Z237)</f>
        <v/>
      </c>
      <c r="N237">
        <f>IF(INVENTARIO!AA237="","",INVENTARIO!AA237)</f>
        <v/>
      </c>
      <c r="O237">
        <f>IF(INVENTARIO!AB237="","",INVENTARIO!AB237)</f>
        <v/>
      </c>
      <c r="P237">
        <f>IF(INVENTARIO!AC237="","",INVENTARIO!AC237)</f>
        <v/>
      </c>
      <c r="Q237">
        <f>IF(AND(K237="",N237="",L237=""),"",IF(AND((K237="ALTA"),OR(LEFT(N237,2)="L0",LEFT(N237,2)="L1",L237="No Iniciado")),"CRÍTICO - Incumplimiento Normativo SEPS",IF(AND(OR(LEFT(N237,2)="L4",LEFT(N237,2)="L5"),AND(P237&lt;&gt;"",P237&lt;&gt;"N/A")),"CONFORME - Control Efectivo ISO 27001","OBSERVACIÓN - Revisar Controles")))</f>
        <v/>
      </c>
    </row>
    <row r="238">
      <c r="A238">
        <f>IF(INVENTARIO!A238="","",INVENTARIO!A238)</f>
        <v/>
      </c>
      <c r="B238">
        <f>IF(INVENTARIO!E238="","",INVENTARIO!E238)</f>
        <v/>
      </c>
      <c r="C238">
        <f>IF(INVENTARIO!F238="","",INVENTARIO!F238)</f>
        <v/>
      </c>
      <c r="D238">
        <f>IF(INVENTARIO!H238="","",INVENTARIO!H238)</f>
        <v/>
      </c>
      <c r="E238">
        <f>IF(INVENTARIO!I238="","",INVENTARIO!I238)</f>
        <v/>
      </c>
      <c r="F238">
        <f>IF(INVENTARIO!N238="","",INVENTARIO!N238)</f>
        <v/>
      </c>
      <c r="G238">
        <f>IF(INVENTARIO!P238="","",INVENTARIO!P238)</f>
        <v/>
      </c>
      <c r="H238">
        <f>IF(INVENTARIO!Q238="","",INVENTARIO!Q238)</f>
        <v/>
      </c>
      <c r="I238">
        <f>IF(INVENTARIO!R238="","",INVENTARIO!R238)</f>
        <v/>
      </c>
      <c r="J238">
        <f>IF(G238="PUBLICA(1)",1,IF(G238="USO INTERNO(2)",2,IF(G238="RESTRINGIDO(3)",3,0)))+IF(H238="BAJA(1)",1,IF(H238="MEDIA(2)",2,IF(H238="ALTA(3)",3,0)))+IF(I238="BAJA(1)",1,IF(I238="MEDIA(2)",2,IF(I238="ALTA(3)",3,0)))</f>
        <v/>
      </c>
      <c r="K238">
        <f>IF(J238="", "", IF(J238&gt;=8,"ALTA",IF(J238&gt;=6,"MEDIA","BAJA")))</f>
        <v/>
      </c>
      <c r="L238">
        <f>IF(INVENTARIO!Y238="","",INVENTARIO!Y238)</f>
        <v/>
      </c>
      <c r="M238">
        <f>IF(INVENTARIO!Z238="","",INVENTARIO!Z238)</f>
        <v/>
      </c>
      <c r="N238">
        <f>IF(INVENTARIO!AA238="","",INVENTARIO!AA238)</f>
        <v/>
      </c>
      <c r="O238">
        <f>IF(INVENTARIO!AB238="","",INVENTARIO!AB238)</f>
        <v/>
      </c>
      <c r="P238">
        <f>IF(INVENTARIO!AC238="","",INVENTARIO!AC238)</f>
        <v/>
      </c>
      <c r="Q238">
        <f>IF(AND(K238="",N238="",L238=""),"",IF(AND((K238="ALTA"),OR(LEFT(N238,2)="L0",LEFT(N238,2)="L1",L238="No Iniciado")),"CRÍTICO - Incumplimiento Normativo SEPS",IF(AND(OR(LEFT(N238,2)="L4",LEFT(N238,2)="L5"),AND(P238&lt;&gt;"",P238&lt;&gt;"N/A")),"CONFORME - Control Efectivo ISO 27001","OBSERVACIÓN - Revisar Controles")))</f>
        <v/>
      </c>
    </row>
    <row r="239">
      <c r="A239">
        <f>IF(INVENTARIO!A239="","",INVENTARIO!A239)</f>
        <v/>
      </c>
      <c r="B239">
        <f>IF(INVENTARIO!E239="","",INVENTARIO!E239)</f>
        <v/>
      </c>
      <c r="C239">
        <f>IF(INVENTARIO!F239="","",INVENTARIO!F239)</f>
        <v/>
      </c>
      <c r="D239">
        <f>IF(INVENTARIO!H239="","",INVENTARIO!H239)</f>
        <v/>
      </c>
      <c r="E239">
        <f>IF(INVENTARIO!I239="","",INVENTARIO!I239)</f>
        <v/>
      </c>
      <c r="F239">
        <f>IF(INVENTARIO!N239="","",INVENTARIO!N239)</f>
        <v/>
      </c>
      <c r="G239">
        <f>IF(INVENTARIO!P239="","",INVENTARIO!P239)</f>
        <v/>
      </c>
      <c r="H239">
        <f>IF(INVENTARIO!Q239="","",INVENTARIO!Q239)</f>
        <v/>
      </c>
      <c r="I239">
        <f>IF(INVENTARIO!R239="","",INVENTARIO!R239)</f>
        <v/>
      </c>
      <c r="J239">
        <f>IF(G239="PUBLICA(1)",1,IF(G239="USO INTERNO(2)",2,IF(G239="RESTRINGIDO(3)",3,0)))+IF(H239="BAJA(1)",1,IF(H239="MEDIA(2)",2,IF(H239="ALTA(3)",3,0)))+IF(I239="BAJA(1)",1,IF(I239="MEDIA(2)",2,IF(I239="ALTA(3)",3,0)))</f>
        <v/>
      </c>
      <c r="K239">
        <f>IF(J239="", "", IF(J239&gt;=8,"ALTA",IF(J239&gt;=6,"MEDIA","BAJA")))</f>
        <v/>
      </c>
      <c r="L239">
        <f>IF(INVENTARIO!Y239="","",INVENTARIO!Y239)</f>
        <v/>
      </c>
      <c r="M239">
        <f>IF(INVENTARIO!Z239="","",INVENTARIO!Z239)</f>
        <v/>
      </c>
      <c r="N239">
        <f>IF(INVENTARIO!AA239="","",INVENTARIO!AA239)</f>
        <v/>
      </c>
      <c r="O239">
        <f>IF(INVENTARIO!AB239="","",INVENTARIO!AB239)</f>
        <v/>
      </c>
      <c r="P239">
        <f>IF(INVENTARIO!AC239="","",INVENTARIO!AC239)</f>
        <v/>
      </c>
      <c r="Q239">
        <f>IF(AND(K239="",N239="",L239=""),"",IF(AND((K239="ALTA"),OR(LEFT(N239,2)="L0",LEFT(N239,2)="L1",L239="No Iniciado")),"CRÍTICO - Incumplimiento Normativo SEPS",IF(AND(OR(LEFT(N239,2)="L4",LEFT(N239,2)="L5"),AND(P239&lt;&gt;"",P239&lt;&gt;"N/A")),"CONFORME - Control Efectivo ISO 27001","OBSERVACIÓN - Revisar Controles")))</f>
        <v/>
      </c>
    </row>
    <row r="240">
      <c r="A240">
        <f>IF(INVENTARIO!A240="","",INVENTARIO!A240)</f>
        <v/>
      </c>
      <c r="B240">
        <f>IF(INVENTARIO!E240="","",INVENTARIO!E240)</f>
        <v/>
      </c>
      <c r="C240">
        <f>IF(INVENTARIO!F240="","",INVENTARIO!F240)</f>
        <v/>
      </c>
      <c r="D240">
        <f>IF(INVENTARIO!H240="","",INVENTARIO!H240)</f>
        <v/>
      </c>
      <c r="E240">
        <f>IF(INVENTARIO!I240="","",INVENTARIO!I240)</f>
        <v/>
      </c>
      <c r="F240">
        <f>IF(INVENTARIO!N240="","",INVENTARIO!N240)</f>
        <v/>
      </c>
      <c r="G240">
        <f>IF(INVENTARIO!P240="","",INVENTARIO!P240)</f>
        <v/>
      </c>
      <c r="H240">
        <f>IF(INVENTARIO!Q240="","",INVENTARIO!Q240)</f>
        <v/>
      </c>
      <c r="I240">
        <f>IF(INVENTARIO!R240="","",INVENTARIO!R240)</f>
        <v/>
      </c>
      <c r="J240">
        <f>IF(G240="PUBLICA(1)",1,IF(G240="USO INTERNO(2)",2,IF(G240="RESTRINGIDO(3)",3,0)))+IF(H240="BAJA(1)",1,IF(H240="MEDIA(2)",2,IF(H240="ALTA(3)",3,0)))+IF(I240="BAJA(1)",1,IF(I240="MEDIA(2)",2,IF(I240="ALTA(3)",3,0)))</f>
        <v/>
      </c>
      <c r="K240">
        <f>IF(J240="", "", IF(J240&gt;=8,"ALTA",IF(J240&gt;=6,"MEDIA","BAJA")))</f>
        <v/>
      </c>
      <c r="L240">
        <f>IF(INVENTARIO!Y240="","",INVENTARIO!Y240)</f>
        <v/>
      </c>
      <c r="M240">
        <f>IF(INVENTARIO!Z240="","",INVENTARIO!Z240)</f>
        <v/>
      </c>
      <c r="N240">
        <f>IF(INVENTARIO!AA240="","",INVENTARIO!AA240)</f>
        <v/>
      </c>
      <c r="O240">
        <f>IF(INVENTARIO!AB240="","",INVENTARIO!AB240)</f>
        <v/>
      </c>
      <c r="P240">
        <f>IF(INVENTARIO!AC240="","",INVENTARIO!AC240)</f>
        <v/>
      </c>
      <c r="Q240">
        <f>IF(AND(K240="",N240="",L240=""),"",IF(AND((K240="ALTA"),OR(LEFT(N240,2)="L0",LEFT(N240,2)="L1",L240="No Iniciado")),"CRÍTICO - Incumplimiento Normativo SEPS",IF(AND(OR(LEFT(N240,2)="L4",LEFT(N240,2)="L5"),AND(P240&lt;&gt;"",P240&lt;&gt;"N/A")),"CONFORME - Control Efectivo ISO 27001","OBSERVACIÓN - Revisar Controles")))</f>
        <v/>
      </c>
    </row>
    <row r="241">
      <c r="A241">
        <f>IF(INVENTARIO!A241="","",INVENTARIO!A241)</f>
        <v/>
      </c>
      <c r="B241">
        <f>IF(INVENTARIO!E241="","",INVENTARIO!E241)</f>
        <v/>
      </c>
      <c r="C241">
        <f>IF(INVENTARIO!F241="","",INVENTARIO!F241)</f>
        <v/>
      </c>
      <c r="D241">
        <f>IF(INVENTARIO!H241="","",INVENTARIO!H241)</f>
        <v/>
      </c>
      <c r="E241">
        <f>IF(INVENTARIO!I241="","",INVENTARIO!I241)</f>
        <v/>
      </c>
      <c r="F241">
        <f>IF(INVENTARIO!N241="","",INVENTARIO!N241)</f>
        <v/>
      </c>
      <c r="G241">
        <f>IF(INVENTARIO!P241="","",INVENTARIO!P241)</f>
        <v/>
      </c>
      <c r="H241">
        <f>IF(INVENTARIO!Q241="","",INVENTARIO!Q241)</f>
        <v/>
      </c>
      <c r="I241">
        <f>IF(INVENTARIO!R241="","",INVENTARIO!R241)</f>
        <v/>
      </c>
      <c r="J241">
        <f>IF(G241="PUBLICA(1)",1,IF(G241="USO INTERNO(2)",2,IF(G241="RESTRINGIDO(3)",3,0)))+IF(H241="BAJA(1)",1,IF(H241="MEDIA(2)",2,IF(H241="ALTA(3)",3,0)))+IF(I241="BAJA(1)",1,IF(I241="MEDIA(2)",2,IF(I241="ALTA(3)",3,0)))</f>
        <v/>
      </c>
      <c r="K241">
        <f>IF(J241="", "", IF(J241&gt;=8,"ALTA",IF(J241&gt;=6,"MEDIA","BAJA")))</f>
        <v/>
      </c>
      <c r="L241">
        <f>IF(INVENTARIO!Y241="","",INVENTARIO!Y241)</f>
        <v/>
      </c>
      <c r="M241">
        <f>IF(INVENTARIO!Z241="","",INVENTARIO!Z241)</f>
        <v/>
      </c>
      <c r="N241">
        <f>IF(INVENTARIO!AA241="","",INVENTARIO!AA241)</f>
        <v/>
      </c>
      <c r="O241">
        <f>IF(INVENTARIO!AB241="","",INVENTARIO!AB241)</f>
        <v/>
      </c>
      <c r="P241">
        <f>IF(INVENTARIO!AC241="","",INVENTARIO!AC241)</f>
        <v/>
      </c>
      <c r="Q241">
        <f>IF(AND(K241="",N241="",L241=""),"",IF(AND((K241="ALTA"),OR(LEFT(N241,2)="L0",LEFT(N241,2)="L1",L241="No Iniciado")),"CRÍTICO - Incumplimiento Normativo SEPS",IF(AND(OR(LEFT(N241,2)="L4",LEFT(N241,2)="L5"),AND(P241&lt;&gt;"",P241&lt;&gt;"N/A")),"CONFORME - Control Efectivo ISO 27001","OBSERVACIÓN - Revisar Controles")))</f>
        <v/>
      </c>
    </row>
    <row r="242">
      <c r="A242">
        <f>IF(INVENTARIO!A242="","",INVENTARIO!A242)</f>
        <v/>
      </c>
      <c r="B242">
        <f>IF(INVENTARIO!E242="","",INVENTARIO!E242)</f>
        <v/>
      </c>
      <c r="C242">
        <f>IF(INVENTARIO!F242="","",INVENTARIO!F242)</f>
        <v/>
      </c>
      <c r="D242">
        <f>IF(INVENTARIO!H242="","",INVENTARIO!H242)</f>
        <v/>
      </c>
      <c r="E242">
        <f>IF(INVENTARIO!I242="","",INVENTARIO!I242)</f>
        <v/>
      </c>
      <c r="F242">
        <f>IF(INVENTARIO!N242="","",INVENTARIO!N242)</f>
        <v/>
      </c>
      <c r="G242">
        <f>IF(INVENTARIO!P242="","",INVENTARIO!P242)</f>
        <v/>
      </c>
      <c r="H242">
        <f>IF(INVENTARIO!Q242="","",INVENTARIO!Q242)</f>
        <v/>
      </c>
      <c r="I242">
        <f>IF(INVENTARIO!R242="","",INVENTARIO!R242)</f>
        <v/>
      </c>
      <c r="J242">
        <f>IF(G242="PUBLICA(1)",1,IF(G242="USO INTERNO(2)",2,IF(G242="RESTRINGIDO(3)",3,0)))+IF(H242="BAJA(1)",1,IF(H242="MEDIA(2)",2,IF(H242="ALTA(3)",3,0)))+IF(I242="BAJA(1)",1,IF(I242="MEDIA(2)",2,IF(I242="ALTA(3)",3,0)))</f>
        <v/>
      </c>
      <c r="K242">
        <f>IF(J242="", "", IF(J242&gt;=8,"ALTA",IF(J242&gt;=6,"MEDIA","BAJA")))</f>
        <v/>
      </c>
      <c r="L242">
        <f>IF(INVENTARIO!Y242="","",INVENTARIO!Y242)</f>
        <v/>
      </c>
      <c r="M242">
        <f>IF(INVENTARIO!Z242="","",INVENTARIO!Z242)</f>
        <v/>
      </c>
      <c r="N242">
        <f>IF(INVENTARIO!AA242="","",INVENTARIO!AA242)</f>
        <v/>
      </c>
      <c r="O242">
        <f>IF(INVENTARIO!AB242="","",INVENTARIO!AB242)</f>
        <v/>
      </c>
      <c r="P242">
        <f>IF(INVENTARIO!AC242="","",INVENTARIO!AC242)</f>
        <v/>
      </c>
      <c r="Q242">
        <f>IF(AND(K242="",N242="",L242=""),"",IF(AND((K242="ALTA"),OR(LEFT(N242,2)="L0",LEFT(N242,2)="L1",L242="No Iniciado")),"CRÍTICO - Incumplimiento Normativo SEPS",IF(AND(OR(LEFT(N242,2)="L4",LEFT(N242,2)="L5"),AND(P242&lt;&gt;"",P242&lt;&gt;"N/A")),"CONFORME - Control Efectivo ISO 27001","OBSERVACIÓN - Revisar Controles")))</f>
        <v/>
      </c>
    </row>
    <row r="243">
      <c r="A243">
        <f>IF(INVENTARIO!A243="","",INVENTARIO!A243)</f>
        <v/>
      </c>
      <c r="B243">
        <f>IF(INVENTARIO!E243="","",INVENTARIO!E243)</f>
        <v/>
      </c>
      <c r="C243">
        <f>IF(INVENTARIO!F243="","",INVENTARIO!F243)</f>
        <v/>
      </c>
      <c r="D243">
        <f>IF(INVENTARIO!H243="","",INVENTARIO!H243)</f>
        <v/>
      </c>
      <c r="E243">
        <f>IF(INVENTARIO!I243="","",INVENTARIO!I243)</f>
        <v/>
      </c>
      <c r="F243">
        <f>IF(INVENTARIO!N243="","",INVENTARIO!N243)</f>
        <v/>
      </c>
      <c r="G243">
        <f>IF(INVENTARIO!P243="","",INVENTARIO!P243)</f>
        <v/>
      </c>
      <c r="H243">
        <f>IF(INVENTARIO!Q243="","",INVENTARIO!Q243)</f>
        <v/>
      </c>
      <c r="I243">
        <f>IF(INVENTARIO!R243="","",INVENTARIO!R243)</f>
        <v/>
      </c>
      <c r="J243">
        <f>IF(G243="PUBLICA(1)",1,IF(G243="USO INTERNO(2)",2,IF(G243="RESTRINGIDO(3)",3,0)))+IF(H243="BAJA(1)",1,IF(H243="MEDIA(2)",2,IF(H243="ALTA(3)",3,0)))+IF(I243="BAJA(1)",1,IF(I243="MEDIA(2)",2,IF(I243="ALTA(3)",3,0)))</f>
        <v/>
      </c>
      <c r="K243">
        <f>IF(J243="", "", IF(J243&gt;=8,"ALTA",IF(J243&gt;=6,"MEDIA","BAJA")))</f>
        <v/>
      </c>
      <c r="L243">
        <f>IF(INVENTARIO!Y243="","",INVENTARIO!Y243)</f>
        <v/>
      </c>
      <c r="M243">
        <f>IF(INVENTARIO!Z243="","",INVENTARIO!Z243)</f>
        <v/>
      </c>
      <c r="N243">
        <f>IF(INVENTARIO!AA243="","",INVENTARIO!AA243)</f>
        <v/>
      </c>
      <c r="O243">
        <f>IF(INVENTARIO!AB243="","",INVENTARIO!AB243)</f>
        <v/>
      </c>
      <c r="P243">
        <f>IF(INVENTARIO!AC243="","",INVENTARIO!AC243)</f>
        <v/>
      </c>
      <c r="Q243">
        <f>IF(AND(K243="",N243="",L243=""),"",IF(AND((K243="ALTA"),OR(LEFT(N243,2)="L0",LEFT(N243,2)="L1",L243="No Iniciado")),"CRÍTICO - Incumplimiento Normativo SEPS",IF(AND(OR(LEFT(N243,2)="L4",LEFT(N243,2)="L5"),AND(P243&lt;&gt;"",P243&lt;&gt;"N/A")),"CONFORME - Control Efectivo ISO 27001","OBSERVACIÓN - Revisar Controles")))</f>
        <v/>
      </c>
    </row>
    <row r="244">
      <c r="A244">
        <f>IF(INVENTARIO!A244="","",INVENTARIO!A244)</f>
        <v/>
      </c>
      <c r="B244">
        <f>IF(INVENTARIO!E244="","",INVENTARIO!E244)</f>
        <v/>
      </c>
      <c r="C244">
        <f>IF(INVENTARIO!F244="","",INVENTARIO!F244)</f>
        <v/>
      </c>
      <c r="D244">
        <f>IF(INVENTARIO!H244="","",INVENTARIO!H244)</f>
        <v/>
      </c>
      <c r="E244">
        <f>IF(INVENTARIO!I244="","",INVENTARIO!I244)</f>
        <v/>
      </c>
      <c r="F244">
        <f>IF(INVENTARIO!N244="","",INVENTARIO!N244)</f>
        <v/>
      </c>
      <c r="G244">
        <f>IF(INVENTARIO!P244="","",INVENTARIO!P244)</f>
        <v/>
      </c>
      <c r="H244">
        <f>IF(INVENTARIO!Q244="","",INVENTARIO!Q244)</f>
        <v/>
      </c>
      <c r="I244">
        <f>IF(INVENTARIO!R244="","",INVENTARIO!R244)</f>
        <v/>
      </c>
      <c r="J244">
        <f>IF(G244="PUBLICA(1)",1,IF(G244="USO INTERNO(2)",2,IF(G244="RESTRINGIDO(3)",3,0)))+IF(H244="BAJA(1)",1,IF(H244="MEDIA(2)",2,IF(H244="ALTA(3)",3,0)))+IF(I244="BAJA(1)",1,IF(I244="MEDIA(2)",2,IF(I244="ALTA(3)",3,0)))</f>
        <v/>
      </c>
      <c r="K244">
        <f>IF(J244="", "", IF(J244&gt;=8,"ALTA",IF(J244&gt;=6,"MEDIA","BAJA")))</f>
        <v/>
      </c>
      <c r="L244">
        <f>IF(INVENTARIO!Y244="","",INVENTARIO!Y244)</f>
        <v/>
      </c>
      <c r="M244">
        <f>IF(INVENTARIO!Z244="","",INVENTARIO!Z244)</f>
        <v/>
      </c>
      <c r="N244">
        <f>IF(INVENTARIO!AA244="","",INVENTARIO!AA244)</f>
        <v/>
      </c>
      <c r="O244">
        <f>IF(INVENTARIO!AB244="","",INVENTARIO!AB244)</f>
        <v/>
      </c>
      <c r="P244">
        <f>IF(INVENTARIO!AC244="","",INVENTARIO!AC244)</f>
        <v/>
      </c>
      <c r="Q244">
        <f>IF(AND(K244="",N244="",L244=""),"",IF(AND((K244="ALTA"),OR(LEFT(N244,2)="L0",LEFT(N244,2)="L1",L244="No Iniciado")),"CRÍTICO - Incumplimiento Normativo SEPS",IF(AND(OR(LEFT(N244,2)="L4",LEFT(N244,2)="L5"),AND(P244&lt;&gt;"",P244&lt;&gt;"N/A")),"CONFORME - Control Efectivo ISO 27001","OBSERVACIÓN - Revisar Controles")))</f>
        <v/>
      </c>
    </row>
    <row r="245">
      <c r="A245">
        <f>IF(INVENTARIO!A245="","",INVENTARIO!A245)</f>
        <v/>
      </c>
      <c r="B245">
        <f>IF(INVENTARIO!E245="","",INVENTARIO!E245)</f>
        <v/>
      </c>
      <c r="C245">
        <f>IF(INVENTARIO!F245="","",INVENTARIO!F245)</f>
        <v/>
      </c>
      <c r="D245">
        <f>IF(INVENTARIO!H245="","",INVENTARIO!H245)</f>
        <v/>
      </c>
      <c r="E245">
        <f>IF(INVENTARIO!I245="","",INVENTARIO!I245)</f>
        <v/>
      </c>
      <c r="F245">
        <f>IF(INVENTARIO!N245="","",INVENTARIO!N245)</f>
        <v/>
      </c>
      <c r="G245">
        <f>IF(INVENTARIO!P245="","",INVENTARIO!P245)</f>
        <v/>
      </c>
      <c r="H245">
        <f>IF(INVENTARIO!Q245="","",INVENTARIO!Q245)</f>
        <v/>
      </c>
      <c r="I245">
        <f>IF(INVENTARIO!R245="","",INVENTARIO!R245)</f>
        <v/>
      </c>
      <c r="J245">
        <f>IF(G245="PUBLICA(1)",1,IF(G245="USO INTERNO(2)",2,IF(G245="RESTRINGIDO(3)",3,0)))+IF(H245="BAJA(1)",1,IF(H245="MEDIA(2)",2,IF(H245="ALTA(3)",3,0)))+IF(I245="BAJA(1)",1,IF(I245="MEDIA(2)",2,IF(I245="ALTA(3)",3,0)))</f>
        <v/>
      </c>
      <c r="K245">
        <f>IF(J245="", "", IF(J245&gt;=8,"ALTA",IF(J245&gt;=6,"MEDIA","BAJA")))</f>
        <v/>
      </c>
      <c r="L245">
        <f>IF(INVENTARIO!Y245="","",INVENTARIO!Y245)</f>
        <v/>
      </c>
      <c r="M245">
        <f>IF(INVENTARIO!Z245="","",INVENTARIO!Z245)</f>
        <v/>
      </c>
      <c r="N245">
        <f>IF(INVENTARIO!AA245="","",INVENTARIO!AA245)</f>
        <v/>
      </c>
      <c r="O245">
        <f>IF(INVENTARIO!AB245="","",INVENTARIO!AB245)</f>
        <v/>
      </c>
      <c r="P245">
        <f>IF(INVENTARIO!AC245="","",INVENTARIO!AC245)</f>
        <v/>
      </c>
      <c r="Q245">
        <f>IF(AND(K245="",N245="",L245=""),"",IF(AND((K245="ALTA"),OR(LEFT(N245,2)="L0",LEFT(N245,2)="L1",L245="No Iniciado")),"CRÍTICO - Incumplimiento Normativo SEPS",IF(AND(OR(LEFT(N245,2)="L4",LEFT(N245,2)="L5"),AND(P245&lt;&gt;"",P245&lt;&gt;"N/A")),"CONFORME - Control Efectivo ISO 27001","OBSERVACIÓN - Revisar Controles")))</f>
        <v/>
      </c>
    </row>
    <row r="246">
      <c r="A246">
        <f>IF(INVENTARIO!A246="","",INVENTARIO!A246)</f>
        <v/>
      </c>
      <c r="B246">
        <f>IF(INVENTARIO!E246="","",INVENTARIO!E246)</f>
        <v/>
      </c>
      <c r="C246">
        <f>IF(INVENTARIO!F246="","",INVENTARIO!F246)</f>
        <v/>
      </c>
      <c r="D246">
        <f>IF(INVENTARIO!H246="","",INVENTARIO!H246)</f>
        <v/>
      </c>
      <c r="E246">
        <f>IF(INVENTARIO!I246="","",INVENTARIO!I246)</f>
        <v/>
      </c>
      <c r="F246">
        <f>IF(INVENTARIO!N246="","",INVENTARIO!N246)</f>
        <v/>
      </c>
      <c r="G246">
        <f>IF(INVENTARIO!P246="","",INVENTARIO!P246)</f>
        <v/>
      </c>
      <c r="H246">
        <f>IF(INVENTARIO!Q246="","",INVENTARIO!Q246)</f>
        <v/>
      </c>
      <c r="I246">
        <f>IF(INVENTARIO!R246="","",INVENTARIO!R246)</f>
        <v/>
      </c>
      <c r="J246">
        <f>IF(G246="PUBLICA(1)",1,IF(G246="USO INTERNO(2)",2,IF(G246="RESTRINGIDO(3)",3,0)))+IF(H246="BAJA(1)",1,IF(H246="MEDIA(2)",2,IF(H246="ALTA(3)",3,0)))+IF(I246="BAJA(1)",1,IF(I246="MEDIA(2)",2,IF(I246="ALTA(3)",3,0)))</f>
        <v/>
      </c>
      <c r="K246">
        <f>IF(J246="", "", IF(J246&gt;=8,"ALTA",IF(J246&gt;=6,"MEDIA","BAJA")))</f>
        <v/>
      </c>
      <c r="L246">
        <f>IF(INVENTARIO!Y246="","",INVENTARIO!Y246)</f>
        <v/>
      </c>
      <c r="M246">
        <f>IF(INVENTARIO!Z246="","",INVENTARIO!Z246)</f>
        <v/>
      </c>
      <c r="N246">
        <f>IF(INVENTARIO!AA246="","",INVENTARIO!AA246)</f>
        <v/>
      </c>
      <c r="O246">
        <f>IF(INVENTARIO!AB246="","",INVENTARIO!AB246)</f>
        <v/>
      </c>
      <c r="P246">
        <f>IF(INVENTARIO!AC246="","",INVENTARIO!AC246)</f>
        <v/>
      </c>
      <c r="Q246">
        <f>IF(AND(K246="",N246="",L246=""),"",IF(AND((K246="ALTA"),OR(LEFT(N246,2)="L0",LEFT(N246,2)="L1",L246="No Iniciado")),"CRÍTICO - Incumplimiento Normativo SEPS",IF(AND(OR(LEFT(N246,2)="L4",LEFT(N246,2)="L5"),AND(P246&lt;&gt;"",P246&lt;&gt;"N/A")),"CONFORME - Control Efectivo ISO 27001","OBSERVACIÓN - Revisar Controles")))</f>
        <v/>
      </c>
    </row>
    <row r="247">
      <c r="A247">
        <f>IF(INVENTARIO!A247="","",INVENTARIO!A247)</f>
        <v/>
      </c>
      <c r="B247">
        <f>IF(INVENTARIO!E247="","",INVENTARIO!E247)</f>
        <v/>
      </c>
      <c r="C247">
        <f>IF(INVENTARIO!F247="","",INVENTARIO!F247)</f>
        <v/>
      </c>
      <c r="D247">
        <f>IF(INVENTARIO!H247="","",INVENTARIO!H247)</f>
        <v/>
      </c>
      <c r="E247">
        <f>IF(INVENTARIO!I247="","",INVENTARIO!I247)</f>
        <v/>
      </c>
      <c r="F247">
        <f>IF(INVENTARIO!N247="","",INVENTARIO!N247)</f>
        <v/>
      </c>
      <c r="G247">
        <f>IF(INVENTARIO!P247="","",INVENTARIO!P247)</f>
        <v/>
      </c>
      <c r="H247">
        <f>IF(INVENTARIO!Q247="","",INVENTARIO!Q247)</f>
        <v/>
      </c>
      <c r="I247">
        <f>IF(INVENTARIO!R247="","",INVENTARIO!R247)</f>
        <v/>
      </c>
      <c r="J247">
        <f>IF(G247="PUBLICA(1)",1,IF(G247="USO INTERNO(2)",2,IF(G247="RESTRINGIDO(3)",3,0)))+IF(H247="BAJA(1)",1,IF(H247="MEDIA(2)",2,IF(H247="ALTA(3)",3,0)))+IF(I247="BAJA(1)",1,IF(I247="MEDIA(2)",2,IF(I247="ALTA(3)",3,0)))</f>
        <v/>
      </c>
      <c r="K247">
        <f>IF(J247="", "", IF(J247&gt;=8,"ALTA",IF(J247&gt;=6,"MEDIA","BAJA")))</f>
        <v/>
      </c>
      <c r="L247">
        <f>IF(INVENTARIO!Y247="","",INVENTARIO!Y247)</f>
        <v/>
      </c>
      <c r="M247">
        <f>IF(INVENTARIO!Z247="","",INVENTARIO!Z247)</f>
        <v/>
      </c>
      <c r="N247">
        <f>IF(INVENTARIO!AA247="","",INVENTARIO!AA247)</f>
        <v/>
      </c>
      <c r="O247">
        <f>IF(INVENTARIO!AB247="","",INVENTARIO!AB247)</f>
        <v/>
      </c>
      <c r="P247">
        <f>IF(INVENTARIO!AC247="","",INVENTARIO!AC247)</f>
        <v/>
      </c>
      <c r="Q247">
        <f>IF(AND(K247="",N247="",L247=""),"",IF(AND((K247="ALTA"),OR(LEFT(N247,2)="L0",LEFT(N247,2)="L1",L247="No Iniciado")),"CRÍTICO - Incumplimiento Normativo SEPS",IF(AND(OR(LEFT(N247,2)="L4",LEFT(N247,2)="L5"),AND(P247&lt;&gt;"",P247&lt;&gt;"N/A")),"CONFORME - Control Efectivo ISO 27001","OBSERVACIÓN - Revisar Controles")))</f>
        <v/>
      </c>
    </row>
    <row r="248">
      <c r="A248">
        <f>IF(INVENTARIO!A248="","",INVENTARIO!A248)</f>
        <v/>
      </c>
      <c r="B248">
        <f>IF(INVENTARIO!E248="","",INVENTARIO!E248)</f>
        <v/>
      </c>
      <c r="C248">
        <f>IF(INVENTARIO!F248="","",INVENTARIO!F248)</f>
        <v/>
      </c>
      <c r="D248">
        <f>IF(INVENTARIO!H248="","",INVENTARIO!H248)</f>
        <v/>
      </c>
      <c r="E248">
        <f>IF(INVENTARIO!I248="","",INVENTARIO!I248)</f>
        <v/>
      </c>
      <c r="F248">
        <f>IF(INVENTARIO!N248="","",INVENTARIO!N248)</f>
        <v/>
      </c>
      <c r="G248">
        <f>IF(INVENTARIO!P248="","",INVENTARIO!P248)</f>
        <v/>
      </c>
      <c r="H248">
        <f>IF(INVENTARIO!Q248="","",INVENTARIO!Q248)</f>
        <v/>
      </c>
      <c r="I248">
        <f>IF(INVENTARIO!R248="","",INVENTARIO!R248)</f>
        <v/>
      </c>
      <c r="J248">
        <f>IF(G248="PUBLICA(1)",1,IF(G248="USO INTERNO(2)",2,IF(G248="RESTRINGIDO(3)",3,0)))+IF(H248="BAJA(1)",1,IF(H248="MEDIA(2)",2,IF(H248="ALTA(3)",3,0)))+IF(I248="BAJA(1)",1,IF(I248="MEDIA(2)",2,IF(I248="ALTA(3)",3,0)))</f>
        <v/>
      </c>
      <c r="K248">
        <f>IF(J248="", "", IF(J248&gt;=8,"ALTA",IF(J248&gt;=6,"MEDIA","BAJA")))</f>
        <v/>
      </c>
      <c r="L248">
        <f>IF(INVENTARIO!Y248="","",INVENTARIO!Y248)</f>
        <v/>
      </c>
      <c r="M248">
        <f>IF(INVENTARIO!Z248="","",INVENTARIO!Z248)</f>
        <v/>
      </c>
      <c r="N248">
        <f>IF(INVENTARIO!AA248="","",INVENTARIO!AA248)</f>
        <v/>
      </c>
      <c r="O248">
        <f>IF(INVENTARIO!AB248="","",INVENTARIO!AB248)</f>
        <v/>
      </c>
      <c r="P248">
        <f>IF(INVENTARIO!AC248="","",INVENTARIO!AC248)</f>
        <v/>
      </c>
      <c r="Q248">
        <f>IF(AND(K248="",N248="",L248=""),"",IF(AND((K248="ALTA"),OR(LEFT(N248,2)="L0",LEFT(N248,2)="L1",L248="No Iniciado")),"CRÍTICO - Incumplimiento Normativo SEPS",IF(AND(OR(LEFT(N248,2)="L4",LEFT(N248,2)="L5"),AND(P248&lt;&gt;"",P248&lt;&gt;"N/A")),"CONFORME - Control Efectivo ISO 27001","OBSERVACIÓN - Revisar Controles")))</f>
        <v/>
      </c>
    </row>
    <row r="249">
      <c r="A249">
        <f>IF(INVENTARIO!A249="","",INVENTARIO!A249)</f>
        <v/>
      </c>
      <c r="B249">
        <f>IF(INVENTARIO!E249="","",INVENTARIO!E249)</f>
        <v/>
      </c>
      <c r="C249">
        <f>IF(INVENTARIO!F249="","",INVENTARIO!F249)</f>
        <v/>
      </c>
      <c r="D249">
        <f>IF(INVENTARIO!H249="","",INVENTARIO!H249)</f>
        <v/>
      </c>
      <c r="E249">
        <f>IF(INVENTARIO!I249="","",INVENTARIO!I249)</f>
        <v/>
      </c>
      <c r="F249">
        <f>IF(INVENTARIO!N249="","",INVENTARIO!N249)</f>
        <v/>
      </c>
      <c r="G249">
        <f>IF(INVENTARIO!P249="","",INVENTARIO!P249)</f>
        <v/>
      </c>
      <c r="H249">
        <f>IF(INVENTARIO!Q249="","",INVENTARIO!Q249)</f>
        <v/>
      </c>
      <c r="I249">
        <f>IF(INVENTARIO!R249="","",INVENTARIO!R249)</f>
        <v/>
      </c>
      <c r="J249">
        <f>IF(G249="PUBLICA(1)",1,IF(G249="USO INTERNO(2)",2,IF(G249="RESTRINGIDO(3)",3,0)))+IF(H249="BAJA(1)",1,IF(H249="MEDIA(2)",2,IF(H249="ALTA(3)",3,0)))+IF(I249="BAJA(1)",1,IF(I249="MEDIA(2)",2,IF(I249="ALTA(3)",3,0)))</f>
        <v/>
      </c>
      <c r="K249">
        <f>IF(J249="", "", IF(J249&gt;=8,"ALTA",IF(J249&gt;=6,"MEDIA","BAJA")))</f>
        <v/>
      </c>
      <c r="L249">
        <f>IF(INVENTARIO!Y249="","",INVENTARIO!Y249)</f>
        <v/>
      </c>
      <c r="M249">
        <f>IF(INVENTARIO!Z249="","",INVENTARIO!Z249)</f>
        <v/>
      </c>
      <c r="N249">
        <f>IF(INVENTARIO!AA249="","",INVENTARIO!AA249)</f>
        <v/>
      </c>
      <c r="O249">
        <f>IF(INVENTARIO!AB249="","",INVENTARIO!AB249)</f>
        <v/>
      </c>
      <c r="P249">
        <f>IF(INVENTARIO!AC249="","",INVENTARIO!AC249)</f>
        <v/>
      </c>
      <c r="Q249">
        <f>IF(AND(K249="",N249="",L249=""),"",IF(AND((K249="ALTA"),OR(LEFT(N249,2)="L0",LEFT(N249,2)="L1",L249="No Iniciado")),"CRÍTICO - Incumplimiento Normativo SEPS",IF(AND(OR(LEFT(N249,2)="L4",LEFT(N249,2)="L5"),AND(P249&lt;&gt;"",P249&lt;&gt;"N/A")),"CONFORME - Control Efectivo ISO 27001","OBSERVACIÓN - Revisar Controles")))</f>
        <v/>
      </c>
    </row>
    <row r="250">
      <c r="A250">
        <f>IF(INVENTARIO!A250="","",INVENTARIO!A250)</f>
        <v/>
      </c>
      <c r="B250">
        <f>IF(INVENTARIO!E250="","",INVENTARIO!E250)</f>
        <v/>
      </c>
      <c r="C250">
        <f>IF(INVENTARIO!F250="","",INVENTARIO!F250)</f>
        <v/>
      </c>
      <c r="D250">
        <f>IF(INVENTARIO!H250="","",INVENTARIO!H250)</f>
        <v/>
      </c>
      <c r="E250">
        <f>IF(INVENTARIO!I250="","",INVENTARIO!I250)</f>
        <v/>
      </c>
      <c r="F250">
        <f>IF(INVENTARIO!N250="","",INVENTARIO!N250)</f>
        <v/>
      </c>
      <c r="G250">
        <f>IF(INVENTARIO!P250="","",INVENTARIO!P250)</f>
        <v/>
      </c>
      <c r="H250">
        <f>IF(INVENTARIO!Q250="","",INVENTARIO!Q250)</f>
        <v/>
      </c>
      <c r="I250">
        <f>IF(INVENTARIO!R250="","",INVENTARIO!R250)</f>
        <v/>
      </c>
      <c r="J250">
        <f>IF(G250="PUBLICA(1)",1,IF(G250="USO INTERNO(2)",2,IF(G250="RESTRINGIDO(3)",3,0)))+IF(H250="BAJA(1)",1,IF(H250="MEDIA(2)",2,IF(H250="ALTA(3)",3,0)))+IF(I250="BAJA(1)",1,IF(I250="MEDIA(2)",2,IF(I250="ALTA(3)",3,0)))</f>
        <v/>
      </c>
      <c r="K250">
        <f>IF(J250="", "", IF(J250&gt;=8,"ALTA",IF(J250&gt;=6,"MEDIA","BAJA")))</f>
        <v/>
      </c>
      <c r="L250">
        <f>IF(INVENTARIO!Y250="","",INVENTARIO!Y250)</f>
        <v/>
      </c>
      <c r="M250">
        <f>IF(INVENTARIO!Z250="","",INVENTARIO!Z250)</f>
        <v/>
      </c>
      <c r="N250">
        <f>IF(INVENTARIO!AA250="","",INVENTARIO!AA250)</f>
        <v/>
      </c>
      <c r="O250">
        <f>IF(INVENTARIO!AB250="","",INVENTARIO!AB250)</f>
        <v/>
      </c>
      <c r="P250">
        <f>IF(INVENTARIO!AC250="","",INVENTARIO!AC250)</f>
        <v/>
      </c>
      <c r="Q250">
        <f>IF(AND(K250="",N250="",L250=""),"",IF(AND((K250="ALTA"),OR(LEFT(N250,2)="L0",LEFT(N250,2)="L1",L250="No Iniciado")),"CRÍTICO - Incumplimiento Normativo SEPS",IF(AND(OR(LEFT(N250,2)="L4",LEFT(N250,2)="L5"),AND(P250&lt;&gt;"",P250&lt;&gt;"N/A")),"CONFORME - Control Efectivo ISO 27001","OBSERVACIÓN - Revisar Controles")))</f>
        <v/>
      </c>
    </row>
    <row r="251">
      <c r="A251">
        <f>IF(INVENTARIO!A251="","",INVENTARIO!A251)</f>
        <v/>
      </c>
      <c r="B251">
        <f>IF(INVENTARIO!E251="","",INVENTARIO!E251)</f>
        <v/>
      </c>
      <c r="C251">
        <f>IF(INVENTARIO!F251="","",INVENTARIO!F251)</f>
        <v/>
      </c>
      <c r="D251">
        <f>IF(INVENTARIO!H251="","",INVENTARIO!H251)</f>
        <v/>
      </c>
      <c r="E251">
        <f>IF(INVENTARIO!I251="","",INVENTARIO!I251)</f>
        <v/>
      </c>
      <c r="F251">
        <f>IF(INVENTARIO!N251="","",INVENTARIO!N251)</f>
        <v/>
      </c>
      <c r="G251">
        <f>IF(INVENTARIO!P251="","",INVENTARIO!P251)</f>
        <v/>
      </c>
      <c r="H251">
        <f>IF(INVENTARIO!Q251="","",INVENTARIO!Q251)</f>
        <v/>
      </c>
      <c r="I251">
        <f>IF(INVENTARIO!R251="","",INVENTARIO!R251)</f>
        <v/>
      </c>
      <c r="J251">
        <f>IF(G251="PUBLICA(1)",1,IF(G251="USO INTERNO(2)",2,IF(G251="RESTRINGIDO(3)",3,0)))+IF(H251="BAJA(1)",1,IF(H251="MEDIA(2)",2,IF(H251="ALTA(3)",3,0)))+IF(I251="BAJA(1)",1,IF(I251="MEDIA(2)",2,IF(I251="ALTA(3)",3,0)))</f>
        <v/>
      </c>
      <c r="K251">
        <f>IF(J251="", "", IF(J251&gt;=8,"ALTA",IF(J251&gt;=6,"MEDIA","BAJA")))</f>
        <v/>
      </c>
      <c r="L251">
        <f>IF(INVENTARIO!Y251="","",INVENTARIO!Y251)</f>
        <v/>
      </c>
      <c r="M251">
        <f>IF(INVENTARIO!Z251="","",INVENTARIO!Z251)</f>
        <v/>
      </c>
      <c r="N251">
        <f>IF(INVENTARIO!AA251="","",INVENTARIO!AA251)</f>
        <v/>
      </c>
      <c r="O251">
        <f>IF(INVENTARIO!AB251="","",INVENTARIO!AB251)</f>
        <v/>
      </c>
      <c r="P251">
        <f>IF(INVENTARIO!AC251="","",INVENTARIO!AC251)</f>
        <v/>
      </c>
      <c r="Q251">
        <f>IF(AND(K251="",N251="",L251=""),"",IF(AND((K251="ALTA"),OR(LEFT(N251,2)="L0",LEFT(N251,2)="L1",L251="No Iniciado")),"CRÍTICO - Incumplimiento Normativo SEPS",IF(AND(OR(LEFT(N251,2)="L4",LEFT(N251,2)="L5"),AND(P251&lt;&gt;"",P251&lt;&gt;"N/A")),"CONFORME - Control Efectivo ISO 27001","OBSERVACIÓN - Revisar Controles")))</f>
        <v/>
      </c>
    </row>
    <row r="252">
      <c r="A252">
        <f>IF(INVENTARIO!A252="","",INVENTARIO!A252)</f>
        <v/>
      </c>
      <c r="B252">
        <f>IF(INVENTARIO!E252="","",INVENTARIO!E252)</f>
        <v/>
      </c>
      <c r="C252">
        <f>IF(INVENTARIO!F252="","",INVENTARIO!F252)</f>
        <v/>
      </c>
      <c r="D252">
        <f>IF(INVENTARIO!H252="","",INVENTARIO!H252)</f>
        <v/>
      </c>
      <c r="E252">
        <f>IF(INVENTARIO!I252="","",INVENTARIO!I252)</f>
        <v/>
      </c>
      <c r="F252">
        <f>IF(INVENTARIO!N252="","",INVENTARIO!N252)</f>
        <v/>
      </c>
      <c r="G252">
        <f>IF(INVENTARIO!P252="","",INVENTARIO!P252)</f>
        <v/>
      </c>
      <c r="H252">
        <f>IF(INVENTARIO!Q252="","",INVENTARIO!Q252)</f>
        <v/>
      </c>
      <c r="I252">
        <f>IF(INVENTARIO!R252="","",INVENTARIO!R252)</f>
        <v/>
      </c>
      <c r="J252">
        <f>IF(G252="PUBLICA(1)",1,IF(G252="USO INTERNO(2)",2,IF(G252="RESTRINGIDO(3)",3,0)))+IF(H252="BAJA(1)",1,IF(H252="MEDIA(2)",2,IF(H252="ALTA(3)",3,0)))+IF(I252="BAJA(1)",1,IF(I252="MEDIA(2)",2,IF(I252="ALTA(3)",3,0)))</f>
        <v/>
      </c>
      <c r="K252">
        <f>IF(J252="", "", IF(J252&gt;=8,"ALTA",IF(J252&gt;=6,"MEDIA","BAJA")))</f>
        <v/>
      </c>
      <c r="L252">
        <f>IF(INVENTARIO!Y252="","",INVENTARIO!Y252)</f>
        <v/>
      </c>
      <c r="M252">
        <f>IF(INVENTARIO!Z252="","",INVENTARIO!Z252)</f>
        <v/>
      </c>
      <c r="N252">
        <f>IF(INVENTARIO!AA252="","",INVENTARIO!AA252)</f>
        <v/>
      </c>
      <c r="O252">
        <f>IF(INVENTARIO!AB252="","",INVENTARIO!AB252)</f>
        <v/>
      </c>
      <c r="P252">
        <f>IF(INVENTARIO!AC252="","",INVENTARIO!AC252)</f>
        <v/>
      </c>
      <c r="Q252">
        <f>IF(AND(K252="",N252="",L252=""),"",IF(AND((K252="ALTA"),OR(LEFT(N252,2)="L0",LEFT(N252,2)="L1",L252="No Iniciado")),"CRÍTICO - Incumplimiento Normativo SEPS",IF(AND(OR(LEFT(N252,2)="L4",LEFT(N252,2)="L5"),AND(P252&lt;&gt;"",P252&lt;&gt;"N/A")),"CONFORME - Control Efectivo ISO 27001","OBSERVACIÓN - Revisar Controles")))</f>
        <v/>
      </c>
    </row>
    <row r="253">
      <c r="A253">
        <f>IF(INVENTARIO!A253="","",INVENTARIO!A253)</f>
        <v/>
      </c>
      <c r="B253">
        <f>IF(INVENTARIO!E253="","",INVENTARIO!E253)</f>
        <v/>
      </c>
      <c r="C253">
        <f>IF(INVENTARIO!F253="","",INVENTARIO!F253)</f>
        <v/>
      </c>
      <c r="D253">
        <f>IF(INVENTARIO!H253="","",INVENTARIO!H253)</f>
        <v/>
      </c>
      <c r="E253">
        <f>IF(INVENTARIO!I253="","",INVENTARIO!I253)</f>
        <v/>
      </c>
      <c r="F253">
        <f>IF(INVENTARIO!N253="","",INVENTARIO!N253)</f>
        <v/>
      </c>
      <c r="G253">
        <f>IF(INVENTARIO!P253="","",INVENTARIO!P253)</f>
        <v/>
      </c>
      <c r="H253">
        <f>IF(INVENTARIO!Q253="","",INVENTARIO!Q253)</f>
        <v/>
      </c>
      <c r="I253">
        <f>IF(INVENTARIO!R253="","",INVENTARIO!R253)</f>
        <v/>
      </c>
      <c r="J253">
        <f>IF(G253="PUBLICA(1)",1,IF(G253="USO INTERNO(2)",2,IF(G253="RESTRINGIDO(3)",3,0)))+IF(H253="BAJA(1)",1,IF(H253="MEDIA(2)",2,IF(H253="ALTA(3)",3,0)))+IF(I253="BAJA(1)",1,IF(I253="MEDIA(2)",2,IF(I253="ALTA(3)",3,0)))</f>
        <v/>
      </c>
      <c r="K253">
        <f>IF(J253="", "", IF(J253&gt;=8,"ALTA",IF(J253&gt;=6,"MEDIA","BAJA")))</f>
        <v/>
      </c>
      <c r="L253">
        <f>IF(INVENTARIO!Y253="","",INVENTARIO!Y253)</f>
        <v/>
      </c>
      <c r="M253">
        <f>IF(INVENTARIO!Z253="","",INVENTARIO!Z253)</f>
        <v/>
      </c>
      <c r="N253">
        <f>IF(INVENTARIO!AA253="","",INVENTARIO!AA253)</f>
        <v/>
      </c>
      <c r="O253">
        <f>IF(INVENTARIO!AB253="","",INVENTARIO!AB253)</f>
        <v/>
      </c>
      <c r="P253">
        <f>IF(INVENTARIO!AC253="","",INVENTARIO!AC253)</f>
        <v/>
      </c>
      <c r="Q253">
        <f>IF(AND(K253="",N253="",L253=""),"",IF(AND((K253="ALTA"),OR(LEFT(N253,2)="L0",LEFT(N253,2)="L1",L253="No Iniciado")),"CRÍTICO - Incumplimiento Normativo SEPS",IF(AND(OR(LEFT(N253,2)="L4",LEFT(N253,2)="L5"),AND(P253&lt;&gt;"",P253&lt;&gt;"N/A")),"CONFORME - Control Efectivo ISO 27001","OBSERVACIÓN - Revisar Controles")))</f>
        <v/>
      </c>
    </row>
    <row r="254">
      <c r="A254">
        <f>IF(INVENTARIO!A254="","",INVENTARIO!A254)</f>
        <v/>
      </c>
      <c r="B254">
        <f>IF(INVENTARIO!E254="","",INVENTARIO!E254)</f>
        <v/>
      </c>
      <c r="C254">
        <f>IF(INVENTARIO!F254="","",INVENTARIO!F254)</f>
        <v/>
      </c>
      <c r="D254">
        <f>IF(INVENTARIO!H254="","",INVENTARIO!H254)</f>
        <v/>
      </c>
      <c r="E254">
        <f>IF(INVENTARIO!I254="","",INVENTARIO!I254)</f>
        <v/>
      </c>
      <c r="F254">
        <f>IF(INVENTARIO!N254="","",INVENTARIO!N254)</f>
        <v/>
      </c>
      <c r="G254">
        <f>IF(INVENTARIO!P254="","",INVENTARIO!P254)</f>
        <v/>
      </c>
      <c r="H254">
        <f>IF(INVENTARIO!Q254="","",INVENTARIO!Q254)</f>
        <v/>
      </c>
      <c r="I254">
        <f>IF(INVENTARIO!R254="","",INVENTARIO!R254)</f>
        <v/>
      </c>
      <c r="J254">
        <f>IF(G254="PUBLICA(1)",1,IF(G254="USO INTERNO(2)",2,IF(G254="RESTRINGIDO(3)",3,0)))+IF(H254="BAJA(1)",1,IF(H254="MEDIA(2)",2,IF(H254="ALTA(3)",3,0)))+IF(I254="BAJA(1)",1,IF(I254="MEDIA(2)",2,IF(I254="ALTA(3)",3,0)))</f>
        <v/>
      </c>
      <c r="K254">
        <f>IF(J254="", "", IF(J254&gt;=8,"ALTA",IF(J254&gt;=6,"MEDIA","BAJA")))</f>
        <v/>
      </c>
      <c r="L254">
        <f>IF(INVENTARIO!Y254="","",INVENTARIO!Y254)</f>
        <v/>
      </c>
      <c r="M254">
        <f>IF(INVENTARIO!Z254="","",INVENTARIO!Z254)</f>
        <v/>
      </c>
      <c r="N254">
        <f>IF(INVENTARIO!AA254="","",INVENTARIO!AA254)</f>
        <v/>
      </c>
      <c r="O254">
        <f>IF(INVENTARIO!AB254="","",INVENTARIO!AB254)</f>
        <v/>
      </c>
      <c r="P254">
        <f>IF(INVENTARIO!AC254="","",INVENTARIO!AC254)</f>
        <v/>
      </c>
      <c r="Q254">
        <f>IF(AND(K254="",N254="",L254=""),"",IF(AND((K254="ALTA"),OR(LEFT(N254,2)="L0",LEFT(N254,2)="L1",L254="No Iniciado")),"CRÍTICO - Incumplimiento Normativo SEPS",IF(AND(OR(LEFT(N254,2)="L4",LEFT(N254,2)="L5"),AND(P254&lt;&gt;"",P254&lt;&gt;"N/A")),"CONFORME - Control Efectivo ISO 27001","OBSERVACIÓN - Revisar Controles")))</f>
        <v/>
      </c>
    </row>
    <row r="255">
      <c r="A255">
        <f>IF(INVENTARIO!A255="","",INVENTARIO!A255)</f>
        <v/>
      </c>
      <c r="B255">
        <f>IF(INVENTARIO!E255="","",INVENTARIO!E255)</f>
        <v/>
      </c>
      <c r="C255">
        <f>IF(INVENTARIO!F255="","",INVENTARIO!F255)</f>
        <v/>
      </c>
      <c r="D255">
        <f>IF(INVENTARIO!H255="","",INVENTARIO!H255)</f>
        <v/>
      </c>
      <c r="E255">
        <f>IF(INVENTARIO!I255="","",INVENTARIO!I255)</f>
        <v/>
      </c>
      <c r="F255">
        <f>IF(INVENTARIO!N255="","",INVENTARIO!N255)</f>
        <v/>
      </c>
      <c r="G255">
        <f>IF(INVENTARIO!P255="","",INVENTARIO!P255)</f>
        <v/>
      </c>
      <c r="H255">
        <f>IF(INVENTARIO!Q255="","",INVENTARIO!Q255)</f>
        <v/>
      </c>
      <c r="I255">
        <f>IF(INVENTARIO!R255="","",INVENTARIO!R255)</f>
        <v/>
      </c>
      <c r="J255">
        <f>IF(G255="PUBLICA(1)",1,IF(G255="USO INTERNO(2)",2,IF(G255="RESTRINGIDO(3)",3,0)))+IF(H255="BAJA(1)",1,IF(H255="MEDIA(2)",2,IF(H255="ALTA(3)",3,0)))+IF(I255="BAJA(1)",1,IF(I255="MEDIA(2)",2,IF(I255="ALTA(3)",3,0)))</f>
        <v/>
      </c>
      <c r="K255">
        <f>IF(J255="", "", IF(J255&gt;=8,"ALTA",IF(J255&gt;=6,"MEDIA","BAJA")))</f>
        <v/>
      </c>
      <c r="L255">
        <f>IF(INVENTARIO!Y255="","",INVENTARIO!Y255)</f>
        <v/>
      </c>
      <c r="M255">
        <f>IF(INVENTARIO!Z255="","",INVENTARIO!Z255)</f>
        <v/>
      </c>
      <c r="N255">
        <f>IF(INVENTARIO!AA255="","",INVENTARIO!AA255)</f>
        <v/>
      </c>
      <c r="O255">
        <f>IF(INVENTARIO!AB255="","",INVENTARIO!AB255)</f>
        <v/>
      </c>
      <c r="P255">
        <f>IF(INVENTARIO!AC255="","",INVENTARIO!AC255)</f>
        <v/>
      </c>
      <c r="Q255">
        <f>IF(AND(K255="",N255="",L255=""),"",IF(AND((K255="ALTA"),OR(LEFT(N255,2)="L0",LEFT(N255,2)="L1",L255="No Iniciado")),"CRÍTICO - Incumplimiento Normativo SEPS",IF(AND(OR(LEFT(N255,2)="L4",LEFT(N255,2)="L5"),AND(P255&lt;&gt;"",P255&lt;&gt;"N/A")),"CONFORME - Control Efectivo ISO 27001","OBSERVACIÓN - Revisar Controles")))</f>
        <v/>
      </c>
    </row>
    <row r="256">
      <c r="A256">
        <f>IF(INVENTARIO!A256="","",INVENTARIO!A256)</f>
        <v/>
      </c>
      <c r="B256">
        <f>IF(INVENTARIO!E256="","",INVENTARIO!E256)</f>
        <v/>
      </c>
      <c r="C256">
        <f>IF(INVENTARIO!F256="","",INVENTARIO!F256)</f>
        <v/>
      </c>
      <c r="D256">
        <f>IF(INVENTARIO!H256="","",INVENTARIO!H256)</f>
        <v/>
      </c>
      <c r="E256">
        <f>IF(INVENTARIO!I256="","",INVENTARIO!I256)</f>
        <v/>
      </c>
      <c r="F256">
        <f>IF(INVENTARIO!N256="","",INVENTARIO!N256)</f>
        <v/>
      </c>
      <c r="G256">
        <f>IF(INVENTARIO!P256="","",INVENTARIO!P256)</f>
        <v/>
      </c>
      <c r="H256">
        <f>IF(INVENTARIO!Q256="","",INVENTARIO!Q256)</f>
        <v/>
      </c>
      <c r="I256">
        <f>IF(INVENTARIO!R256="","",INVENTARIO!R256)</f>
        <v/>
      </c>
      <c r="J256">
        <f>IF(G256="PUBLICA(1)",1,IF(G256="USO INTERNO(2)",2,IF(G256="RESTRINGIDO(3)",3,0)))+IF(H256="BAJA(1)",1,IF(H256="MEDIA(2)",2,IF(H256="ALTA(3)",3,0)))+IF(I256="BAJA(1)",1,IF(I256="MEDIA(2)",2,IF(I256="ALTA(3)",3,0)))</f>
        <v/>
      </c>
      <c r="K256">
        <f>IF(J256="", "", IF(J256&gt;=8,"ALTA",IF(J256&gt;=6,"MEDIA","BAJA")))</f>
        <v/>
      </c>
      <c r="L256">
        <f>IF(INVENTARIO!Y256="","",INVENTARIO!Y256)</f>
        <v/>
      </c>
      <c r="M256">
        <f>IF(INVENTARIO!Z256="","",INVENTARIO!Z256)</f>
        <v/>
      </c>
      <c r="N256">
        <f>IF(INVENTARIO!AA256="","",INVENTARIO!AA256)</f>
        <v/>
      </c>
      <c r="O256">
        <f>IF(INVENTARIO!AB256="","",INVENTARIO!AB256)</f>
        <v/>
      </c>
      <c r="P256">
        <f>IF(INVENTARIO!AC256="","",INVENTARIO!AC256)</f>
        <v/>
      </c>
      <c r="Q256">
        <f>IF(AND(K256="",N256="",L256=""),"",IF(AND((K256="ALTA"),OR(LEFT(N256,2)="L0",LEFT(N256,2)="L1",L256="No Iniciado")),"CRÍTICO - Incumplimiento Normativo SEPS",IF(AND(OR(LEFT(N256,2)="L4",LEFT(N256,2)="L5"),AND(P256&lt;&gt;"",P256&lt;&gt;"N/A")),"CONFORME - Control Efectivo ISO 27001","OBSERVACIÓN - Revisar Controles")))</f>
        <v/>
      </c>
    </row>
    <row r="257">
      <c r="A257">
        <f>IF(INVENTARIO!A257="","",INVENTARIO!A257)</f>
        <v/>
      </c>
      <c r="B257">
        <f>IF(INVENTARIO!E257="","",INVENTARIO!E257)</f>
        <v/>
      </c>
      <c r="C257">
        <f>IF(INVENTARIO!F257="","",INVENTARIO!F257)</f>
        <v/>
      </c>
      <c r="D257">
        <f>IF(INVENTARIO!H257="","",INVENTARIO!H257)</f>
        <v/>
      </c>
      <c r="E257">
        <f>IF(INVENTARIO!I257="","",INVENTARIO!I257)</f>
        <v/>
      </c>
      <c r="F257">
        <f>IF(INVENTARIO!N257="","",INVENTARIO!N257)</f>
        <v/>
      </c>
      <c r="G257">
        <f>IF(INVENTARIO!P257="","",INVENTARIO!P257)</f>
        <v/>
      </c>
      <c r="H257">
        <f>IF(INVENTARIO!Q257="","",INVENTARIO!Q257)</f>
        <v/>
      </c>
      <c r="I257">
        <f>IF(INVENTARIO!R257="","",INVENTARIO!R257)</f>
        <v/>
      </c>
      <c r="J257">
        <f>IF(G257="PUBLICA(1)",1,IF(G257="USO INTERNO(2)",2,IF(G257="RESTRINGIDO(3)",3,0)))+IF(H257="BAJA(1)",1,IF(H257="MEDIA(2)",2,IF(H257="ALTA(3)",3,0)))+IF(I257="BAJA(1)",1,IF(I257="MEDIA(2)",2,IF(I257="ALTA(3)",3,0)))</f>
        <v/>
      </c>
      <c r="K257">
        <f>IF(J257="", "", IF(J257&gt;=8,"ALTA",IF(J257&gt;=6,"MEDIA","BAJA")))</f>
        <v/>
      </c>
      <c r="L257">
        <f>IF(INVENTARIO!Y257="","",INVENTARIO!Y257)</f>
        <v/>
      </c>
      <c r="M257">
        <f>IF(INVENTARIO!Z257="","",INVENTARIO!Z257)</f>
        <v/>
      </c>
      <c r="N257">
        <f>IF(INVENTARIO!AA257="","",INVENTARIO!AA257)</f>
        <v/>
      </c>
      <c r="O257">
        <f>IF(INVENTARIO!AB257="","",INVENTARIO!AB257)</f>
        <v/>
      </c>
      <c r="P257">
        <f>IF(INVENTARIO!AC257="","",INVENTARIO!AC257)</f>
        <v/>
      </c>
      <c r="Q257">
        <f>IF(AND(K257="",N257="",L257=""),"",IF(AND((K257="ALTA"),OR(LEFT(N257,2)="L0",LEFT(N257,2)="L1",L257="No Iniciado")),"CRÍTICO - Incumplimiento Normativo SEPS",IF(AND(OR(LEFT(N257,2)="L4",LEFT(N257,2)="L5"),AND(P257&lt;&gt;"",P257&lt;&gt;"N/A")),"CONFORME - Control Efectivo ISO 27001","OBSERVACIÓN - Revisar Controles")))</f>
        <v/>
      </c>
    </row>
    <row r="258">
      <c r="A258">
        <f>IF(INVENTARIO!A258="","",INVENTARIO!A258)</f>
        <v/>
      </c>
      <c r="B258">
        <f>IF(INVENTARIO!E258="","",INVENTARIO!E258)</f>
        <v/>
      </c>
      <c r="C258">
        <f>IF(INVENTARIO!F258="","",INVENTARIO!F258)</f>
        <v/>
      </c>
      <c r="D258">
        <f>IF(INVENTARIO!H258="","",INVENTARIO!H258)</f>
        <v/>
      </c>
      <c r="E258">
        <f>IF(INVENTARIO!I258="","",INVENTARIO!I258)</f>
        <v/>
      </c>
      <c r="F258">
        <f>IF(INVENTARIO!N258="","",INVENTARIO!N258)</f>
        <v/>
      </c>
      <c r="G258">
        <f>IF(INVENTARIO!P258="","",INVENTARIO!P258)</f>
        <v/>
      </c>
      <c r="H258">
        <f>IF(INVENTARIO!Q258="","",INVENTARIO!Q258)</f>
        <v/>
      </c>
      <c r="I258">
        <f>IF(INVENTARIO!R258="","",INVENTARIO!R258)</f>
        <v/>
      </c>
      <c r="J258">
        <f>IF(G258="PUBLICA(1)",1,IF(G258="USO INTERNO(2)",2,IF(G258="RESTRINGIDO(3)",3,0)))+IF(H258="BAJA(1)",1,IF(H258="MEDIA(2)",2,IF(H258="ALTA(3)",3,0)))+IF(I258="BAJA(1)",1,IF(I258="MEDIA(2)",2,IF(I258="ALTA(3)",3,0)))</f>
        <v/>
      </c>
      <c r="K258">
        <f>IF(J258="", "", IF(J258&gt;=8,"ALTA",IF(J258&gt;=6,"MEDIA","BAJA")))</f>
        <v/>
      </c>
      <c r="L258">
        <f>IF(INVENTARIO!Y258="","",INVENTARIO!Y258)</f>
        <v/>
      </c>
      <c r="M258">
        <f>IF(INVENTARIO!Z258="","",INVENTARIO!Z258)</f>
        <v/>
      </c>
      <c r="N258">
        <f>IF(INVENTARIO!AA258="","",INVENTARIO!AA258)</f>
        <v/>
      </c>
      <c r="O258">
        <f>IF(INVENTARIO!AB258="","",INVENTARIO!AB258)</f>
        <v/>
      </c>
      <c r="P258">
        <f>IF(INVENTARIO!AC258="","",INVENTARIO!AC258)</f>
        <v/>
      </c>
      <c r="Q258">
        <f>IF(AND(K258="",N258="",L258=""),"",IF(AND((K258="ALTA"),OR(LEFT(N258,2)="L0",LEFT(N258,2)="L1",L258="No Iniciado")),"CRÍTICO - Incumplimiento Normativo SEPS",IF(AND(OR(LEFT(N258,2)="L4",LEFT(N258,2)="L5"),AND(P258&lt;&gt;"",P258&lt;&gt;"N/A")),"CONFORME - Control Efectivo ISO 27001","OBSERVACIÓN - Revisar Controles")))</f>
        <v/>
      </c>
    </row>
    <row r="259">
      <c r="A259">
        <f>IF(INVENTARIO!A259="","",INVENTARIO!A259)</f>
        <v/>
      </c>
      <c r="B259">
        <f>IF(INVENTARIO!E259="","",INVENTARIO!E259)</f>
        <v/>
      </c>
      <c r="C259">
        <f>IF(INVENTARIO!F259="","",INVENTARIO!F259)</f>
        <v/>
      </c>
      <c r="D259">
        <f>IF(INVENTARIO!H259="","",INVENTARIO!H259)</f>
        <v/>
      </c>
      <c r="E259">
        <f>IF(INVENTARIO!I259="","",INVENTARIO!I259)</f>
        <v/>
      </c>
      <c r="F259">
        <f>IF(INVENTARIO!N259="","",INVENTARIO!N259)</f>
        <v/>
      </c>
      <c r="G259">
        <f>IF(INVENTARIO!P259="","",INVENTARIO!P259)</f>
        <v/>
      </c>
      <c r="H259">
        <f>IF(INVENTARIO!Q259="","",INVENTARIO!Q259)</f>
        <v/>
      </c>
      <c r="I259">
        <f>IF(INVENTARIO!R259="","",INVENTARIO!R259)</f>
        <v/>
      </c>
      <c r="J259">
        <f>IF(G259="PUBLICA(1)",1,IF(G259="USO INTERNO(2)",2,IF(G259="RESTRINGIDO(3)",3,0)))+IF(H259="BAJA(1)",1,IF(H259="MEDIA(2)",2,IF(H259="ALTA(3)",3,0)))+IF(I259="BAJA(1)",1,IF(I259="MEDIA(2)",2,IF(I259="ALTA(3)",3,0)))</f>
        <v/>
      </c>
      <c r="K259">
        <f>IF(J259="", "", IF(J259&gt;=8,"ALTA",IF(J259&gt;=6,"MEDIA","BAJA")))</f>
        <v/>
      </c>
      <c r="L259">
        <f>IF(INVENTARIO!Y259="","",INVENTARIO!Y259)</f>
        <v/>
      </c>
      <c r="M259">
        <f>IF(INVENTARIO!Z259="","",INVENTARIO!Z259)</f>
        <v/>
      </c>
      <c r="N259">
        <f>IF(INVENTARIO!AA259="","",INVENTARIO!AA259)</f>
        <v/>
      </c>
      <c r="O259">
        <f>IF(INVENTARIO!AB259="","",INVENTARIO!AB259)</f>
        <v/>
      </c>
      <c r="P259">
        <f>IF(INVENTARIO!AC259="","",INVENTARIO!AC259)</f>
        <v/>
      </c>
      <c r="Q259">
        <f>IF(AND(K259="",N259="",L259=""),"",IF(AND((K259="ALTA"),OR(LEFT(N259,2)="L0",LEFT(N259,2)="L1",L259="No Iniciado")),"CRÍTICO - Incumplimiento Normativo SEPS",IF(AND(OR(LEFT(N259,2)="L4",LEFT(N259,2)="L5"),AND(P259&lt;&gt;"",P259&lt;&gt;"N/A")),"CONFORME - Control Efectivo ISO 27001","OBSERVACIÓN - Revisar Controles")))</f>
        <v/>
      </c>
    </row>
    <row r="260">
      <c r="A260">
        <f>IF(INVENTARIO!A260="","",INVENTARIO!A260)</f>
        <v/>
      </c>
      <c r="B260">
        <f>IF(INVENTARIO!E260="","",INVENTARIO!E260)</f>
        <v/>
      </c>
      <c r="C260">
        <f>IF(INVENTARIO!F260="","",INVENTARIO!F260)</f>
        <v/>
      </c>
      <c r="D260">
        <f>IF(INVENTARIO!H260="","",INVENTARIO!H260)</f>
        <v/>
      </c>
      <c r="E260">
        <f>IF(INVENTARIO!I260="","",INVENTARIO!I260)</f>
        <v/>
      </c>
      <c r="F260">
        <f>IF(INVENTARIO!N260="","",INVENTARIO!N260)</f>
        <v/>
      </c>
      <c r="G260">
        <f>IF(INVENTARIO!P260="","",INVENTARIO!P260)</f>
        <v/>
      </c>
      <c r="H260">
        <f>IF(INVENTARIO!Q260="","",INVENTARIO!Q260)</f>
        <v/>
      </c>
      <c r="I260">
        <f>IF(INVENTARIO!R260="","",INVENTARIO!R260)</f>
        <v/>
      </c>
      <c r="J260">
        <f>IF(G260="PUBLICA(1)",1,IF(G260="USO INTERNO(2)",2,IF(G260="RESTRINGIDO(3)",3,0)))+IF(H260="BAJA(1)",1,IF(H260="MEDIA(2)",2,IF(H260="ALTA(3)",3,0)))+IF(I260="BAJA(1)",1,IF(I260="MEDIA(2)",2,IF(I260="ALTA(3)",3,0)))</f>
        <v/>
      </c>
      <c r="K260">
        <f>IF(J260="", "", IF(J260&gt;=8,"ALTA",IF(J260&gt;=6,"MEDIA","BAJA")))</f>
        <v/>
      </c>
      <c r="L260">
        <f>IF(INVENTARIO!Y260="","",INVENTARIO!Y260)</f>
        <v/>
      </c>
      <c r="M260">
        <f>IF(INVENTARIO!Z260="","",INVENTARIO!Z260)</f>
        <v/>
      </c>
      <c r="N260">
        <f>IF(INVENTARIO!AA260="","",INVENTARIO!AA260)</f>
        <v/>
      </c>
      <c r="O260">
        <f>IF(INVENTARIO!AB260="","",INVENTARIO!AB260)</f>
        <v/>
      </c>
      <c r="P260">
        <f>IF(INVENTARIO!AC260="","",INVENTARIO!AC260)</f>
        <v/>
      </c>
      <c r="Q260">
        <f>IF(AND(K260="",N260="",L260=""),"",IF(AND((K260="ALTA"),OR(LEFT(N260,2)="L0",LEFT(N260,2)="L1",L260="No Iniciado")),"CRÍTICO - Incumplimiento Normativo SEPS",IF(AND(OR(LEFT(N260,2)="L4",LEFT(N260,2)="L5"),AND(P260&lt;&gt;"",P260&lt;&gt;"N/A")),"CONFORME - Control Efectivo ISO 27001","OBSERVACIÓN - Revisar Controles")))</f>
        <v/>
      </c>
    </row>
    <row r="261">
      <c r="A261">
        <f>IF(INVENTARIO!A261="","",INVENTARIO!A261)</f>
        <v/>
      </c>
      <c r="B261">
        <f>IF(INVENTARIO!E261="","",INVENTARIO!E261)</f>
        <v/>
      </c>
      <c r="C261">
        <f>IF(INVENTARIO!F261="","",INVENTARIO!F261)</f>
        <v/>
      </c>
      <c r="D261">
        <f>IF(INVENTARIO!H261="","",INVENTARIO!H261)</f>
        <v/>
      </c>
      <c r="E261">
        <f>IF(INVENTARIO!I261="","",INVENTARIO!I261)</f>
        <v/>
      </c>
      <c r="F261">
        <f>IF(INVENTARIO!N261="","",INVENTARIO!N261)</f>
        <v/>
      </c>
      <c r="G261">
        <f>IF(INVENTARIO!P261="","",INVENTARIO!P261)</f>
        <v/>
      </c>
      <c r="H261">
        <f>IF(INVENTARIO!Q261="","",INVENTARIO!Q261)</f>
        <v/>
      </c>
      <c r="I261">
        <f>IF(INVENTARIO!R261="","",INVENTARIO!R261)</f>
        <v/>
      </c>
      <c r="J261">
        <f>IF(G261="PUBLICA(1)",1,IF(G261="USO INTERNO(2)",2,IF(G261="RESTRINGIDO(3)",3,0)))+IF(H261="BAJA(1)",1,IF(H261="MEDIA(2)",2,IF(H261="ALTA(3)",3,0)))+IF(I261="BAJA(1)",1,IF(I261="MEDIA(2)",2,IF(I261="ALTA(3)",3,0)))</f>
        <v/>
      </c>
      <c r="K261">
        <f>IF(J261="", "", IF(J261&gt;=8,"ALTA",IF(J261&gt;=6,"MEDIA","BAJA")))</f>
        <v/>
      </c>
      <c r="L261">
        <f>IF(INVENTARIO!Y261="","",INVENTARIO!Y261)</f>
        <v/>
      </c>
      <c r="M261">
        <f>IF(INVENTARIO!Z261="","",INVENTARIO!Z261)</f>
        <v/>
      </c>
      <c r="N261">
        <f>IF(INVENTARIO!AA261="","",INVENTARIO!AA261)</f>
        <v/>
      </c>
      <c r="O261">
        <f>IF(INVENTARIO!AB261="","",INVENTARIO!AB261)</f>
        <v/>
      </c>
      <c r="P261">
        <f>IF(INVENTARIO!AC261="","",INVENTARIO!AC261)</f>
        <v/>
      </c>
      <c r="Q261">
        <f>IF(AND(K261="",N261="",L261=""),"",IF(AND((K261="ALTA"),OR(LEFT(N261,2)="L0",LEFT(N261,2)="L1",L261="No Iniciado")),"CRÍTICO - Incumplimiento Normativo SEPS",IF(AND(OR(LEFT(N261,2)="L4",LEFT(N261,2)="L5"),AND(P261&lt;&gt;"",P261&lt;&gt;"N/A")),"CONFORME - Control Efectivo ISO 27001","OBSERVACIÓN - Revisar Controles")))</f>
        <v/>
      </c>
    </row>
    <row r="262">
      <c r="A262">
        <f>IF(INVENTARIO!A262="","",INVENTARIO!A262)</f>
        <v/>
      </c>
      <c r="B262">
        <f>IF(INVENTARIO!E262="","",INVENTARIO!E262)</f>
        <v/>
      </c>
      <c r="C262">
        <f>IF(INVENTARIO!F262="","",INVENTARIO!F262)</f>
        <v/>
      </c>
      <c r="D262">
        <f>IF(INVENTARIO!H262="","",INVENTARIO!H262)</f>
        <v/>
      </c>
      <c r="E262">
        <f>IF(INVENTARIO!I262="","",INVENTARIO!I262)</f>
        <v/>
      </c>
      <c r="F262">
        <f>IF(INVENTARIO!N262="","",INVENTARIO!N262)</f>
        <v/>
      </c>
      <c r="G262">
        <f>IF(INVENTARIO!P262="","",INVENTARIO!P262)</f>
        <v/>
      </c>
      <c r="H262">
        <f>IF(INVENTARIO!Q262="","",INVENTARIO!Q262)</f>
        <v/>
      </c>
      <c r="I262">
        <f>IF(INVENTARIO!R262="","",INVENTARIO!R262)</f>
        <v/>
      </c>
      <c r="J262">
        <f>IF(G262="PUBLICA(1)",1,IF(G262="USO INTERNO(2)",2,IF(G262="RESTRINGIDO(3)",3,0)))+IF(H262="BAJA(1)",1,IF(H262="MEDIA(2)",2,IF(H262="ALTA(3)",3,0)))+IF(I262="BAJA(1)",1,IF(I262="MEDIA(2)",2,IF(I262="ALTA(3)",3,0)))</f>
        <v/>
      </c>
      <c r="K262">
        <f>IF(J262="", "", IF(J262&gt;=8,"ALTA",IF(J262&gt;=6,"MEDIA","BAJA")))</f>
        <v/>
      </c>
      <c r="L262">
        <f>IF(INVENTARIO!Y262="","",INVENTARIO!Y262)</f>
        <v/>
      </c>
      <c r="M262">
        <f>IF(INVENTARIO!Z262="","",INVENTARIO!Z262)</f>
        <v/>
      </c>
      <c r="N262">
        <f>IF(INVENTARIO!AA262="","",INVENTARIO!AA262)</f>
        <v/>
      </c>
      <c r="O262">
        <f>IF(INVENTARIO!AB262="","",INVENTARIO!AB262)</f>
        <v/>
      </c>
      <c r="P262">
        <f>IF(INVENTARIO!AC262="","",INVENTARIO!AC262)</f>
        <v/>
      </c>
      <c r="Q262">
        <f>IF(AND(K262="",N262="",L262=""),"",IF(AND((K262="ALTA"),OR(LEFT(N262,2)="L0",LEFT(N262,2)="L1",L262="No Iniciado")),"CRÍTICO - Incumplimiento Normativo SEPS",IF(AND(OR(LEFT(N262,2)="L4",LEFT(N262,2)="L5"),AND(P262&lt;&gt;"",P262&lt;&gt;"N/A")),"CONFORME - Control Efectivo ISO 27001","OBSERVACIÓN - Revisar Controles")))</f>
        <v/>
      </c>
    </row>
    <row r="263">
      <c r="A263">
        <f>IF(INVENTARIO!A263="","",INVENTARIO!A263)</f>
        <v/>
      </c>
      <c r="B263">
        <f>IF(INVENTARIO!E263="","",INVENTARIO!E263)</f>
        <v/>
      </c>
      <c r="C263">
        <f>IF(INVENTARIO!F263="","",INVENTARIO!F263)</f>
        <v/>
      </c>
      <c r="D263">
        <f>IF(INVENTARIO!H263="","",INVENTARIO!H263)</f>
        <v/>
      </c>
      <c r="E263">
        <f>IF(INVENTARIO!I263="","",INVENTARIO!I263)</f>
        <v/>
      </c>
      <c r="F263">
        <f>IF(INVENTARIO!N263="","",INVENTARIO!N263)</f>
        <v/>
      </c>
      <c r="G263">
        <f>IF(INVENTARIO!P263="","",INVENTARIO!P263)</f>
        <v/>
      </c>
      <c r="H263">
        <f>IF(INVENTARIO!Q263="","",INVENTARIO!Q263)</f>
        <v/>
      </c>
      <c r="I263">
        <f>IF(INVENTARIO!R263="","",INVENTARIO!R263)</f>
        <v/>
      </c>
      <c r="J263">
        <f>IF(G263="PUBLICA(1)",1,IF(G263="USO INTERNO(2)",2,IF(G263="RESTRINGIDO(3)",3,0)))+IF(H263="BAJA(1)",1,IF(H263="MEDIA(2)",2,IF(H263="ALTA(3)",3,0)))+IF(I263="BAJA(1)",1,IF(I263="MEDIA(2)",2,IF(I263="ALTA(3)",3,0)))</f>
        <v/>
      </c>
      <c r="K263">
        <f>IF(J263="", "", IF(J263&gt;=8,"ALTA",IF(J263&gt;=6,"MEDIA","BAJA")))</f>
        <v/>
      </c>
      <c r="L263">
        <f>IF(INVENTARIO!Y263="","",INVENTARIO!Y263)</f>
        <v/>
      </c>
      <c r="M263">
        <f>IF(INVENTARIO!Z263="","",INVENTARIO!Z263)</f>
        <v/>
      </c>
      <c r="N263">
        <f>IF(INVENTARIO!AA263="","",INVENTARIO!AA263)</f>
        <v/>
      </c>
      <c r="O263">
        <f>IF(INVENTARIO!AB263="","",INVENTARIO!AB263)</f>
        <v/>
      </c>
      <c r="P263">
        <f>IF(INVENTARIO!AC263="","",INVENTARIO!AC263)</f>
        <v/>
      </c>
      <c r="Q263">
        <f>IF(AND(K263="",N263="",L263=""),"",IF(AND((K263="ALTA"),OR(LEFT(N263,2)="L0",LEFT(N263,2)="L1",L263="No Iniciado")),"CRÍTICO - Incumplimiento Normativo SEPS",IF(AND(OR(LEFT(N263,2)="L4",LEFT(N263,2)="L5"),AND(P263&lt;&gt;"",P263&lt;&gt;"N/A")),"CONFORME - Control Efectivo ISO 27001","OBSERVACIÓN - Revisar Controles")))</f>
        <v/>
      </c>
    </row>
    <row r="264">
      <c r="A264">
        <f>IF(INVENTARIO!A264="","",INVENTARIO!A264)</f>
        <v/>
      </c>
      <c r="B264">
        <f>IF(INVENTARIO!E264="","",INVENTARIO!E264)</f>
        <v/>
      </c>
      <c r="C264">
        <f>IF(INVENTARIO!F264="","",INVENTARIO!F264)</f>
        <v/>
      </c>
      <c r="D264">
        <f>IF(INVENTARIO!H264="","",INVENTARIO!H264)</f>
        <v/>
      </c>
      <c r="E264">
        <f>IF(INVENTARIO!I264="","",INVENTARIO!I264)</f>
        <v/>
      </c>
      <c r="F264">
        <f>IF(INVENTARIO!N264="","",INVENTARIO!N264)</f>
        <v/>
      </c>
      <c r="G264">
        <f>IF(INVENTARIO!P264="","",INVENTARIO!P264)</f>
        <v/>
      </c>
      <c r="H264">
        <f>IF(INVENTARIO!Q264="","",INVENTARIO!Q264)</f>
        <v/>
      </c>
      <c r="I264">
        <f>IF(INVENTARIO!R264="","",INVENTARIO!R264)</f>
        <v/>
      </c>
      <c r="J264">
        <f>IF(G264="PUBLICA(1)",1,IF(G264="USO INTERNO(2)",2,IF(G264="RESTRINGIDO(3)",3,0)))+IF(H264="BAJA(1)",1,IF(H264="MEDIA(2)",2,IF(H264="ALTA(3)",3,0)))+IF(I264="BAJA(1)",1,IF(I264="MEDIA(2)",2,IF(I264="ALTA(3)",3,0)))</f>
        <v/>
      </c>
      <c r="K264">
        <f>IF(J264="", "", IF(J264&gt;=8,"ALTA",IF(J264&gt;=6,"MEDIA","BAJA")))</f>
        <v/>
      </c>
      <c r="L264">
        <f>IF(INVENTARIO!Y264="","",INVENTARIO!Y264)</f>
        <v/>
      </c>
      <c r="M264">
        <f>IF(INVENTARIO!Z264="","",INVENTARIO!Z264)</f>
        <v/>
      </c>
      <c r="N264">
        <f>IF(INVENTARIO!AA264="","",INVENTARIO!AA264)</f>
        <v/>
      </c>
      <c r="O264">
        <f>IF(INVENTARIO!AB264="","",INVENTARIO!AB264)</f>
        <v/>
      </c>
      <c r="P264">
        <f>IF(INVENTARIO!AC264="","",INVENTARIO!AC264)</f>
        <v/>
      </c>
      <c r="Q264">
        <f>IF(AND(K264="",N264="",L264=""),"",IF(AND((K264="ALTA"),OR(LEFT(N264,2)="L0",LEFT(N264,2)="L1",L264="No Iniciado")),"CRÍTICO - Incumplimiento Normativo SEPS",IF(AND(OR(LEFT(N264,2)="L4",LEFT(N264,2)="L5"),AND(P264&lt;&gt;"",P264&lt;&gt;"N/A")),"CONFORME - Control Efectivo ISO 27001","OBSERVACIÓN - Revisar Controles")))</f>
        <v/>
      </c>
    </row>
    <row r="265">
      <c r="A265">
        <f>IF(INVENTARIO!A265="","",INVENTARIO!A265)</f>
        <v/>
      </c>
      <c r="B265">
        <f>IF(INVENTARIO!E265="","",INVENTARIO!E265)</f>
        <v/>
      </c>
      <c r="C265">
        <f>IF(INVENTARIO!F265="","",INVENTARIO!F265)</f>
        <v/>
      </c>
      <c r="D265">
        <f>IF(INVENTARIO!H265="","",INVENTARIO!H265)</f>
        <v/>
      </c>
      <c r="E265">
        <f>IF(INVENTARIO!I265="","",INVENTARIO!I265)</f>
        <v/>
      </c>
      <c r="F265">
        <f>IF(INVENTARIO!N265="","",INVENTARIO!N265)</f>
        <v/>
      </c>
      <c r="G265">
        <f>IF(INVENTARIO!P265="","",INVENTARIO!P265)</f>
        <v/>
      </c>
      <c r="H265">
        <f>IF(INVENTARIO!Q265="","",INVENTARIO!Q265)</f>
        <v/>
      </c>
      <c r="I265">
        <f>IF(INVENTARIO!R265="","",INVENTARIO!R265)</f>
        <v/>
      </c>
      <c r="J265">
        <f>IF(G265="PUBLICA(1)",1,IF(G265="USO INTERNO(2)",2,IF(G265="RESTRINGIDO(3)",3,0)))+IF(H265="BAJA(1)",1,IF(H265="MEDIA(2)",2,IF(H265="ALTA(3)",3,0)))+IF(I265="BAJA(1)",1,IF(I265="MEDIA(2)",2,IF(I265="ALTA(3)",3,0)))</f>
        <v/>
      </c>
      <c r="K265">
        <f>IF(J265="", "", IF(J265&gt;=8,"ALTA",IF(J265&gt;=6,"MEDIA","BAJA")))</f>
        <v/>
      </c>
      <c r="L265">
        <f>IF(INVENTARIO!Y265="","",INVENTARIO!Y265)</f>
        <v/>
      </c>
      <c r="M265">
        <f>IF(INVENTARIO!Z265="","",INVENTARIO!Z265)</f>
        <v/>
      </c>
      <c r="N265">
        <f>IF(INVENTARIO!AA265="","",INVENTARIO!AA265)</f>
        <v/>
      </c>
      <c r="O265">
        <f>IF(INVENTARIO!AB265="","",INVENTARIO!AB265)</f>
        <v/>
      </c>
      <c r="P265">
        <f>IF(INVENTARIO!AC265="","",INVENTARIO!AC265)</f>
        <v/>
      </c>
      <c r="Q265">
        <f>IF(AND(K265="",N265="",L265=""),"",IF(AND((K265="ALTA"),OR(LEFT(N265,2)="L0",LEFT(N265,2)="L1",L265="No Iniciado")),"CRÍTICO - Incumplimiento Normativo SEPS",IF(AND(OR(LEFT(N265,2)="L4",LEFT(N265,2)="L5"),AND(P265&lt;&gt;"",P265&lt;&gt;"N/A")),"CONFORME - Control Efectivo ISO 27001","OBSERVACIÓN - Revisar Controles")))</f>
        <v/>
      </c>
    </row>
    <row r="266">
      <c r="A266">
        <f>IF(INVENTARIO!A266="","",INVENTARIO!A266)</f>
        <v/>
      </c>
      <c r="B266">
        <f>IF(INVENTARIO!E266="","",INVENTARIO!E266)</f>
        <v/>
      </c>
      <c r="C266">
        <f>IF(INVENTARIO!F266="","",INVENTARIO!F266)</f>
        <v/>
      </c>
      <c r="D266">
        <f>IF(INVENTARIO!H266="","",INVENTARIO!H266)</f>
        <v/>
      </c>
      <c r="E266">
        <f>IF(INVENTARIO!I266="","",INVENTARIO!I266)</f>
        <v/>
      </c>
      <c r="F266">
        <f>IF(INVENTARIO!N266="","",INVENTARIO!N266)</f>
        <v/>
      </c>
      <c r="G266">
        <f>IF(INVENTARIO!P266="","",INVENTARIO!P266)</f>
        <v/>
      </c>
      <c r="H266">
        <f>IF(INVENTARIO!Q266="","",INVENTARIO!Q266)</f>
        <v/>
      </c>
      <c r="I266">
        <f>IF(INVENTARIO!R266="","",INVENTARIO!R266)</f>
        <v/>
      </c>
      <c r="J266">
        <f>IF(G266="PUBLICA(1)",1,IF(G266="USO INTERNO(2)",2,IF(G266="RESTRINGIDO(3)",3,0)))+IF(H266="BAJA(1)",1,IF(H266="MEDIA(2)",2,IF(H266="ALTA(3)",3,0)))+IF(I266="BAJA(1)",1,IF(I266="MEDIA(2)",2,IF(I266="ALTA(3)",3,0)))</f>
        <v/>
      </c>
      <c r="K266">
        <f>IF(J266="", "", IF(J266&gt;=8,"ALTA",IF(J266&gt;=6,"MEDIA","BAJA")))</f>
        <v/>
      </c>
      <c r="L266">
        <f>IF(INVENTARIO!Y266="","",INVENTARIO!Y266)</f>
        <v/>
      </c>
      <c r="M266">
        <f>IF(INVENTARIO!Z266="","",INVENTARIO!Z266)</f>
        <v/>
      </c>
      <c r="N266">
        <f>IF(INVENTARIO!AA266="","",INVENTARIO!AA266)</f>
        <v/>
      </c>
      <c r="O266">
        <f>IF(INVENTARIO!AB266="","",INVENTARIO!AB266)</f>
        <v/>
      </c>
      <c r="P266">
        <f>IF(INVENTARIO!AC266="","",INVENTARIO!AC266)</f>
        <v/>
      </c>
      <c r="Q266">
        <f>IF(AND(K266="",N266="",L266=""),"",IF(AND((K266="ALTA"),OR(LEFT(N266,2)="L0",LEFT(N266,2)="L1",L266="No Iniciado")),"CRÍTICO - Incumplimiento Normativo SEPS",IF(AND(OR(LEFT(N266,2)="L4",LEFT(N266,2)="L5"),AND(P266&lt;&gt;"",P266&lt;&gt;"N/A")),"CONFORME - Control Efectivo ISO 27001","OBSERVACIÓN - Revisar Controles")))</f>
        <v/>
      </c>
    </row>
    <row r="267">
      <c r="A267">
        <f>IF(INVENTARIO!A267="","",INVENTARIO!A267)</f>
        <v/>
      </c>
      <c r="B267">
        <f>IF(INVENTARIO!E267="","",INVENTARIO!E267)</f>
        <v/>
      </c>
      <c r="C267">
        <f>IF(INVENTARIO!F267="","",INVENTARIO!F267)</f>
        <v/>
      </c>
      <c r="D267">
        <f>IF(INVENTARIO!H267="","",INVENTARIO!H267)</f>
        <v/>
      </c>
      <c r="E267">
        <f>IF(INVENTARIO!I267="","",INVENTARIO!I267)</f>
        <v/>
      </c>
      <c r="F267">
        <f>IF(INVENTARIO!N267="","",INVENTARIO!N267)</f>
        <v/>
      </c>
      <c r="G267">
        <f>IF(INVENTARIO!P267="","",INVENTARIO!P267)</f>
        <v/>
      </c>
      <c r="H267">
        <f>IF(INVENTARIO!Q267="","",INVENTARIO!Q267)</f>
        <v/>
      </c>
      <c r="I267">
        <f>IF(INVENTARIO!R267="","",INVENTARIO!R267)</f>
        <v/>
      </c>
      <c r="J267">
        <f>IF(G267="PUBLICA(1)",1,IF(G267="USO INTERNO(2)",2,IF(G267="RESTRINGIDO(3)",3,0)))+IF(H267="BAJA(1)",1,IF(H267="MEDIA(2)",2,IF(H267="ALTA(3)",3,0)))+IF(I267="BAJA(1)",1,IF(I267="MEDIA(2)",2,IF(I267="ALTA(3)",3,0)))</f>
        <v/>
      </c>
      <c r="K267">
        <f>IF(J267="", "", IF(J267&gt;=8,"ALTA",IF(J267&gt;=6,"MEDIA","BAJA")))</f>
        <v/>
      </c>
      <c r="L267">
        <f>IF(INVENTARIO!Y267="","",INVENTARIO!Y267)</f>
        <v/>
      </c>
      <c r="M267">
        <f>IF(INVENTARIO!Z267="","",INVENTARIO!Z267)</f>
        <v/>
      </c>
      <c r="N267">
        <f>IF(INVENTARIO!AA267="","",INVENTARIO!AA267)</f>
        <v/>
      </c>
      <c r="O267">
        <f>IF(INVENTARIO!AB267="","",INVENTARIO!AB267)</f>
        <v/>
      </c>
      <c r="P267">
        <f>IF(INVENTARIO!AC267="","",INVENTARIO!AC267)</f>
        <v/>
      </c>
      <c r="Q267">
        <f>IF(AND(K267="",N267="",L267=""),"",IF(AND((K267="ALTA"),OR(LEFT(N267,2)="L0",LEFT(N267,2)="L1",L267="No Iniciado")),"CRÍTICO - Incumplimiento Normativo SEPS",IF(AND(OR(LEFT(N267,2)="L4",LEFT(N267,2)="L5"),AND(P267&lt;&gt;"",P267&lt;&gt;"N/A")),"CONFORME - Control Efectivo ISO 27001","OBSERVACIÓN - Revisar Controles")))</f>
        <v/>
      </c>
    </row>
    <row r="268">
      <c r="A268">
        <f>IF(INVENTARIO!A268="","",INVENTARIO!A268)</f>
        <v/>
      </c>
      <c r="B268">
        <f>IF(INVENTARIO!E268="","",INVENTARIO!E268)</f>
        <v/>
      </c>
      <c r="C268">
        <f>IF(INVENTARIO!F268="","",INVENTARIO!F268)</f>
        <v/>
      </c>
      <c r="D268">
        <f>IF(INVENTARIO!H268="","",INVENTARIO!H268)</f>
        <v/>
      </c>
      <c r="E268">
        <f>IF(INVENTARIO!I268="","",INVENTARIO!I268)</f>
        <v/>
      </c>
      <c r="F268">
        <f>IF(INVENTARIO!N268="","",INVENTARIO!N268)</f>
        <v/>
      </c>
      <c r="G268">
        <f>IF(INVENTARIO!P268="","",INVENTARIO!P268)</f>
        <v/>
      </c>
      <c r="H268">
        <f>IF(INVENTARIO!Q268="","",INVENTARIO!Q268)</f>
        <v/>
      </c>
      <c r="I268">
        <f>IF(INVENTARIO!R268="","",INVENTARIO!R268)</f>
        <v/>
      </c>
      <c r="J268">
        <f>IF(G268="PUBLICA(1)",1,IF(G268="USO INTERNO(2)",2,IF(G268="RESTRINGIDO(3)",3,0)))+IF(H268="BAJA(1)",1,IF(H268="MEDIA(2)",2,IF(H268="ALTA(3)",3,0)))+IF(I268="BAJA(1)",1,IF(I268="MEDIA(2)",2,IF(I268="ALTA(3)",3,0)))</f>
        <v/>
      </c>
      <c r="K268">
        <f>IF(J268="", "", IF(J268&gt;=8,"ALTA",IF(J268&gt;=6,"MEDIA","BAJA")))</f>
        <v/>
      </c>
      <c r="L268">
        <f>IF(INVENTARIO!Y268="","",INVENTARIO!Y268)</f>
        <v/>
      </c>
      <c r="M268">
        <f>IF(INVENTARIO!Z268="","",INVENTARIO!Z268)</f>
        <v/>
      </c>
      <c r="N268">
        <f>IF(INVENTARIO!AA268="","",INVENTARIO!AA268)</f>
        <v/>
      </c>
      <c r="O268">
        <f>IF(INVENTARIO!AB268="","",INVENTARIO!AB268)</f>
        <v/>
      </c>
      <c r="P268">
        <f>IF(INVENTARIO!AC268="","",INVENTARIO!AC268)</f>
        <v/>
      </c>
      <c r="Q268">
        <f>IF(AND(K268="",N268="",L268=""),"",IF(AND((K268="ALTA"),OR(LEFT(N268,2)="L0",LEFT(N268,2)="L1",L268="No Iniciado")),"CRÍTICO - Incumplimiento Normativo SEPS",IF(AND(OR(LEFT(N268,2)="L4",LEFT(N268,2)="L5"),AND(P268&lt;&gt;"",P268&lt;&gt;"N/A")),"CONFORME - Control Efectivo ISO 27001","OBSERVACIÓN - Revisar Controles")))</f>
        <v/>
      </c>
    </row>
    <row r="269">
      <c r="A269">
        <f>IF(INVENTARIO!A269="","",INVENTARIO!A269)</f>
        <v/>
      </c>
      <c r="B269">
        <f>IF(INVENTARIO!E269="","",INVENTARIO!E269)</f>
        <v/>
      </c>
      <c r="C269">
        <f>IF(INVENTARIO!F269="","",INVENTARIO!F269)</f>
        <v/>
      </c>
      <c r="D269">
        <f>IF(INVENTARIO!H269="","",INVENTARIO!H269)</f>
        <v/>
      </c>
      <c r="E269">
        <f>IF(INVENTARIO!I269="","",INVENTARIO!I269)</f>
        <v/>
      </c>
      <c r="F269">
        <f>IF(INVENTARIO!N269="","",INVENTARIO!N269)</f>
        <v/>
      </c>
      <c r="G269">
        <f>IF(INVENTARIO!P269="","",INVENTARIO!P269)</f>
        <v/>
      </c>
      <c r="H269">
        <f>IF(INVENTARIO!Q269="","",INVENTARIO!Q269)</f>
        <v/>
      </c>
      <c r="I269">
        <f>IF(INVENTARIO!R269="","",INVENTARIO!R269)</f>
        <v/>
      </c>
      <c r="J269">
        <f>IF(G269="PUBLICA(1)",1,IF(G269="USO INTERNO(2)",2,IF(G269="RESTRINGIDO(3)",3,0)))+IF(H269="BAJA(1)",1,IF(H269="MEDIA(2)",2,IF(H269="ALTA(3)",3,0)))+IF(I269="BAJA(1)",1,IF(I269="MEDIA(2)",2,IF(I269="ALTA(3)",3,0)))</f>
        <v/>
      </c>
      <c r="K269">
        <f>IF(J269="", "", IF(J269&gt;=8,"ALTA",IF(J269&gt;=6,"MEDIA","BAJA")))</f>
        <v/>
      </c>
      <c r="L269">
        <f>IF(INVENTARIO!Y269="","",INVENTARIO!Y269)</f>
        <v/>
      </c>
      <c r="M269">
        <f>IF(INVENTARIO!Z269="","",INVENTARIO!Z269)</f>
        <v/>
      </c>
      <c r="N269">
        <f>IF(INVENTARIO!AA269="","",INVENTARIO!AA269)</f>
        <v/>
      </c>
      <c r="O269">
        <f>IF(INVENTARIO!AB269="","",INVENTARIO!AB269)</f>
        <v/>
      </c>
      <c r="P269">
        <f>IF(INVENTARIO!AC269="","",INVENTARIO!AC269)</f>
        <v/>
      </c>
      <c r="Q269">
        <f>IF(AND(K269="",N269="",L269=""),"",IF(AND((K269="ALTA"),OR(LEFT(N269,2)="L0",LEFT(N269,2)="L1",L269="No Iniciado")),"CRÍTICO - Incumplimiento Normativo SEPS",IF(AND(OR(LEFT(N269,2)="L4",LEFT(N269,2)="L5"),AND(P269&lt;&gt;"",P269&lt;&gt;"N/A")),"CONFORME - Control Efectivo ISO 27001","OBSERVACIÓN - Revisar Controles")))</f>
        <v/>
      </c>
    </row>
    <row r="270">
      <c r="A270">
        <f>IF(INVENTARIO!A270="","",INVENTARIO!A270)</f>
        <v/>
      </c>
      <c r="B270">
        <f>IF(INVENTARIO!E270="","",INVENTARIO!E270)</f>
        <v/>
      </c>
      <c r="C270">
        <f>IF(INVENTARIO!F270="","",INVENTARIO!F270)</f>
        <v/>
      </c>
      <c r="D270">
        <f>IF(INVENTARIO!H270="","",INVENTARIO!H270)</f>
        <v/>
      </c>
      <c r="E270">
        <f>IF(INVENTARIO!I270="","",INVENTARIO!I270)</f>
        <v/>
      </c>
      <c r="F270">
        <f>IF(INVENTARIO!N270="","",INVENTARIO!N270)</f>
        <v/>
      </c>
      <c r="G270">
        <f>IF(INVENTARIO!P270="","",INVENTARIO!P270)</f>
        <v/>
      </c>
      <c r="H270">
        <f>IF(INVENTARIO!Q270="","",INVENTARIO!Q270)</f>
        <v/>
      </c>
      <c r="I270">
        <f>IF(INVENTARIO!R270="","",INVENTARIO!R270)</f>
        <v/>
      </c>
      <c r="J270">
        <f>IF(G270="PUBLICA(1)",1,IF(G270="USO INTERNO(2)",2,IF(G270="RESTRINGIDO(3)",3,0)))+IF(H270="BAJA(1)",1,IF(H270="MEDIA(2)",2,IF(H270="ALTA(3)",3,0)))+IF(I270="BAJA(1)",1,IF(I270="MEDIA(2)",2,IF(I270="ALTA(3)",3,0)))</f>
        <v/>
      </c>
      <c r="K270">
        <f>IF(J270="", "", IF(J270&gt;=8,"ALTA",IF(J270&gt;=6,"MEDIA","BAJA")))</f>
        <v/>
      </c>
      <c r="L270">
        <f>IF(INVENTARIO!Y270="","",INVENTARIO!Y270)</f>
        <v/>
      </c>
      <c r="M270">
        <f>IF(INVENTARIO!Z270="","",INVENTARIO!Z270)</f>
        <v/>
      </c>
      <c r="N270">
        <f>IF(INVENTARIO!AA270="","",INVENTARIO!AA270)</f>
        <v/>
      </c>
      <c r="O270">
        <f>IF(INVENTARIO!AB270="","",INVENTARIO!AB270)</f>
        <v/>
      </c>
      <c r="P270">
        <f>IF(INVENTARIO!AC270="","",INVENTARIO!AC270)</f>
        <v/>
      </c>
      <c r="Q270">
        <f>IF(AND(K270="",N270="",L270=""),"",IF(AND((K270="ALTA"),OR(LEFT(N270,2)="L0",LEFT(N270,2)="L1",L270="No Iniciado")),"CRÍTICO - Incumplimiento Normativo SEPS",IF(AND(OR(LEFT(N270,2)="L4",LEFT(N270,2)="L5"),AND(P270&lt;&gt;"",P270&lt;&gt;"N/A")),"CONFORME - Control Efectivo ISO 27001","OBSERVACIÓN - Revisar Controles")))</f>
        <v/>
      </c>
    </row>
    <row r="271">
      <c r="A271">
        <f>IF(INVENTARIO!A271="","",INVENTARIO!A271)</f>
        <v/>
      </c>
      <c r="B271">
        <f>IF(INVENTARIO!E271="","",INVENTARIO!E271)</f>
        <v/>
      </c>
      <c r="C271">
        <f>IF(INVENTARIO!F271="","",INVENTARIO!F271)</f>
        <v/>
      </c>
      <c r="D271">
        <f>IF(INVENTARIO!H271="","",INVENTARIO!H271)</f>
        <v/>
      </c>
      <c r="E271">
        <f>IF(INVENTARIO!I271="","",INVENTARIO!I271)</f>
        <v/>
      </c>
      <c r="F271">
        <f>IF(INVENTARIO!N271="","",INVENTARIO!N271)</f>
        <v/>
      </c>
      <c r="G271">
        <f>IF(INVENTARIO!P271="","",INVENTARIO!P271)</f>
        <v/>
      </c>
      <c r="H271">
        <f>IF(INVENTARIO!Q271="","",INVENTARIO!Q271)</f>
        <v/>
      </c>
      <c r="I271">
        <f>IF(INVENTARIO!R271="","",INVENTARIO!R271)</f>
        <v/>
      </c>
      <c r="J271">
        <f>IF(G271="PUBLICA(1)",1,IF(G271="USO INTERNO(2)",2,IF(G271="RESTRINGIDO(3)",3,0)))+IF(H271="BAJA(1)",1,IF(H271="MEDIA(2)",2,IF(H271="ALTA(3)",3,0)))+IF(I271="BAJA(1)",1,IF(I271="MEDIA(2)",2,IF(I271="ALTA(3)",3,0)))</f>
        <v/>
      </c>
      <c r="K271">
        <f>IF(J271="", "", IF(J271&gt;=8,"ALTA",IF(J271&gt;=6,"MEDIA","BAJA")))</f>
        <v/>
      </c>
      <c r="L271">
        <f>IF(INVENTARIO!Y271="","",INVENTARIO!Y271)</f>
        <v/>
      </c>
      <c r="M271">
        <f>IF(INVENTARIO!Z271="","",INVENTARIO!Z271)</f>
        <v/>
      </c>
      <c r="N271">
        <f>IF(INVENTARIO!AA271="","",INVENTARIO!AA271)</f>
        <v/>
      </c>
      <c r="O271">
        <f>IF(INVENTARIO!AB271="","",INVENTARIO!AB271)</f>
        <v/>
      </c>
      <c r="P271">
        <f>IF(INVENTARIO!AC271="","",INVENTARIO!AC271)</f>
        <v/>
      </c>
      <c r="Q271">
        <f>IF(AND(K271="",N271="",L271=""),"",IF(AND((K271="ALTA"),OR(LEFT(N271,2)="L0",LEFT(N271,2)="L1",L271="No Iniciado")),"CRÍTICO - Incumplimiento Normativo SEPS",IF(AND(OR(LEFT(N271,2)="L4",LEFT(N271,2)="L5"),AND(P271&lt;&gt;"",P271&lt;&gt;"N/A")),"CONFORME - Control Efectivo ISO 27001","OBSERVACIÓN - Revisar Controles")))</f>
        <v/>
      </c>
    </row>
    <row r="272">
      <c r="A272">
        <f>IF(INVENTARIO!A272="","",INVENTARIO!A272)</f>
        <v/>
      </c>
      <c r="B272">
        <f>IF(INVENTARIO!E272="","",INVENTARIO!E272)</f>
        <v/>
      </c>
      <c r="C272">
        <f>IF(INVENTARIO!F272="","",INVENTARIO!F272)</f>
        <v/>
      </c>
      <c r="D272">
        <f>IF(INVENTARIO!H272="","",INVENTARIO!H272)</f>
        <v/>
      </c>
      <c r="E272">
        <f>IF(INVENTARIO!I272="","",INVENTARIO!I272)</f>
        <v/>
      </c>
      <c r="F272">
        <f>IF(INVENTARIO!N272="","",INVENTARIO!N272)</f>
        <v/>
      </c>
      <c r="G272">
        <f>IF(INVENTARIO!P272="","",INVENTARIO!P272)</f>
        <v/>
      </c>
      <c r="H272">
        <f>IF(INVENTARIO!Q272="","",INVENTARIO!Q272)</f>
        <v/>
      </c>
      <c r="I272">
        <f>IF(INVENTARIO!R272="","",INVENTARIO!R272)</f>
        <v/>
      </c>
      <c r="J272">
        <f>IF(G272="PUBLICA(1)",1,IF(G272="USO INTERNO(2)",2,IF(G272="RESTRINGIDO(3)",3,0)))+IF(H272="BAJA(1)",1,IF(H272="MEDIA(2)",2,IF(H272="ALTA(3)",3,0)))+IF(I272="BAJA(1)",1,IF(I272="MEDIA(2)",2,IF(I272="ALTA(3)",3,0)))</f>
        <v/>
      </c>
      <c r="K272">
        <f>IF(J272="", "", IF(J272&gt;=8,"ALTA",IF(J272&gt;=6,"MEDIA","BAJA")))</f>
        <v/>
      </c>
      <c r="L272">
        <f>IF(INVENTARIO!Y272="","",INVENTARIO!Y272)</f>
        <v/>
      </c>
      <c r="M272">
        <f>IF(INVENTARIO!Z272="","",INVENTARIO!Z272)</f>
        <v/>
      </c>
      <c r="N272">
        <f>IF(INVENTARIO!AA272="","",INVENTARIO!AA272)</f>
        <v/>
      </c>
      <c r="O272">
        <f>IF(INVENTARIO!AB272="","",INVENTARIO!AB272)</f>
        <v/>
      </c>
      <c r="P272">
        <f>IF(INVENTARIO!AC272="","",INVENTARIO!AC272)</f>
        <v/>
      </c>
      <c r="Q272">
        <f>IF(AND(K272="",N272="",L272=""),"",IF(AND((K272="ALTA"),OR(LEFT(N272,2)="L0",LEFT(N272,2)="L1",L272="No Iniciado")),"CRÍTICO - Incumplimiento Normativo SEPS",IF(AND(OR(LEFT(N272,2)="L4",LEFT(N272,2)="L5"),AND(P272&lt;&gt;"",P272&lt;&gt;"N/A")),"CONFORME - Control Efectivo ISO 27001","OBSERVACIÓN - Revisar Controles")))</f>
        <v/>
      </c>
    </row>
    <row r="273">
      <c r="A273">
        <f>IF(INVENTARIO!A273="","",INVENTARIO!A273)</f>
        <v/>
      </c>
      <c r="B273">
        <f>IF(INVENTARIO!E273="","",INVENTARIO!E273)</f>
        <v/>
      </c>
      <c r="C273">
        <f>IF(INVENTARIO!F273="","",INVENTARIO!F273)</f>
        <v/>
      </c>
      <c r="D273">
        <f>IF(INVENTARIO!H273="","",INVENTARIO!H273)</f>
        <v/>
      </c>
      <c r="E273">
        <f>IF(INVENTARIO!I273="","",INVENTARIO!I273)</f>
        <v/>
      </c>
      <c r="F273">
        <f>IF(INVENTARIO!N273="","",INVENTARIO!N273)</f>
        <v/>
      </c>
      <c r="G273">
        <f>IF(INVENTARIO!P273="","",INVENTARIO!P273)</f>
        <v/>
      </c>
      <c r="H273">
        <f>IF(INVENTARIO!Q273="","",INVENTARIO!Q273)</f>
        <v/>
      </c>
      <c r="I273">
        <f>IF(INVENTARIO!R273="","",INVENTARIO!R273)</f>
        <v/>
      </c>
      <c r="J273">
        <f>IF(G273="PUBLICA(1)",1,IF(G273="USO INTERNO(2)",2,IF(G273="RESTRINGIDO(3)",3,0)))+IF(H273="BAJA(1)",1,IF(H273="MEDIA(2)",2,IF(H273="ALTA(3)",3,0)))+IF(I273="BAJA(1)",1,IF(I273="MEDIA(2)",2,IF(I273="ALTA(3)",3,0)))</f>
        <v/>
      </c>
      <c r="K273">
        <f>IF(J273="", "", IF(J273&gt;=8,"ALTA",IF(J273&gt;=6,"MEDIA","BAJA")))</f>
        <v/>
      </c>
      <c r="L273">
        <f>IF(INVENTARIO!Y273="","",INVENTARIO!Y273)</f>
        <v/>
      </c>
      <c r="M273">
        <f>IF(INVENTARIO!Z273="","",INVENTARIO!Z273)</f>
        <v/>
      </c>
      <c r="N273">
        <f>IF(INVENTARIO!AA273="","",INVENTARIO!AA273)</f>
        <v/>
      </c>
      <c r="O273">
        <f>IF(INVENTARIO!AB273="","",INVENTARIO!AB273)</f>
        <v/>
      </c>
      <c r="P273">
        <f>IF(INVENTARIO!AC273="","",INVENTARIO!AC273)</f>
        <v/>
      </c>
      <c r="Q273">
        <f>IF(AND(K273="",N273="",L273=""),"",IF(AND((K273="ALTA"),OR(LEFT(N273,2)="L0",LEFT(N273,2)="L1",L273="No Iniciado")),"CRÍTICO - Incumplimiento Normativo SEPS",IF(AND(OR(LEFT(N273,2)="L4",LEFT(N273,2)="L5"),AND(P273&lt;&gt;"",P273&lt;&gt;"N/A")),"CONFORME - Control Efectivo ISO 27001","OBSERVACIÓN - Revisar Controles")))</f>
        <v/>
      </c>
    </row>
    <row r="274">
      <c r="A274">
        <f>IF(INVENTARIO!A274="","",INVENTARIO!A274)</f>
        <v/>
      </c>
      <c r="B274">
        <f>IF(INVENTARIO!E274="","",INVENTARIO!E274)</f>
        <v/>
      </c>
      <c r="C274">
        <f>IF(INVENTARIO!F274="","",INVENTARIO!F274)</f>
        <v/>
      </c>
      <c r="D274">
        <f>IF(INVENTARIO!H274="","",INVENTARIO!H274)</f>
        <v/>
      </c>
      <c r="E274">
        <f>IF(INVENTARIO!I274="","",INVENTARIO!I274)</f>
        <v/>
      </c>
      <c r="F274">
        <f>IF(INVENTARIO!N274="","",INVENTARIO!N274)</f>
        <v/>
      </c>
      <c r="G274">
        <f>IF(INVENTARIO!P274="","",INVENTARIO!P274)</f>
        <v/>
      </c>
      <c r="H274">
        <f>IF(INVENTARIO!Q274="","",INVENTARIO!Q274)</f>
        <v/>
      </c>
      <c r="I274">
        <f>IF(INVENTARIO!R274="","",INVENTARIO!R274)</f>
        <v/>
      </c>
      <c r="J274">
        <f>IF(G274="PUBLICA(1)",1,IF(G274="USO INTERNO(2)",2,IF(G274="RESTRINGIDO(3)",3,0)))+IF(H274="BAJA(1)",1,IF(H274="MEDIA(2)",2,IF(H274="ALTA(3)",3,0)))+IF(I274="BAJA(1)",1,IF(I274="MEDIA(2)",2,IF(I274="ALTA(3)",3,0)))</f>
        <v/>
      </c>
      <c r="K274">
        <f>IF(J274="", "", IF(J274&gt;=8,"ALTA",IF(J274&gt;=6,"MEDIA","BAJA")))</f>
        <v/>
      </c>
      <c r="L274">
        <f>IF(INVENTARIO!Y274="","",INVENTARIO!Y274)</f>
        <v/>
      </c>
      <c r="M274">
        <f>IF(INVENTARIO!Z274="","",INVENTARIO!Z274)</f>
        <v/>
      </c>
      <c r="N274">
        <f>IF(INVENTARIO!AA274="","",INVENTARIO!AA274)</f>
        <v/>
      </c>
      <c r="O274">
        <f>IF(INVENTARIO!AB274="","",INVENTARIO!AB274)</f>
        <v/>
      </c>
      <c r="P274">
        <f>IF(INVENTARIO!AC274="","",INVENTARIO!AC274)</f>
        <v/>
      </c>
      <c r="Q274">
        <f>IF(AND(K274="",N274="",L274=""),"",IF(AND((K274="ALTA"),OR(LEFT(N274,2)="L0",LEFT(N274,2)="L1",L274="No Iniciado")),"CRÍTICO - Incumplimiento Normativo SEPS",IF(AND(OR(LEFT(N274,2)="L4",LEFT(N274,2)="L5"),AND(P274&lt;&gt;"",P274&lt;&gt;"N/A")),"CONFORME - Control Efectivo ISO 27001","OBSERVACIÓN - Revisar Controles")))</f>
        <v/>
      </c>
    </row>
    <row r="275">
      <c r="A275">
        <f>IF(INVENTARIO!A275="","",INVENTARIO!A275)</f>
        <v/>
      </c>
      <c r="B275">
        <f>IF(INVENTARIO!E275="","",INVENTARIO!E275)</f>
        <v/>
      </c>
      <c r="C275">
        <f>IF(INVENTARIO!F275="","",INVENTARIO!F275)</f>
        <v/>
      </c>
      <c r="D275">
        <f>IF(INVENTARIO!H275="","",INVENTARIO!H275)</f>
        <v/>
      </c>
      <c r="E275">
        <f>IF(INVENTARIO!I275="","",INVENTARIO!I275)</f>
        <v/>
      </c>
      <c r="F275">
        <f>IF(INVENTARIO!N275="","",INVENTARIO!N275)</f>
        <v/>
      </c>
      <c r="G275">
        <f>IF(INVENTARIO!P275="","",INVENTARIO!P275)</f>
        <v/>
      </c>
      <c r="H275">
        <f>IF(INVENTARIO!Q275="","",INVENTARIO!Q275)</f>
        <v/>
      </c>
      <c r="I275">
        <f>IF(INVENTARIO!R275="","",INVENTARIO!R275)</f>
        <v/>
      </c>
      <c r="J275">
        <f>IF(G275="PUBLICA(1)",1,IF(G275="USO INTERNO(2)",2,IF(G275="RESTRINGIDO(3)",3,0)))+IF(H275="BAJA(1)",1,IF(H275="MEDIA(2)",2,IF(H275="ALTA(3)",3,0)))+IF(I275="BAJA(1)",1,IF(I275="MEDIA(2)",2,IF(I275="ALTA(3)",3,0)))</f>
        <v/>
      </c>
      <c r="K275">
        <f>IF(J275="", "", IF(J275&gt;=8,"ALTA",IF(J275&gt;=6,"MEDIA","BAJA")))</f>
        <v/>
      </c>
      <c r="L275">
        <f>IF(INVENTARIO!Y275="","",INVENTARIO!Y275)</f>
        <v/>
      </c>
      <c r="M275">
        <f>IF(INVENTARIO!Z275="","",INVENTARIO!Z275)</f>
        <v/>
      </c>
      <c r="N275">
        <f>IF(INVENTARIO!AA275="","",INVENTARIO!AA275)</f>
        <v/>
      </c>
      <c r="O275">
        <f>IF(INVENTARIO!AB275="","",INVENTARIO!AB275)</f>
        <v/>
      </c>
      <c r="P275">
        <f>IF(INVENTARIO!AC275="","",INVENTARIO!AC275)</f>
        <v/>
      </c>
      <c r="Q275">
        <f>IF(AND(K275="",N275="",L275=""),"",IF(AND((K275="ALTA"),OR(LEFT(N275,2)="L0",LEFT(N275,2)="L1",L275="No Iniciado")),"CRÍTICO - Incumplimiento Normativo SEPS",IF(AND(OR(LEFT(N275,2)="L4",LEFT(N275,2)="L5"),AND(P275&lt;&gt;"",P275&lt;&gt;"N/A")),"CONFORME - Control Efectivo ISO 27001","OBSERVACIÓN - Revisar Controles")))</f>
        <v/>
      </c>
    </row>
    <row r="276">
      <c r="A276">
        <f>IF(INVENTARIO!A276="","",INVENTARIO!A276)</f>
        <v/>
      </c>
      <c r="B276">
        <f>IF(INVENTARIO!E276="","",INVENTARIO!E276)</f>
        <v/>
      </c>
      <c r="C276">
        <f>IF(INVENTARIO!F276="","",INVENTARIO!F276)</f>
        <v/>
      </c>
      <c r="D276">
        <f>IF(INVENTARIO!H276="","",INVENTARIO!H276)</f>
        <v/>
      </c>
      <c r="E276">
        <f>IF(INVENTARIO!I276="","",INVENTARIO!I276)</f>
        <v/>
      </c>
      <c r="F276">
        <f>IF(INVENTARIO!N276="","",INVENTARIO!N276)</f>
        <v/>
      </c>
      <c r="G276">
        <f>IF(INVENTARIO!P276="","",INVENTARIO!P276)</f>
        <v/>
      </c>
      <c r="H276">
        <f>IF(INVENTARIO!Q276="","",INVENTARIO!Q276)</f>
        <v/>
      </c>
      <c r="I276">
        <f>IF(INVENTARIO!R276="","",INVENTARIO!R276)</f>
        <v/>
      </c>
      <c r="J276">
        <f>IF(G276="PUBLICA(1)",1,IF(G276="USO INTERNO(2)",2,IF(G276="RESTRINGIDO(3)",3,0)))+IF(H276="BAJA(1)",1,IF(H276="MEDIA(2)",2,IF(H276="ALTA(3)",3,0)))+IF(I276="BAJA(1)",1,IF(I276="MEDIA(2)",2,IF(I276="ALTA(3)",3,0)))</f>
        <v/>
      </c>
      <c r="K276">
        <f>IF(J276="", "", IF(J276&gt;=8,"ALTA",IF(J276&gt;=6,"MEDIA","BAJA")))</f>
        <v/>
      </c>
      <c r="L276">
        <f>IF(INVENTARIO!Y276="","",INVENTARIO!Y276)</f>
        <v/>
      </c>
      <c r="M276">
        <f>IF(INVENTARIO!Z276="","",INVENTARIO!Z276)</f>
        <v/>
      </c>
      <c r="N276">
        <f>IF(INVENTARIO!AA276="","",INVENTARIO!AA276)</f>
        <v/>
      </c>
      <c r="O276">
        <f>IF(INVENTARIO!AB276="","",INVENTARIO!AB276)</f>
        <v/>
      </c>
      <c r="P276">
        <f>IF(INVENTARIO!AC276="","",INVENTARIO!AC276)</f>
        <v/>
      </c>
      <c r="Q276">
        <f>IF(AND(K276="",N276="",L276=""),"",IF(AND((K276="ALTA"),OR(LEFT(N276,2)="L0",LEFT(N276,2)="L1",L276="No Iniciado")),"CRÍTICO - Incumplimiento Normativo SEPS",IF(AND(OR(LEFT(N276,2)="L4",LEFT(N276,2)="L5"),AND(P276&lt;&gt;"",P276&lt;&gt;"N/A")),"CONFORME - Control Efectivo ISO 27001","OBSERVACIÓN - Revisar Controles")))</f>
        <v/>
      </c>
    </row>
    <row r="277">
      <c r="A277">
        <f>IF(INVENTARIO!A277="","",INVENTARIO!A277)</f>
        <v/>
      </c>
      <c r="B277">
        <f>IF(INVENTARIO!E277="","",INVENTARIO!E277)</f>
        <v/>
      </c>
      <c r="C277">
        <f>IF(INVENTARIO!F277="","",INVENTARIO!F277)</f>
        <v/>
      </c>
      <c r="D277">
        <f>IF(INVENTARIO!H277="","",INVENTARIO!H277)</f>
        <v/>
      </c>
      <c r="E277">
        <f>IF(INVENTARIO!I277="","",INVENTARIO!I277)</f>
        <v/>
      </c>
      <c r="F277">
        <f>IF(INVENTARIO!N277="","",INVENTARIO!N277)</f>
        <v/>
      </c>
      <c r="G277">
        <f>IF(INVENTARIO!P277="","",INVENTARIO!P277)</f>
        <v/>
      </c>
      <c r="H277">
        <f>IF(INVENTARIO!Q277="","",INVENTARIO!Q277)</f>
        <v/>
      </c>
      <c r="I277">
        <f>IF(INVENTARIO!R277="","",INVENTARIO!R277)</f>
        <v/>
      </c>
      <c r="J277">
        <f>IF(G277="PUBLICA(1)",1,IF(G277="USO INTERNO(2)",2,IF(G277="RESTRINGIDO(3)",3,0)))+IF(H277="BAJA(1)",1,IF(H277="MEDIA(2)",2,IF(H277="ALTA(3)",3,0)))+IF(I277="BAJA(1)",1,IF(I277="MEDIA(2)",2,IF(I277="ALTA(3)",3,0)))</f>
        <v/>
      </c>
      <c r="K277">
        <f>IF(J277="", "", IF(J277&gt;=8,"ALTA",IF(J277&gt;=6,"MEDIA","BAJA")))</f>
        <v/>
      </c>
      <c r="L277">
        <f>IF(INVENTARIO!Y277="","",INVENTARIO!Y277)</f>
        <v/>
      </c>
      <c r="M277">
        <f>IF(INVENTARIO!Z277="","",INVENTARIO!Z277)</f>
        <v/>
      </c>
      <c r="N277">
        <f>IF(INVENTARIO!AA277="","",INVENTARIO!AA277)</f>
        <v/>
      </c>
      <c r="O277">
        <f>IF(INVENTARIO!AB277="","",INVENTARIO!AB277)</f>
        <v/>
      </c>
      <c r="P277">
        <f>IF(INVENTARIO!AC277="","",INVENTARIO!AC277)</f>
        <v/>
      </c>
      <c r="Q277">
        <f>IF(AND(K277="",N277="",L277=""),"",IF(AND((K277="ALTA"),OR(LEFT(N277,2)="L0",LEFT(N277,2)="L1",L277="No Iniciado")),"CRÍTICO - Incumplimiento Normativo SEPS",IF(AND(OR(LEFT(N277,2)="L4",LEFT(N277,2)="L5"),AND(P277&lt;&gt;"",P277&lt;&gt;"N/A")),"CONFORME - Control Efectivo ISO 27001","OBSERVACIÓN - Revisar Controles")))</f>
        <v/>
      </c>
    </row>
    <row r="278">
      <c r="A278">
        <f>IF(INVENTARIO!A278="","",INVENTARIO!A278)</f>
        <v/>
      </c>
      <c r="B278">
        <f>IF(INVENTARIO!E278="","",INVENTARIO!E278)</f>
        <v/>
      </c>
      <c r="C278">
        <f>IF(INVENTARIO!F278="","",INVENTARIO!F278)</f>
        <v/>
      </c>
      <c r="D278">
        <f>IF(INVENTARIO!H278="","",INVENTARIO!H278)</f>
        <v/>
      </c>
      <c r="E278">
        <f>IF(INVENTARIO!I278="","",INVENTARIO!I278)</f>
        <v/>
      </c>
      <c r="F278">
        <f>IF(INVENTARIO!N278="","",INVENTARIO!N278)</f>
        <v/>
      </c>
      <c r="G278">
        <f>IF(INVENTARIO!P278="","",INVENTARIO!P278)</f>
        <v/>
      </c>
      <c r="H278">
        <f>IF(INVENTARIO!Q278="","",INVENTARIO!Q278)</f>
        <v/>
      </c>
      <c r="I278">
        <f>IF(INVENTARIO!R278="","",INVENTARIO!R278)</f>
        <v/>
      </c>
      <c r="J278">
        <f>IF(G278="PUBLICA(1)",1,IF(G278="USO INTERNO(2)",2,IF(G278="RESTRINGIDO(3)",3,0)))+IF(H278="BAJA(1)",1,IF(H278="MEDIA(2)",2,IF(H278="ALTA(3)",3,0)))+IF(I278="BAJA(1)",1,IF(I278="MEDIA(2)",2,IF(I278="ALTA(3)",3,0)))</f>
        <v/>
      </c>
      <c r="K278">
        <f>IF(J278="", "", IF(J278&gt;=8,"ALTA",IF(J278&gt;=6,"MEDIA","BAJA")))</f>
        <v/>
      </c>
      <c r="L278">
        <f>IF(INVENTARIO!Y278="","",INVENTARIO!Y278)</f>
        <v/>
      </c>
      <c r="M278">
        <f>IF(INVENTARIO!Z278="","",INVENTARIO!Z278)</f>
        <v/>
      </c>
      <c r="N278">
        <f>IF(INVENTARIO!AA278="","",INVENTARIO!AA278)</f>
        <v/>
      </c>
      <c r="O278">
        <f>IF(INVENTARIO!AB278="","",INVENTARIO!AB278)</f>
        <v/>
      </c>
      <c r="P278">
        <f>IF(INVENTARIO!AC278="","",INVENTARIO!AC278)</f>
        <v/>
      </c>
      <c r="Q278">
        <f>IF(AND(K278="",N278="",L278=""),"",IF(AND((K278="ALTA"),OR(LEFT(N278,2)="L0",LEFT(N278,2)="L1",L278="No Iniciado")),"CRÍTICO - Incumplimiento Normativo SEPS",IF(AND(OR(LEFT(N278,2)="L4",LEFT(N278,2)="L5"),AND(P278&lt;&gt;"",P278&lt;&gt;"N/A")),"CONFORME - Control Efectivo ISO 27001","OBSERVACIÓN - Revisar Controles")))</f>
        <v/>
      </c>
    </row>
    <row r="279">
      <c r="A279">
        <f>IF(INVENTARIO!A279="","",INVENTARIO!A279)</f>
        <v/>
      </c>
      <c r="B279">
        <f>IF(INVENTARIO!E279="","",INVENTARIO!E279)</f>
        <v/>
      </c>
      <c r="C279">
        <f>IF(INVENTARIO!F279="","",INVENTARIO!F279)</f>
        <v/>
      </c>
      <c r="D279">
        <f>IF(INVENTARIO!H279="","",INVENTARIO!H279)</f>
        <v/>
      </c>
      <c r="E279">
        <f>IF(INVENTARIO!I279="","",INVENTARIO!I279)</f>
        <v/>
      </c>
      <c r="F279">
        <f>IF(INVENTARIO!N279="","",INVENTARIO!N279)</f>
        <v/>
      </c>
      <c r="G279">
        <f>IF(INVENTARIO!P279="","",INVENTARIO!P279)</f>
        <v/>
      </c>
      <c r="H279">
        <f>IF(INVENTARIO!Q279="","",INVENTARIO!Q279)</f>
        <v/>
      </c>
      <c r="I279">
        <f>IF(INVENTARIO!R279="","",INVENTARIO!R279)</f>
        <v/>
      </c>
      <c r="J279">
        <f>IF(G279="PUBLICA(1)",1,IF(G279="USO INTERNO(2)",2,IF(G279="RESTRINGIDO(3)",3,0)))+IF(H279="BAJA(1)",1,IF(H279="MEDIA(2)",2,IF(H279="ALTA(3)",3,0)))+IF(I279="BAJA(1)",1,IF(I279="MEDIA(2)",2,IF(I279="ALTA(3)",3,0)))</f>
        <v/>
      </c>
      <c r="K279">
        <f>IF(J279="", "", IF(J279&gt;=8,"ALTA",IF(J279&gt;=6,"MEDIA","BAJA")))</f>
        <v/>
      </c>
      <c r="L279">
        <f>IF(INVENTARIO!Y279="","",INVENTARIO!Y279)</f>
        <v/>
      </c>
      <c r="M279">
        <f>IF(INVENTARIO!Z279="","",INVENTARIO!Z279)</f>
        <v/>
      </c>
      <c r="N279">
        <f>IF(INVENTARIO!AA279="","",INVENTARIO!AA279)</f>
        <v/>
      </c>
      <c r="O279">
        <f>IF(INVENTARIO!AB279="","",INVENTARIO!AB279)</f>
        <v/>
      </c>
      <c r="P279">
        <f>IF(INVENTARIO!AC279="","",INVENTARIO!AC279)</f>
        <v/>
      </c>
      <c r="Q279">
        <f>IF(AND(K279="",N279="",L279=""),"",IF(AND((K279="ALTA"),OR(LEFT(N279,2)="L0",LEFT(N279,2)="L1",L279="No Iniciado")),"CRÍTICO - Incumplimiento Normativo SEPS",IF(AND(OR(LEFT(N279,2)="L4",LEFT(N279,2)="L5"),AND(P279&lt;&gt;"",P279&lt;&gt;"N/A")),"CONFORME - Control Efectivo ISO 27001","OBSERVACIÓN - Revisar Controles")))</f>
        <v/>
      </c>
    </row>
    <row r="280">
      <c r="A280">
        <f>IF(INVENTARIO!A280="","",INVENTARIO!A280)</f>
        <v/>
      </c>
      <c r="B280">
        <f>IF(INVENTARIO!E280="","",INVENTARIO!E280)</f>
        <v/>
      </c>
      <c r="C280">
        <f>IF(INVENTARIO!F280="","",INVENTARIO!F280)</f>
        <v/>
      </c>
      <c r="D280">
        <f>IF(INVENTARIO!H280="","",INVENTARIO!H280)</f>
        <v/>
      </c>
      <c r="E280">
        <f>IF(INVENTARIO!I280="","",INVENTARIO!I280)</f>
        <v/>
      </c>
      <c r="F280">
        <f>IF(INVENTARIO!N280="","",INVENTARIO!N280)</f>
        <v/>
      </c>
      <c r="G280">
        <f>IF(INVENTARIO!P280="","",INVENTARIO!P280)</f>
        <v/>
      </c>
      <c r="H280">
        <f>IF(INVENTARIO!Q280="","",INVENTARIO!Q280)</f>
        <v/>
      </c>
      <c r="I280">
        <f>IF(INVENTARIO!R280="","",INVENTARIO!R280)</f>
        <v/>
      </c>
      <c r="J280">
        <f>IF(G280="PUBLICA(1)",1,IF(G280="USO INTERNO(2)",2,IF(G280="RESTRINGIDO(3)",3,0)))+IF(H280="BAJA(1)",1,IF(H280="MEDIA(2)",2,IF(H280="ALTA(3)",3,0)))+IF(I280="BAJA(1)",1,IF(I280="MEDIA(2)",2,IF(I280="ALTA(3)",3,0)))</f>
        <v/>
      </c>
      <c r="K280">
        <f>IF(J280="", "", IF(J280&gt;=8,"ALTA",IF(J280&gt;=6,"MEDIA","BAJA")))</f>
        <v/>
      </c>
      <c r="L280">
        <f>IF(INVENTARIO!Y280="","",INVENTARIO!Y280)</f>
        <v/>
      </c>
      <c r="M280">
        <f>IF(INVENTARIO!Z280="","",INVENTARIO!Z280)</f>
        <v/>
      </c>
      <c r="N280">
        <f>IF(INVENTARIO!AA280="","",INVENTARIO!AA280)</f>
        <v/>
      </c>
      <c r="O280">
        <f>IF(INVENTARIO!AB280="","",INVENTARIO!AB280)</f>
        <v/>
      </c>
      <c r="P280">
        <f>IF(INVENTARIO!AC280="","",INVENTARIO!AC280)</f>
        <v/>
      </c>
      <c r="Q280">
        <f>IF(AND(K280="",N280="",L280=""),"",IF(AND((K280="ALTA"),OR(LEFT(N280,2)="L0",LEFT(N280,2)="L1",L280="No Iniciado")),"CRÍTICO - Incumplimiento Normativo SEPS",IF(AND(OR(LEFT(N280,2)="L4",LEFT(N280,2)="L5"),AND(P280&lt;&gt;"",P280&lt;&gt;"N/A")),"CONFORME - Control Efectivo ISO 27001","OBSERVACIÓN - Revisar Controles")))</f>
        <v/>
      </c>
    </row>
    <row r="281">
      <c r="A281">
        <f>IF(INVENTARIO!A281="","",INVENTARIO!A281)</f>
        <v/>
      </c>
      <c r="B281">
        <f>IF(INVENTARIO!E281="","",INVENTARIO!E281)</f>
        <v/>
      </c>
      <c r="C281">
        <f>IF(INVENTARIO!F281="","",INVENTARIO!F281)</f>
        <v/>
      </c>
      <c r="D281">
        <f>IF(INVENTARIO!H281="","",INVENTARIO!H281)</f>
        <v/>
      </c>
      <c r="E281">
        <f>IF(INVENTARIO!I281="","",INVENTARIO!I281)</f>
        <v/>
      </c>
      <c r="F281">
        <f>IF(INVENTARIO!N281="","",INVENTARIO!N281)</f>
        <v/>
      </c>
      <c r="G281">
        <f>IF(INVENTARIO!P281="","",INVENTARIO!P281)</f>
        <v/>
      </c>
      <c r="H281">
        <f>IF(INVENTARIO!Q281="","",INVENTARIO!Q281)</f>
        <v/>
      </c>
      <c r="I281">
        <f>IF(INVENTARIO!R281="","",INVENTARIO!R281)</f>
        <v/>
      </c>
      <c r="J281">
        <f>IF(G281="PUBLICA(1)",1,IF(G281="USO INTERNO(2)",2,IF(G281="RESTRINGIDO(3)",3,0)))+IF(H281="BAJA(1)",1,IF(H281="MEDIA(2)",2,IF(H281="ALTA(3)",3,0)))+IF(I281="BAJA(1)",1,IF(I281="MEDIA(2)",2,IF(I281="ALTA(3)",3,0)))</f>
        <v/>
      </c>
      <c r="K281">
        <f>IF(J281="", "", IF(J281&gt;=8,"ALTA",IF(J281&gt;=6,"MEDIA","BAJA")))</f>
        <v/>
      </c>
      <c r="L281">
        <f>IF(INVENTARIO!Y281="","",INVENTARIO!Y281)</f>
        <v/>
      </c>
      <c r="M281">
        <f>IF(INVENTARIO!Z281="","",INVENTARIO!Z281)</f>
        <v/>
      </c>
      <c r="N281">
        <f>IF(INVENTARIO!AA281="","",INVENTARIO!AA281)</f>
        <v/>
      </c>
      <c r="O281">
        <f>IF(INVENTARIO!AB281="","",INVENTARIO!AB281)</f>
        <v/>
      </c>
      <c r="P281">
        <f>IF(INVENTARIO!AC281="","",INVENTARIO!AC281)</f>
        <v/>
      </c>
      <c r="Q281">
        <f>IF(AND(K281="",N281="",L281=""),"",IF(AND((K281="ALTA"),OR(LEFT(N281,2)="L0",LEFT(N281,2)="L1",L281="No Iniciado")),"CRÍTICO - Incumplimiento Normativo SEPS",IF(AND(OR(LEFT(N281,2)="L4",LEFT(N281,2)="L5"),AND(P281&lt;&gt;"",P281&lt;&gt;"N/A")),"CONFORME - Control Efectivo ISO 27001","OBSERVACIÓN - Revisar Controles")))</f>
        <v/>
      </c>
    </row>
    <row r="282">
      <c r="A282">
        <f>IF(INVENTARIO!A282="","",INVENTARIO!A282)</f>
        <v/>
      </c>
      <c r="B282">
        <f>IF(INVENTARIO!E282="","",INVENTARIO!E282)</f>
        <v/>
      </c>
      <c r="C282">
        <f>IF(INVENTARIO!F282="","",INVENTARIO!F282)</f>
        <v/>
      </c>
      <c r="D282">
        <f>IF(INVENTARIO!H282="","",INVENTARIO!H282)</f>
        <v/>
      </c>
      <c r="E282">
        <f>IF(INVENTARIO!I282="","",INVENTARIO!I282)</f>
        <v/>
      </c>
      <c r="F282">
        <f>IF(INVENTARIO!N282="","",INVENTARIO!N282)</f>
        <v/>
      </c>
      <c r="G282">
        <f>IF(INVENTARIO!P282="","",INVENTARIO!P282)</f>
        <v/>
      </c>
      <c r="H282">
        <f>IF(INVENTARIO!Q282="","",INVENTARIO!Q282)</f>
        <v/>
      </c>
      <c r="I282">
        <f>IF(INVENTARIO!R282="","",INVENTARIO!R282)</f>
        <v/>
      </c>
      <c r="J282">
        <f>IF(G282="PUBLICA(1)",1,IF(G282="USO INTERNO(2)",2,IF(G282="RESTRINGIDO(3)",3,0)))+IF(H282="BAJA(1)",1,IF(H282="MEDIA(2)",2,IF(H282="ALTA(3)",3,0)))+IF(I282="BAJA(1)",1,IF(I282="MEDIA(2)",2,IF(I282="ALTA(3)",3,0)))</f>
        <v/>
      </c>
      <c r="K282">
        <f>IF(J282="", "", IF(J282&gt;=8,"ALTA",IF(J282&gt;=6,"MEDIA","BAJA")))</f>
        <v/>
      </c>
      <c r="L282">
        <f>IF(INVENTARIO!Y282="","",INVENTARIO!Y282)</f>
        <v/>
      </c>
      <c r="M282">
        <f>IF(INVENTARIO!Z282="","",INVENTARIO!Z282)</f>
        <v/>
      </c>
      <c r="N282">
        <f>IF(INVENTARIO!AA282="","",INVENTARIO!AA282)</f>
        <v/>
      </c>
      <c r="O282">
        <f>IF(INVENTARIO!AB282="","",INVENTARIO!AB282)</f>
        <v/>
      </c>
      <c r="P282">
        <f>IF(INVENTARIO!AC282="","",INVENTARIO!AC282)</f>
        <v/>
      </c>
      <c r="Q282">
        <f>IF(AND(K282="",N282="",L282=""),"",IF(AND((K282="ALTA"),OR(LEFT(N282,2)="L0",LEFT(N282,2)="L1",L282="No Iniciado")),"CRÍTICO - Incumplimiento Normativo SEPS",IF(AND(OR(LEFT(N282,2)="L4",LEFT(N282,2)="L5"),AND(P282&lt;&gt;"",P282&lt;&gt;"N/A")),"CONFORME - Control Efectivo ISO 27001","OBSERVACIÓN - Revisar Controles")))</f>
        <v/>
      </c>
    </row>
    <row r="283">
      <c r="A283">
        <f>IF(INVENTARIO!A283="","",INVENTARIO!A283)</f>
        <v/>
      </c>
      <c r="B283">
        <f>IF(INVENTARIO!E283="","",INVENTARIO!E283)</f>
        <v/>
      </c>
      <c r="C283">
        <f>IF(INVENTARIO!F283="","",INVENTARIO!F283)</f>
        <v/>
      </c>
      <c r="D283">
        <f>IF(INVENTARIO!H283="","",INVENTARIO!H283)</f>
        <v/>
      </c>
      <c r="E283">
        <f>IF(INVENTARIO!I283="","",INVENTARIO!I283)</f>
        <v/>
      </c>
      <c r="F283">
        <f>IF(INVENTARIO!N283="","",INVENTARIO!N283)</f>
        <v/>
      </c>
      <c r="G283">
        <f>IF(INVENTARIO!P283="","",INVENTARIO!P283)</f>
        <v/>
      </c>
      <c r="H283">
        <f>IF(INVENTARIO!Q283="","",INVENTARIO!Q283)</f>
        <v/>
      </c>
      <c r="I283">
        <f>IF(INVENTARIO!R283="","",INVENTARIO!R283)</f>
        <v/>
      </c>
      <c r="J283">
        <f>IF(G283="PUBLICA(1)",1,IF(G283="USO INTERNO(2)",2,IF(G283="RESTRINGIDO(3)",3,0)))+IF(H283="BAJA(1)",1,IF(H283="MEDIA(2)",2,IF(H283="ALTA(3)",3,0)))+IF(I283="BAJA(1)",1,IF(I283="MEDIA(2)",2,IF(I283="ALTA(3)",3,0)))</f>
        <v/>
      </c>
      <c r="K283">
        <f>IF(J283="", "", IF(J283&gt;=8,"ALTA",IF(J283&gt;=6,"MEDIA","BAJA")))</f>
        <v/>
      </c>
      <c r="L283">
        <f>IF(INVENTARIO!Y283="","",INVENTARIO!Y283)</f>
        <v/>
      </c>
      <c r="M283">
        <f>IF(INVENTARIO!Z283="","",INVENTARIO!Z283)</f>
        <v/>
      </c>
      <c r="N283">
        <f>IF(INVENTARIO!AA283="","",INVENTARIO!AA283)</f>
        <v/>
      </c>
      <c r="O283">
        <f>IF(INVENTARIO!AB283="","",INVENTARIO!AB283)</f>
        <v/>
      </c>
      <c r="P283">
        <f>IF(INVENTARIO!AC283="","",INVENTARIO!AC283)</f>
        <v/>
      </c>
      <c r="Q283">
        <f>IF(AND(K283="",N283="",L283=""),"",IF(AND((K283="ALTA"),OR(LEFT(N283,2)="L0",LEFT(N283,2)="L1",L283="No Iniciado")),"CRÍTICO - Incumplimiento Normativo SEPS",IF(AND(OR(LEFT(N283,2)="L4",LEFT(N283,2)="L5"),AND(P283&lt;&gt;"",P283&lt;&gt;"N/A")),"CONFORME - Control Efectivo ISO 27001","OBSERVACIÓN - Revisar Controles")))</f>
        <v/>
      </c>
    </row>
    <row r="284">
      <c r="A284">
        <f>IF(INVENTARIO!A284="","",INVENTARIO!A284)</f>
        <v/>
      </c>
      <c r="B284">
        <f>IF(INVENTARIO!E284="","",INVENTARIO!E284)</f>
        <v/>
      </c>
      <c r="C284">
        <f>IF(INVENTARIO!F284="","",INVENTARIO!F284)</f>
        <v/>
      </c>
      <c r="D284">
        <f>IF(INVENTARIO!H284="","",INVENTARIO!H284)</f>
        <v/>
      </c>
      <c r="E284">
        <f>IF(INVENTARIO!I284="","",INVENTARIO!I284)</f>
        <v/>
      </c>
      <c r="F284">
        <f>IF(INVENTARIO!N284="","",INVENTARIO!N284)</f>
        <v/>
      </c>
      <c r="G284">
        <f>IF(INVENTARIO!P284="","",INVENTARIO!P284)</f>
        <v/>
      </c>
      <c r="H284">
        <f>IF(INVENTARIO!Q284="","",INVENTARIO!Q284)</f>
        <v/>
      </c>
      <c r="I284">
        <f>IF(INVENTARIO!R284="","",INVENTARIO!R284)</f>
        <v/>
      </c>
      <c r="J284">
        <f>IF(G284="PUBLICA(1)",1,IF(G284="USO INTERNO(2)",2,IF(G284="RESTRINGIDO(3)",3,0)))+IF(H284="BAJA(1)",1,IF(H284="MEDIA(2)",2,IF(H284="ALTA(3)",3,0)))+IF(I284="BAJA(1)",1,IF(I284="MEDIA(2)",2,IF(I284="ALTA(3)",3,0)))</f>
        <v/>
      </c>
      <c r="K284">
        <f>IF(J284="", "", IF(J284&gt;=8,"ALTA",IF(J284&gt;=6,"MEDIA","BAJA")))</f>
        <v/>
      </c>
      <c r="L284">
        <f>IF(INVENTARIO!Y284="","",INVENTARIO!Y284)</f>
        <v/>
      </c>
      <c r="M284">
        <f>IF(INVENTARIO!Z284="","",INVENTARIO!Z284)</f>
        <v/>
      </c>
      <c r="N284">
        <f>IF(INVENTARIO!AA284="","",INVENTARIO!AA284)</f>
        <v/>
      </c>
      <c r="O284">
        <f>IF(INVENTARIO!AB284="","",INVENTARIO!AB284)</f>
        <v/>
      </c>
      <c r="P284">
        <f>IF(INVENTARIO!AC284="","",INVENTARIO!AC284)</f>
        <v/>
      </c>
      <c r="Q284">
        <f>IF(AND(K284="",N284="",L284=""),"",IF(AND((K284="ALTA"),OR(LEFT(N284,2)="L0",LEFT(N284,2)="L1",L284="No Iniciado")),"CRÍTICO - Incumplimiento Normativo SEPS",IF(AND(OR(LEFT(N284,2)="L4",LEFT(N284,2)="L5"),AND(P284&lt;&gt;"",P284&lt;&gt;"N/A")),"CONFORME - Control Efectivo ISO 27001","OBSERVACIÓN - Revisar Controles")))</f>
        <v/>
      </c>
    </row>
    <row r="285">
      <c r="A285">
        <f>IF(INVENTARIO!A285="","",INVENTARIO!A285)</f>
        <v/>
      </c>
      <c r="B285">
        <f>IF(INVENTARIO!E285="","",INVENTARIO!E285)</f>
        <v/>
      </c>
      <c r="C285">
        <f>IF(INVENTARIO!F285="","",INVENTARIO!F285)</f>
        <v/>
      </c>
      <c r="D285">
        <f>IF(INVENTARIO!H285="","",INVENTARIO!H285)</f>
        <v/>
      </c>
      <c r="E285">
        <f>IF(INVENTARIO!I285="","",INVENTARIO!I285)</f>
        <v/>
      </c>
      <c r="F285">
        <f>IF(INVENTARIO!N285="","",INVENTARIO!N285)</f>
        <v/>
      </c>
      <c r="G285">
        <f>IF(INVENTARIO!P285="","",INVENTARIO!P285)</f>
        <v/>
      </c>
      <c r="H285">
        <f>IF(INVENTARIO!Q285="","",INVENTARIO!Q285)</f>
        <v/>
      </c>
      <c r="I285">
        <f>IF(INVENTARIO!R285="","",INVENTARIO!R285)</f>
        <v/>
      </c>
      <c r="J285">
        <f>IF(G285="PUBLICA(1)",1,IF(G285="USO INTERNO(2)",2,IF(G285="RESTRINGIDO(3)",3,0)))+IF(H285="BAJA(1)",1,IF(H285="MEDIA(2)",2,IF(H285="ALTA(3)",3,0)))+IF(I285="BAJA(1)",1,IF(I285="MEDIA(2)",2,IF(I285="ALTA(3)",3,0)))</f>
        <v/>
      </c>
      <c r="K285">
        <f>IF(J285="", "", IF(J285&gt;=8,"ALTA",IF(J285&gt;=6,"MEDIA","BAJA")))</f>
        <v/>
      </c>
      <c r="L285">
        <f>IF(INVENTARIO!Y285="","",INVENTARIO!Y285)</f>
        <v/>
      </c>
      <c r="M285">
        <f>IF(INVENTARIO!Z285="","",INVENTARIO!Z285)</f>
        <v/>
      </c>
      <c r="N285">
        <f>IF(INVENTARIO!AA285="","",INVENTARIO!AA285)</f>
        <v/>
      </c>
      <c r="O285">
        <f>IF(INVENTARIO!AB285="","",INVENTARIO!AB285)</f>
        <v/>
      </c>
      <c r="P285">
        <f>IF(INVENTARIO!AC285="","",INVENTARIO!AC285)</f>
        <v/>
      </c>
      <c r="Q285">
        <f>IF(AND(K285="",N285="",L285=""),"",IF(AND((K285="ALTA"),OR(LEFT(N285,2)="L0",LEFT(N285,2)="L1",L285="No Iniciado")),"CRÍTICO - Incumplimiento Normativo SEPS",IF(AND(OR(LEFT(N285,2)="L4",LEFT(N285,2)="L5"),AND(P285&lt;&gt;"",P285&lt;&gt;"N/A")),"CONFORME - Control Efectivo ISO 27001","OBSERVACIÓN - Revisar Controles")))</f>
        <v/>
      </c>
    </row>
    <row r="286">
      <c r="A286">
        <f>IF(INVENTARIO!A286="","",INVENTARIO!A286)</f>
        <v/>
      </c>
      <c r="B286">
        <f>IF(INVENTARIO!E286="","",INVENTARIO!E286)</f>
        <v/>
      </c>
      <c r="C286">
        <f>IF(INVENTARIO!F286="","",INVENTARIO!F286)</f>
        <v/>
      </c>
      <c r="D286">
        <f>IF(INVENTARIO!H286="","",INVENTARIO!H286)</f>
        <v/>
      </c>
      <c r="E286">
        <f>IF(INVENTARIO!I286="","",INVENTARIO!I286)</f>
        <v/>
      </c>
      <c r="F286">
        <f>IF(INVENTARIO!N286="","",INVENTARIO!N286)</f>
        <v/>
      </c>
      <c r="G286">
        <f>IF(INVENTARIO!P286="","",INVENTARIO!P286)</f>
        <v/>
      </c>
      <c r="H286">
        <f>IF(INVENTARIO!Q286="","",INVENTARIO!Q286)</f>
        <v/>
      </c>
      <c r="I286">
        <f>IF(INVENTARIO!R286="","",INVENTARIO!R286)</f>
        <v/>
      </c>
      <c r="J286">
        <f>IF(G286="PUBLICA(1)",1,IF(G286="USO INTERNO(2)",2,IF(G286="RESTRINGIDO(3)",3,0)))+IF(H286="BAJA(1)",1,IF(H286="MEDIA(2)",2,IF(H286="ALTA(3)",3,0)))+IF(I286="BAJA(1)",1,IF(I286="MEDIA(2)",2,IF(I286="ALTA(3)",3,0)))</f>
        <v/>
      </c>
      <c r="K286">
        <f>IF(J286="", "", IF(J286&gt;=8,"ALTA",IF(J286&gt;=6,"MEDIA","BAJA")))</f>
        <v/>
      </c>
      <c r="L286">
        <f>IF(INVENTARIO!Y286="","",INVENTARIO!Y286)</f>
        <v/>
      </c>
      <c r="M286">
        <f>IF(INVENTARIO!Z286="","",INVENTARIO!Z286)</f>
        <v/>
      </c>
      <c r="N286">
        <f>IF(INVENTARIO!AA286="","",INVENTARIO!AA286)</f>
        <v/>
      </c>
      <c r="O286">
        <f>IF(INVENTARIO!AB286="","",INVENTARIO!AB286)</f>
        <v/>
      </c>
      <c r="P286">
        <f>IF(INVENTARIO!AC286="","",INVENTARIO!AC286)</f>
        <v/>
      </c>
      <c r="Q286">
        <f>IF(AND(K286="",N286="",L286=""),"",IF(AND((K286="ALTA"),OR(LEFT(N286,2)="L0",LEFT(N286,2)="L1",L286="No Iniciado")),"CRÍTICO - Incumplimiento Normativo SEPS",IF(AND(OR(LEFT(N286,2)="L4",LEFT(N286,2)="L5"),AND(P286&lt;&gt;"",P286&lt;&gt;"N/A")),"CONFORME - Control Efectivo ISO 27001","OBSERVACIÓN - Revisar Controles")))</f>
        <v/>
      </c>
    </row>
    <row r="287">
      <c r="A287">
        <f>IF(INVENTARIO!A287="","",INVENTARIO!A287)</f>
        <v/>
      </c>
      <c r="B287">
        <f>IF(INVENTARIO!E287="","",INVENTARIO!E287)</f>
        <v/>
      </c>
      <c r="C287">
        <f>IF(INVENTARIO!F287="","",INVENTARIO!F287)</f>
        <v/>
      </c>
      <c r="D287">
        <f>IF(INVENTARIO!H287="","",INVENTARIO!H287)</f>
        <v/>
      </c>
      <c r="E287">
        <f>IF(INVENTARIO!I287="","",INVENTARIO!I287)</f>
        <v/>
      </c>
      <c r="F287">
        <f>IF(INVENTARIO!N287="","",INVENTARIO!N287)</f>
        <v/>
      </c>
      <c r="G287">
        <f>IF(INVENTARIO!P287="","",INVENTARIO!P287)</f>
        <v/>
      </c>
      <c r="H287">
        <f>IF(INVENTARIO!Q287="","",INVENTARIO!Q287)</f>
        <v/>
      </c>
      <c r="I287">
        <f>IF(INVENTARIO!R287="","",INVENTARIO!R287)</f>
        <v/>
      </c>
      <c r="J287">
        <f>IF(G287="PUBLICA(1)",1,IF(G287="USO INTERNO(2)",2,IF(G287="RESTRINGIDO(3)",3,0)))+IF(H287="BAJA(1)",1,IF(H287="MEDIA(2)",2,IF(H287="ALTA(3)",3,0)))+IF(I287="BAJA(1)",1,IF(I287="MEDIA(2)",2,IF(I287="ALTA(3)",3,0)))</f>
        <v/>
      </c>
      <c r="K287">
        <f>IF(J287="", "", IF(J287&gt;=8,"ALTA",IF(J287&gt;=6,"MEDIA","BAJA")))</f>
        <v/>
      </c>
      <c r="L287">
        <f>IF(INVENTARIO!Y287="","",INVENTARIO!Y287)</f>
        <v/>
      </c>
      <c r="M287">
        <f>IF(INVENTARIO!Z287="","",INVENTARIO!Z287)</f>
        <v/>
      </c>
      <c r="N287">
        <f>IF(INVENTARIO!AA287="","",INVENTARIO!AA287)</f>
        <v/>
      </c>
      <c r="O287">
        <f>IF(INVENTARIO!AB287="","",INVENTARIO!AB287)</f>
        <v/>
      </c>
      <c r="P287">
        <f>IF(INVENTARIO!AC287="","",INVENTARIO!AC287)</f>
        <v/>
      </c>
      <c r="Q287">
        <f>IF(AND(K287="",N287="",L287=""),"",IF(AND((K287="ALTA"),OR(LEFT(N287,2)="L0",LEFT(N287,2)="L1",L287="No Iniciado")),"CRÍTICO - Incumplimiento Normativo SEPS",IF(AND(OR(LEFT(N287,2)="L4",LEFT(N287,2)="L5"),AND(P287&lt;&gt;"",P287&lt;&gt;"N/A")),"CONFORME - Control Efectivo ISO 27001","OBSERVACIÓN - Revisar Controles")))</f>
        <v/>
      </c>
    </row>
    <row r="288">
      <c r="A288">
        <f>IF(INVENTARIO!A288="","",INVENTARIO!A288)</f>
        <v/>
      </c>
      <c r="B288">
        <f>IF(INVENTARIO!E288="","",INVENTARIO!E288)</f>
        <v/>
      </c>
      <c r="C288">
        <f>IF(INVENTARIO!F288="","",INVENTARIO!F288)</f>
        <v/>
      </c>
      <c r="D288">
        <f>IF(INVENTARIO!H288="","",INVENTARIO!H288)</f>
        <v/>
      </c>
      <c r="E288">
        <f>IF(INVENTARIO!I288="","",INVENTARIO!I288)</f>
        <v/>
      </c>
      <c r="F288">
        <f>IF(INVENTARIO!N288="","",INVENTARIO!N288)</f>
        <v/>
      </c>
      <c r="G288">
        <f>IF(INVENTARIO!P288="","",INVENTARIO!P288)</f>
        <v/>
      </c>
      <c r="H288">
        <f>IF(INVENTARIO!Q288="","",INVENTARIO!Q288)</f>
        <v/>
      </c>
      <c r="I288">
        <f>IF(INVENTARIO!R288="","",INVENTARIO!R288)</f>
        <v/>
      </c>
      <c r="J288">
        <f>IF(G288="PUBLICA(1)",1,IF(G288="USO INTERNO(2)",2,IF(G288="RESTRINGIDO(3)",3,0)))+IF(H288="BAJA(1)",1,IF(H288="MEDIA(2)",2,IF(H288="ALTA(3)",3,0)))+IF(I288="BAJA(1)",1,IF(I288="MEDIA(2)",2,IF(I288="ALTA(3)",3,0)))</f>
        <v/>
      </c>
      <c r="K288">
        <f>IF(J288="", "", IF(J288&gt;=8,"ALTA",IF(J288&gt;=6,"MEDIA","BAJA")))</f>
        <v/>
      </c>
      <c r="L288">
        <f>IF(INVENTARIO!Y288="","",INVENTARIO!Y288)</f>
        <v/>
      </c>
      <c r="M288">
        <f>IF(INVENTARIO!Z288="","",INVENTARIO!Z288)</f>
        <v/>
      </c>
      <c r="N288">
        <f>IF(INVENTARIO!AA288="","",INVENTARIO!AA288)</f>
        <v/>
      </c>
      <c r="O288">
        <f>IF(INVENTARIO!AB288="","",INVENTARIO!AB288)</f>
        <v/>
      </c>
      <c r="P288">
        <f>IF(INVENTARIO!AC288="","",INVENTARIO!AC288)</f>
        <v/>
      </c>
      <c r="Q288">
        <f>IF(AND(K288="",N288="",L288=""),"",IF(AND((K288="ALTA"),OR(LEFT(N288,2)="L0",LEFT(N288,2)="L1",L288="No Iniciado")),"CRÍTICO - Incumplimiento Normativo SEPS",IF(AND(OR(LEFT(N288,2)="L4",LEFT(N288,2)="L5"),AND(P288&lt;&gt;"",P288&lt;&gt;"N/A")),"CONFORME - Control Efectivo ISO 27001","OBSERVACIÓN - Revisar Controles")))</f>
        <v/>
      </c>
    </row>
    <row r="289">
      <c r="A289">
        <f>IF(INVENTARIO!A289="","",INVENTARIO!A289)</f>
        <v/>
      </c>
      <c r="B289">
        <f>IF(INVENTARIO!E289="","",INVENTARIO!E289)</f>
        <v/>
      </c>
      <c r="C289">
        <f>IF(INVENTARIO!F289="","",INVENTARIO!F289)</f>
        <v/>
      </c>
      <c r="D289">
        <f>IF(INVENTARIO!H289="","",INVENTARIO!H289)</f>
        <v/>
      </c>
      <c r="E289">
        <f>IF(INVENTARIO!I289="","",INVENTARIO!I289)</f>
        <v/>
      </c>
      <c r="F289">
        <f>IF(INVENTARIO!N289="","",INVENTARIO!N289)</f>
        <v/>
      </c>
      <c r="G289">
        <f>IF(INVENTARIO!P289="","",INVENTARIO!P289)</f>
        <v/>
      </c>
      <c r="H289">
        <f>IF(INVENTARIO!Q289="","",INVENTARIO!Q289)</f>
        <v/>
      </c>
      <c r="I289">
        <f>IF(INVENTARIO!R289="","",INVENTARIO!R289)</f>
        <v/>
      </c>
      <c r="J289">
        <f>IF(G289="PUBLICA(1)",1,IF(G289="USO INTERNO(2)",2,IF(G289="RESTRINGIDO(3)",3,0)))+IF(H289="BAJA(1)",1,IF(H289="MEDIA(2)",2,IF(H289="ALTA(3)",3,0)))+IF(I289="BAJA(1)",1,IF(I289="MEDIA(2)",2,IF(I289="ALTA(3)",3,0)))</f>
        <v/>
      </c>
      <c r="K289">
        <f>IF(J289="", "", IF(J289&gt;=8,"ALTA",IF(J289&gt;=6,"MEDIA","BAJA")))</f>
        <v/>
      </c>
      <c r="L289">
        <f>IF(INVENTARIO!Y289="","",INVENTARIO!Y289)</f>
        <v/>
      </c>
      <c r="M289">
        <f>IF(INVENTARIO!Z289="","",INVENTARIO!Z289)</f>
        <v/>
      </c>
      <c r="N289">
        <f>IF(INVENTARIO!AA289="","",INVENTARIO!AA289)</f>
        <v/>
      </c>
      <c r="O289">
        <f>IF(INVENTARIO!AB289="","",INVENTARIO!AB289)</f>
        <v/>
      </c>
      <c r="P289">
        <f>IF(INVENTARIO!AC289="","",INVENTARIO!AC289)</f>
        <v/>
      </c>
      <c r="Q289">
        <f>IF(AND(K289="",N289="",L289=""),"",IF(AND((K289="ALTA"),OR(LEFT(N289,2)="L0",LEFT(N289,2)="L1",L289="No Iniciado")),"CRÍTICO - Incumplimiento Normativo SEPS",IF(AND(OR(LEFT(N289,2)="L4",LEFT(N289,2)="L5"),AND(P289&lt;&gt;"",P289&lt;&gt;"N/A")),"CONFORME - Control Efectivo ISO 27001","OBSERVACIÓN - Revisar Controles")))</f>
        <v/>
      </c>
    </row>
    <row r="290">
      <c r="A290">
        <f>IF(INVENTARIO!A290="","",INVENTARIO!A290)</f>
        <v/>
      </c>
      <c r="B290">
        <f>IF(INVENTARIO!E290="","",INVENTARIO!E290)</f>
        <v/>
      </c>
      <c r="C290">
        <f>IF(INVENTARIO!F290="","",INVENTARIO!F290)</f>
        <v/>
      </c>
      <c r="D290">
        <f>IF(INVENTARIO!H290="","",INVENTARIO!H290)</f>
        <v/>
      </c>
      <c r="E290">
        <f>IF(INVENTARIO!I290="","",INVENTARIO!I290)</f>
        <v/>
      </c>
      <c r="F290">
        <f>IF(INVENTARIO!N290="","",INVENTARIO!N290)</f>
        <v/>
      </c>
      <c r="G290">
        <f>IF(INVENTARIO!P290="","",INVENTARIO!P290)</f>
        <v/>
      </c>
      <c r="H290">
        <f>IF(INVENTARIO!Q290="","",INVENTARIO!Q290)</f>
        <v/>
      </c>
      <c r="I290">
        <f>IF(INVENTARIO!R290="","",INVENTARIO!R290)</f>
        <v/>
      </c>
      <c r="J290">
        <f>IF(G290="PUBLICA(1)",1,IF(G290="USO INTERNO(2)",2,IF(G290="RESTRINGIDO(3)",3,0)))+IF(H290="BAJA(1)",1,IF(H290="MEDIA(2)",2,IF(H290="ALTA(3)",3,0)))+IF(I290="BAJA(1)",1,IF(I290="MEDIA(2)",2,IF(I290="ALTA(3)",3,0)))</f>
        <v/>
      </c>
      <c r="K290">
        <f>IF(J290="", "", IF(J290&gt;=8,"ALTA",IF(J290&gt;=6,"MEDIA","BAJA")))</f>
        <v/>
      </c>
      <c r="L290">
        <f>IF(INVENTARIO!Y290="","",INVENTARIO!Y290)</f>
        <v/>
      </c>
      <c r="M290">
        <f>IF(INVENTARIO!Z290="","",INVENTARIO!Z290)</f>
        <v/>
      </c>
      <c r="N290">
        <f>IF(INVENTARIO!AA290="","",INVENTARIO!AA290)</f>
        <v/>
      </c>
      <c r="O290">
        <f>IF(INVENTARIO!AB290="","",INVENTARIO!AB290)</f>
        <v/>
      </c>
      <c r="P290">
        <f>IF(INVENTARIO!AC290="","",INVENTARIO!AC290)</f>
        <v/>
      </c>
      <c r="Q290">
        <f>IF(AND(K290="",N290="",L290=""),"",IF(AND((K290="ALTA"),OR(LEFT(N290,2)="L0",LEFT(N290,2)="L1",L290="No Iniciado")),"CRÍTICO - Incumplimiento Normativo SEPS",IF(AND(OR(LEFT(N290,2)="L4",LEFT(N290,2)="L5"),AND(P290&lt;&gt;"",P290&lt;&gt;"N/A")),"CONFORME - Control Efectivo ISO 27001","OBSERVACIÓN - Revisar Controles")))</f>
        <v/>
      </c>
    </row>
    <row r="291">
      <c r="A291">
        <f>IF(INVENTARIO!A291="","",INVENTARIO!A291)</f>
        <v/>
      </c>
      <c r="B291">
        <f>IF(INVENTARIO!E291="","",INVENTARIO!E291)</f>
        <v/>
      </c>
      <c r="C291">
        <f>IF(INVENTARIO!F291="","",INVENTARIO!F291)</f>
        <v/>
      </c>
      <c r="D291">
        <f>IF(INVENTARIO!H291="","",INVENTARIO!H291)</f>
        <v/>
      </c>
      <c r="E291">
        <f>IF(INVENTARIO!I291="","",INVENTARIO!I291)</f>
        <v/>
      </c>
      <c r="F291">
        <f>IF(INVENTARIO!N291="","",INVENTARIO!N291)</f>
        <v/>
      </c>
      <c r="G291">
        <f>IF(INVENTARIO!P291="","",INVENTARIO!P291)</f>
        <v/>
      </c>
      <c r="H291">
        <f>IF(INVENTARIO!Q291="","",INVENTARIO!Q291)</f>
        <v/>
      </c>
      <c r="I291">
        <f>IF(INVENTARIO!R291="","",INVENTARIO!R291)</f>
        <v/>
      </c>
      <c r="J291">
        <f>IF(G291="PUBLICA(1)",1,IF(G291="USO INTERNO(2)",2,IF(G291="RESTRINGIDO(3)",3,0)))+IF(H291="BAJA(1)",1,IF(H291="MEDIA(2)",2,IF(H291="ALTA(3)",3,0)))+IF(I291="BAJA(1)",1,IF(I291="MEDIA(2)",2,IF(I291="ALTA(3)",3,0)))</f>
        <v/>
      </c>
      <c r="K291">
        <f>IF(J291="", "", IF(J291&gt;=8,"ALTA",IF(J291&gt;=6,"MEDIA","BAJA")))</f>
        <v/>
      </c>
      <c r="L291">
        <f>IF(INVENTARIO!Y291="","",INVENTARIO!Y291)</f>
        <v/>
      </c>
      <c r="M291">
        <f>IF(INVENTARIO!Z291="","",INVENTARIO!Z291)</f>
        <v/>
      </c>
      <c r="N291">
        <f>IF(INVENTARIO!AA291="","",INVENTARIO!AA291)</f>
        <v/>
      </c>
      <c r="O291">
        <f>IF(INVENTARIO!AB291="","",INVENTARIO!AB291)</f>
        <v/>
      </c>
      <c r="P291">
        <f>IF(INVENTARIO!AC291="","",INVENTARIO!AC291)</f>
        <v/>
      </c>
      <c r="Q291">
        <f>IF(AND(K291="",N291="",L291=""),"",IF(AND((K291="ALTA"),OR(LEFT(N291,2)="L0",LEFT(N291,2)="L1",L291="No Iniciado")),"CRÍTICO - Incumplimiento Normativo SEPS",IF(AND(OR(LEFT(N291,2)="L4",LEFT(N291,2)="L5"),AND(P291&lt;&gt;"",P291&lt;&gt;"N/A")),"CONFORME - Control Efectivo ISO 27001","OBSERVACIÓN - Revisar Controles")))</f>
        <v/>
      </c>
    </row>
    <row r="292">
      <c r="A292">
        <f>IF(INVENTARIO!A292="","",INVENTARIO!A292)</f>
        <v/>
      </c>
      <c r="B292">
        <f>IF(INVENTARIO!E292="","",INVENTARIO!E292)</f>
        <v/>
      </c>
      <c r="C292">
        <f>IF(INVENTARIO!F292="","",INVENTARIO!F292)</f>
        <v/>
      </c>
      <c r="D292">
        <f>IF(INVENTARIO!H292="","",INVENTARIO!H292)</f>
        <v/>
      </c>
      <c r="E292">
        <f>IF(INVENTARIO!I292="","",INVENTARIO!I292)</f>
        <v/>
      </c>
      <c r="F292">
        <f>IF(INVENTARIO!N292="","",INVENTARIO!N292)</f>
        <v/>
      </c>
      <c r="G292">
        <f>IF(INVENTARIO!P292="","",INVENTARIO!P292)</f>
        <v/>
      </c>
      <c r="H292">
        <f>IF(INVENTARIO!Q292="","",INVENTARIO!Q292)</f>
        <v/>
      </c>
      <c r="I292">
        <f>IF(INVENTARIO!R292="","",INVENTARIO!R292)</f>
        <v/>
      </c>
      <c r="J292">
        <f>IF(G292="PUBLICA(1)",1,IF(G292="USO INTERNO(2)",2,IF(G292="RESTRINGIDO(3)",3,0)))+IF(H292="BAJA(1)",1,IF(H292="MEDIA(2)",2,IF(H292="ALTA(3)",3,0)))+IF(I292="BAJA(1)",1,IF(I292="MEDIA(2)",2,IF(I292="ALTA(3)",3,0)))</f>
        <v/>
      </c>
      <c r="K292">
        <f>IF(J292="", "", IF(J292&gt;=8,"ALTA",IF(J292&gt;=6,"MEDIA","BAJA")))</f>
        <v/>
      </c>
      <c r="L292">
        <f>IF(INVENTARIO!Y292="","",INVENTARIO!Y292)</f>
        <v/>
      </c>
      <c r="M292">
        <f>IF(INVENTARIO!Z292="","",INVENTARIO!Z292)</f>
        <v/>
      </c>
      <c r="N292">
        <f>IF(INVENTARIO!AA292="","",INVENTARIO!AA292)</f>
        <v/>
      </c>
      <c r="O292">
        <f>IF(INVENTARIO!AB292="","",INVENTARIO!AB292)</f>
        <v/>
      </c>
      <c r="P292">
        <f>IF(INVENTARIO!AC292="","",INVENTARIO!AC292)</f>
        <v/>
      </c>
      <c r="Q292">
        <f>IF(AND(K292="",N292="",L292=""),"",IF(AND((K292="ALTA"),OR(LEFT(N292,2)="L0",LEFT(N292,2)="L1",L292="No Iniciado")),"CRÍTICO - Incumplimiento Normativo SEPS",IF(AND(OR(LEFT(N292,2)="L4",LEFT(N292,2)="L5"),AND(P292&lt;&gt;"",P292&lt;&gt;"N/A")),"CONFORME - Control Efectivo ISO 27001","OBSERVACIÓN - Revisar Controles")))</f>
        <v/>
      </c>
    </row>
    <row r="293">
      <c r="A293">
        <f>IF(INVENTARIO!A293="","",INVENTARIO!A293)</f>
        <v/>
      </c>
      <c r="B293">
        <f>IF(INVENTARIO!E293="","",INVENTARIO!E293)</f>
        <v/>
      </c>
      <c r="C293">
        <f>IF(INVENTARIO!F293="","",INVENTARIO!F293)</f>
        <v/>
      </c>
      <c r="D293">
        <f>IF(INVENTARIO!H293="","",INVENTARIO!H293)</f>
        <v/>
      </c>
      <c r="E293">
        <f>IF(INVENTARIO!I293="","",INVENTARIO!I293)</f>
        <v/>
      </c>
      <c r="F293">
        <f>IF(INVENTARIO!N293="","",INVENTARIO!N293)</f>
        <v/>
      </c>
      <c r="G293">
        <f>IF(INVENTARIO!P293="","",INVENTARIO!P293)</f>
        <v/>
      </c>
      <c r="H293">
        <f>IF(INVENTARIO!Q293="","",INVENTARIO!Q293)</f>
        <v/>
      </c>
      <c r="I293">
        <f>IF(INVENTARIO!R293="","",INVENTARIO!R293)</f>
        <v/>
      </c>
      <c r="J293">
        <f>IF(G293="PUBLICA(1)",1,IF(G293="USO INTERNO(2)",2,IF(G293="RESTRINGIDO(3)",3,0)))+IF(H293="BAJA(1)",1,IF(H293="MEDIA(2)",2,IF(H293="ALTA(3)",3,0)))+IF(I293="BAJA(1)",1,IF(I293="MEDIA(2)",2,IF(I293="ALTA(3)",3,0)))</f>
        <v/>
      </c>
      <c r="K293">
        <f>IF(J293="", "", IF(J293&gt;=8,"ALTA",IF(J293&gt;=6,"MEDIA","BAJA")))</f>
        <v/>
      </c>
      <c r="L293">
        <f>IF(INVENTARIO!Y293="","",INVENTARIO!Y293)</f>
        <v/>
      </c>
      <c r="M293">
        <f>IF(INVENTARIO!Z293="","",INVENTARIO!Z293)</f>
        <v/>
      </c>
      <c r="N293">
        <f>IF(INVENTARIO!AA293="","",INVENTARIO!AA293)</f>
        <v/>
      </c>
      <c r="O293">
        <f>IF(INVENTARIO!AB293="","",INVENTARIO!AB293)</f>
        <v/>
      </c>
      <c r="P293">
        <f>IF(INVENTARIO!AC293="","",INVENTARIO!AC293)</f>
        <v/>
      </c>
      <c r="Q293">
        <f>IF(AND(K293="",N293="",L293=""),"",IF(AND((K293="ALTA"),OR(LEFT(N293,2)="L0",LEFT(N293,2)="L1",L293="No Iniciado")),"CRÍTICO - Incumplimiento Normativo SEPS",IF(AND(OR(LEFT(N293,2)="L4",LEFT(N293,2)="L5"),AND(P293&lt;&gt;"",P293&lt;&gt;"N/A")),"CONFORME - Control Efectivo ISO 27001","OBSERVACIÓN - Revisar Controles")))</f>
        <v/>
      </c>
    </row>
    <row r="294">
      <c r="A294">
        <f>IF(INVENTARIO!A294="","",INVENTARIO!A294)</f>
        <v/>
      </c>
      <c r="B294">
        <f>IF(INVENTARIO!E294="","",INVENTARIO!E294)</f>
        <v/>
      </c>
      <c r="C294">
        <f>IF(INVENTARIO!F294="","",INVENTARIO!F294)</f>
        <v/>
      </c>
      <c r="D294">
        <f>IF(INVENTARIO!H294="","",INVENTARIO!H294)</f>
        <v/>
      </c>
      <c r="E294">
        <f>IF(INVENTARIO!I294="","",INVENTARIO!I294)</f>
        <v/>
      </c>
      <c r="F294">
        <f>IF(INVENTARIO!N294="","",INVENTARIO!N294)</f>
        <v/>
      </c>
      <c r="G294">
        <f>IF(INVENTARIO!P294="","",INVENTARIO!P294)</f>
        <v/>
      </c>
      <c r="H294">
        <f>IF(INVENTARIO!Q294="","",INVENTARIO!Q294)</f>
        <v/>
      </c>
      <c r="I294">
        <f>IF(INVENTARIO!R294="","",INVENTARIO!R294)</f>
        <v/>
      </c>
      <c r="J294">
        <f>IF(G294="PUBLICA(1)",1,IF(G294="USO INTERNO(2)",2,IF(G294="RESTRINGIDO(3)",3,0)))+IF(H294="BAJA(1)",1,IF(H294="MEDIA(2)",2,IF(H294="ALTA(3)",3,0)))+IF(I294="BAJA(1)",1,IF(I294="MEDIA(2)",2,IF(I294="ALTA(3)",3,0)))</f>
        <v/>
      </c>
      <c r="K294">
        <f>IF(J294="", "", IF(J294&gt;=8,"ALTA",IF(J294&gt;=6,"MEDIA","BAJA")))</f>
        <v/>
      </c>
      <c r="L294">
        <f>IF(INVENTARIO!Y294="","",INVENTARIO!Y294)</f>
        <v/>
      </c>
      <c r="M294">
        <f>IF(INVENTARIO!Z294="","",INVENTARIO!Z294)</f>
        <v/>
      </c>
      <c r="N294">
        <f>IF(INVENTARIO!AA294="","",INVENTARIO!AA294)</f>
        <v/>
      </c>
      <c r="O294">
        <f>IF(INVENTARIO!AB294="","",INVENTARIO!AB294)</f>
        <v/>
      </c>
      <c r="P294">
        <f>IF(INVENTARIO!AC294="","",INVENTARIO!AC294)</f>
        <v/>
      </c>
      <c r="Q294">
        <f>IF(AND(K294="",N294="",L294=""),"",IF(AND((K294="ALTA"),OR(LEFT(N294,2)="L0",LEFT(N294,2)="L1",L294="No Iniciado")),"CRÍTICO - Incumplimiento Normativo SEPS",IF(AND(OR(LEFT(N294,2)="L4",LEFT(N294,2)="L5"),AND(P294&lt;&gt;"",P294&lt;&gt;"N/A")),"CONFORME - Control Efectivo ISO 27001","OBSERVACIÓN - Revisar Controles")))</f>
        <v/>
      </c>
    </row>
    <row r="295">
      <c r="A295">
        <f>IF(INVENTARIO!A295="","",INVENTARIO!A295)</f>
        <v/>
      </c>
      <c r="B295">
        <f>IF(INVENTARIO!E295="","",INVENTARIO!E295)</f>
        <v/>
      </c>
      <c r="C295">
        <f>IF(INVENTARIO!F295="","",INVENTARIO!F295)</f>
        <v/>
      </c>
      <c r="D295">
        <f>IF(INVENTARIO!H295="","",INVENTARIO!H295)</f>
        <v/>
      </c>
      <c r="E295">
        <f>IF(INVENTARIO!I295="","",INVENTARIO!I295)</f>
        <v/>
      </c>
      <c r="F295">
        <f>IF(INVENTARIO!N295="","",INVENTARIO!N295)</f>
        <v/>
      </c>
      <c r="G295">
        <f>IF(INVENTARIO!P295="","",INVENTARIO!P295)</f>
        <v/>
      </c>
      <c r="H295">
        <f>IF(INVENTARIO!Q295="","",INVENTARIO!Q295)</f>
        <v/>
      </c>
      <c r="I295">
        <f>IF(INVENTARIO!R295="","",INVENTARIO!R295)</f>
        <v/>
      </c>
      <c r="J295">
        <f>IF(G295="PUBLICA(1)",1,IF(G295="USO INTERNO(2)",2,IF(G295="RESTRINGIDO(3)",3,0)))+IF(H295="BAJA(1)",1,IF(H295="MEDIA(2)",2,IF(H295="ALTA(3)",3,0)))+IF(I295="BAJA(1)",1,IF(I295="MEDIA(2)",2,IF(I295="ALTA(3)",3,0)))</f>
        <v/>
      </c>
      <c r="K295">
        <f>IF(J295="", "", IF(J295&gt;=8,"ALTA",IF(J295&gt;=6,"MEDIA","BAJA")))</f>
        <v/>
      </c>
      <c r="L295">
        <f>IF(INVENTARIO!Y295="","",INVENTARIO!Y295)</f>
        <v/>
      </c>
      <c r="M295">
        <f>IF(INVENTARIO!Z295="","",INVENTARIO!Z295)</f>
        <v/>
      </c>
      <c r="N295">
        <f>IF(INVENTARIO!AA295="","",INVENTARIO!AA295)</f>
        <v/>
      </c>
      <c r="O295">
        <f>IF(INVENTARIO!AB295="","",INVENTARIO!AB295)</f>
        <v/>
      </c>
      <c r="P295">
        <f>IF(INVENTARIO!AC295="","",INVENTARIO!AC295)</f>
        <v/>
      </c>
      <c r="Q295">
        <f>IF(AND(K295="",N295="",L295=""),"",IF(AND((K295="ALTA"),OR(LEFT(N295,2)="L0",LEFT(N295,2)="L1",L295="No Iniciado")),"CRÍTICO - Incumplimiento Normativo SEPS",IF(AND(OR(LEFT(N295,2)="L4",LEFT(N295,2)="L5"),AND(P295&lt;&gt;"",P295&lt;&gt;"N/A")),"CONFORME - Control Efectivo ISO 27001","OBSERVACIÓN - Revisar Controles")))</f>
        <v/>
      </c>
    </row>
    <row r="296">
      <c r="A296">
        <f>IF(INVENTARIO!A296="","",INVENTARIO!A296)</f>
        <v/>
      </c>
      <c r="B296">
        <f>IF(INVENTARIO!E296="","",INVENTARIO!E296)</f>
        <v/>
      </c>
      <c r="C296">
        <f>IF(INVENTARIO!F296="","",INVENTARIO!F296)</f>
        <v/>
      </c>
      <c r="D296">
        <f>IF(INVENTARIO!H296="","",INVENTARIO!H296)</f>
        <v/>
      </c>
      <c r="E296">
        <f>IF(INVENTARIO!I296="","",INVENTARIO!I296)</f>
        <v/>
      </c>
      <c r="F296">
        <f>IF(INVENTARIO!N296="","",INVENTARIO!N296)</f>
        <v/>
      </c>
      <c r="G296">
        <f>IF(INVENTARIO!P296="","",INVENTARIO!P296)</f>
        <v/>
      </c>
      <c r="H296">
        <f>IF(INVENTARIO!Q296="","",INVENTARIO!Q296)</f>
        <v/>
      </c>
      <c r="I296">
        <f>IF(INVENTARIO!R296="","",INVENTARIO!R296)</f>
        <v/>
      </c>
      <c r="J296">
        <f>IF(G296="PUBLICA(1)",1,IF(G296="USO INTERNO(2)",2,IF(G296="RESTRINGIDO(3)",3,0)))+IF(H296="BAJA(1)",1,IF(H296="MEDIA(2)",2,IF(H296="ALTA(3)",3,0)))+IF(I296="BAJA(1)",1,IF(I296="MEDIA(2)",2,IF(I296="ALTA(3)",3,0)))</f>
        <v/>
      </c>
      <c r="K296">
        <f>IF(J296="", "", IF(J296&gt;=8,"ALTA",IF(J296&gt;=6,"MEDIA","BAJA")))</f>
        <v/>
      </c>
      <c r="L296">
        <f>IF(INVENTARIO!Y296="","",INVENTARIO!Y296)</f>
        <v/>
      </c>
      <c r="M296">
        <f>IF(INVENTARIO!Z296="","",INVENTARIO!Z296)</f>
        <v/>
      </c>
      <c r="N296">
        <f>IF(INVENTARIO!AA296="","",INVENTARIO!AA296)</f>
        <v/>
      </c>
      <c r="O296">
        <f>IF(INVENTARIO!AB296="","",INVENTARIO!AB296)</f>
        <v/>
      </c>
      <c r="P296">
        <f>IF(INVENTARIO!AC296="","",INVENTARIO!AC296)</f>
        <v/>
      </c>
      <c r="Q296">
        <f>IF(AND(K296="",N296="",L296=""),"",IF(AND((K296="ALTA"),OR(LEFT(N296,2)="L0",LEFT(N296,2)="L1",L296="No Iniciado")),"CRÍTICO - Incumplimiento Normativo SEPS",IF(AND(OR(LEFT(N296,2)="L4",LEFT(N296,2)="L5"),AND(P296&lt;&gt;"",P296&lt;&gt;"N/A")),"CONFORME - Control Efectivo ISO 27001","OBSERVACIÓN - Revisar Controles")))</f>
        <v/>
      </c>
    </row>
    <row r="297">
      <c r="A297">
        <f>IF(INVENTARIO!A297="","",INVENTARIO!A297)</f>
        <v/>
      </c>
      <c r="B297">
        <f>IF(INVENTARIO!E297="","",INVENTARIO!E297)</f>
        <v/>
      </c>
      <c r="C297">
        <f>IF(INVENTARIO!F297="","",INVENTARIO!F297)</f>
        <v/>
      </c>
      <c r="D297">
        <f>IF(INVENTARIO!H297="","",INVENTARIO!H297)</f>
        <v/>
      </c>
      <c r="E297">
        <f>IF(INVENTARIO!I297="","",INVENTARIO!I297)</f>
        <v/>
      </c>
      <c r="F297">
        <f>IF(INVENTARIO!N297="","",INVENTARIO!N297)</f>
        <v/>
      </c>
      <c r="G297">
        <f>IF(INVENTARIO!P297="","",INVENTARIO!P297)</f>
        <v/>
      </c>
      <c r="H297">
        <f>IF(INVENTARIO!Q297="","",INVENTARIO!Q297)</f>
        <v/>
      </c>
      <c r="I297">
        <f>IF(INVENTARIO!R297="","",INVENTARIO!R297)</f>
        <v/>
      </c>
      <c r="J297">
        <f>IF(G297="PUBLICA(1)",1,IF(G297="USO INTERNO(2)",2,IF(G297="RESTRINGIDO(3)",3,0)))+IF(H297="BAJA(1)",1,IF(H297="MEDIA(2)",2,IF(H297="ALTA(3)",3,0)))+IF(I297="BAJA(1)",1,IF(I297="MEDIA(2)",2,IF(I297="ALTA(3)",3,0)))</f>
        <v/>
      </c>
      <c r="K297">
        <f>IF(J297="", "", IF(J297&gt;=8,"ALTA",IF(J297&gt;=6,"MEDIA","BAJA")))</f>
        <v/>
      </c>
      <c r="L297">
        <f>IF(INVENTARIO!Y297="","",INVENTARIO!Y297)</f>
        <v/>
      </c>
      <c r="M297">
        <f>IF(INVENTARIO!Z297="","",INVENTARIO!Z297)</f>
        <v/>
      </c>
      <c r="N297">
        <f>IF(INVENTARIO!AA297="","",INVENTARIO!AA297)</f>
        <v/>
      </c>
      <c r="O297">
        <f>IF(INVENTARIO!AB297="","",INVENTARIO!AB297)</f>
        <v/>
      </c>
      <c r="P297">
        <f>IF(INVENTARIO!AC297="","",INVENTARIO!AC297)</f>
        <v/>
      </c>
      <c r="Q297">
        <f>IF(AND(K297="",N297="",L297=""),"",IF(AND((K297="ALTA"),OR(LEFT(N297,2)="L0",LEFT(N297,2)="L1",L297="No Iniciado")),"CRÍTICO - Incumplimiento Normativo SEPS",IF(AND(OR(LEFT(N297,2)="L4",LEFT(N297,2)="L5"),AND(P297&lt;&gt;"",P297&lt;&gt;"N/A")),"CONFORME - Control Efectivo ISO 27001","OBSERVACIÓN - Revisar Controles")))</f>
        <v/>
      </c>
    </row>
    <row r="298">
      <c r="A298">
        <f>IF(INVENTARIO!A298="","",INVENTARIO!A298)</f>
        <v/>
      </c>
      <c r="B298">
        <f>IF(INVENTARIO!E298="","",INVENTARIO!E298)</f>
        <v/>
      </c>
      <c r="C298">
        <f>IF(INVENTARIO!F298="","",INVENTARIO!F298)</f>
        <v/>
      </c>
      <c r="D298">
        <f>IF(INVENTARIO!H298="","",INVENTARIO!H298)</f>
        <v/>
      </c>
      <c r="E298">
        <f>IF(INVENTARIO!I298="","",INVENTARIO!I298)</f>
        <v/>
      </c>
      <c r="F298">
        <f>IF(INVENTARIO!N298="","",INVENTARIO!N298)</f>
        <v/>
      </c>
      <c r="G298">
        <f>IF(INVENTARIO!P298="","",INVENTARIO!P298)</f>
        <v/>
      </c>
      <c r="H298">
        <f>IF(INVENTARIO!Q298="","",INVENTARIO!Q298)</f>
        <v/>
      </c>
      <c r="I298">
        <f>IF(INVENTARIO!R298="","",INVENTARIO!R298)</f>
        <v/>
      </c>
      <c r="J298">
        <f>IF(G298="PUBLICA(1)",1,IF(G298="USO INTERNO(2)",2,IF(G298="RESTRINGIDO(3)",3,0)))+IF(H298="BAJA(1)",1,IF(H298="MEDIA(2)",2,IF(H298="ALTA(3)",3,0)))+IF(I298="BAJA(1)",1,IF(I298="MEDIA(2)",2,IF(I298="ALTA(3)",3,0)))</f>
        <v/>
      </c>
      <c r="K298">
        <f>IF(J298="", "", IF(J298&gt;=8,"ALTA",IF(J298&gt;=6,"MEDIA","BAJA")))</f>
        <v/>
      </c>
      <c r="L298">
        <f>IF(INVENTARIO!Y298="","",INVENTARIO!Y298)</f>
        <v/>
      </c>
      <c r="M298">
        <f>IF(INVENTARIO!Z298="","",INVENTARIO!Z298)</f>
        <v/>
      </c>
      <c r="N298">
        <f>IF(INVENTARIO!AA298="","",INVENTARIO!AA298)</f>
        <v/>
      </c>
      <c r="O298">
        <f>IF(INVENTARIO!AB298="","",INVENTARIO!AB298)</f>
        <v/>
      </c>
      <c r="P298">
        <f>IF(INVENTARIO!AC298="","",INVENTARIO!AC298)</f>
        <v/>
      </c>
      <c r="Q298">
        <f>IF(AND(K298="",N298="",L298=""),"",IF(AND((K298="ALTA"),OR(LEFT(N298,2)="L0",LEFT(N298,2)="L1",L298="No Iniciado")),"CRÍTICO - Incumplimiento Normativo SEPS",IF(AND(OR(LEFT(N298,2)="L4",LEFT(N298,2)="L5"),AND(P298&lt;&gt;"",P298&lt;&gt;"N/A")),"CONFORME - Control Efectivo ISO 27001","OBSERVACIÓN - Revisar Controles")))</f>
        <v/>
      </c>
    </row>
    <row r="299">
      <c r="A299">
        <f>IF(INVENTARIO!A299="","",INVENTARIO!A299)</f>
        <v/>
      </c>
      <c r="B299">
        <f>IF(INVENTARIO!E299="","",INVENTARIO!E299)</f>
        <v/>
      </c>
      <c r="C299">
        <f>IF(INVENTARIO!F299="","",INVENTARIO!F299)</f>
        <v/>
      </c>
      <c r="D299">
        <f>IF(INVENTARIO!H299="","",INVENTARIO!H299)</f>
        <v/>
      </c>
      <c r="E299">
        <f>IF(INVENTARIO!I299="","",INVENTARIO!I299)</f>
        <v/>
      </c>
      <c r="F299">
        <f>IF(INVENTARIO!N299="","",INVENTARIO!N299)</f>
        <v/>
      </c>
      <c r="G299">
        <f>IF(INVENTARIO!P299="","",INVENTARIO!P299)</f>
        <v/>
      </c>
      <c r="H299">
        <f>IF(INVENTARIO!Q299="","",INVENTARIO!Q299)</f>
        <v/>
      </c>
      <c r="I299">
        <f>IF(INVENTARIO!R299="","",INVENTARIO!R299)</f>
        <v/>
      </c>
      <c r="J299">
        <f>IF(G299="PUBLICA(1)",1,IF(G299="USO INTERNO(2)",2,IF(G299="RESTRINGIDO(3)",3,0)))+IF(H299="BAJA(1)",1,IF(H299="MEDIA(2)",2,IF(H299="ALTA(3)",3,0)))+IF(I299="BAJA(1)",1,IF(I299="MEDIA(2)",2,IF(I299="ALTA(3)",3,0)))</f>
        <v/>
      </c>
      <c r="K299">
        <f>IF(J299="", "", IF(J299&gt;=8,"ALTA",IF(J299&gt;=6,"MEDIA","BAJA")))</f>
        <v/>
      </c>
      <c r="L299">
        <f>IF(INVENTARIO!Y299="","",INVENTARIO!Y299)</f>
        <v/>
      </c>
      <c r="M299">
        <f>IF(INVENTARIO!Z299="","",INVENTARIO!Z299)</f>
        <v/>
      </c>
      <c r="N299">
        <f>IF(INVENTARIO!AA299="","",INVENTARIO!AA299)</f>
        <v/>
      </c>
      <c r="O299">
        <f>IF(INVENTARIO!AB299="","",INVENTARIO!AB299)</f>
        <v/>
      </c>
      <c r="P299">
        <f>IF(INVENTARIO!AC299="","",INVENTARIO!AC299)</f>
        <v/>
      </c>
      <c r="Q299">
        <f>IF(AND(K299="",N299="",L299=""),"",IF(AND((K299="ALTA"),OR(LEFT(N299,2)="L0",LEFT(N299,2)="L1",L299="No Iniciado")),"CRÍTICO - Incumplimiento Normativo SEPS",IF(AND(OR(LEFT(N299,2)="L4",LEFT(N299,2)="L5"),AND(P299&lt;&gt;"",P299&lt;&gt;"N/A")),"CONFORME - Control Efectivo ISO 27001","OBSERVACIÓN - Revisar Controles")))</f>
        <v/>
      </c>
    </row>
    <row r="300">
      <c r="A300">
        <f>IF(INVENTARIO!A300="","",INVENTARIO!A300)</f>
        <v/>
      </c>
      <c r="B300">
        <f>IF(INVENTARIO!E300="","",INVENTARIO!E300)</f>
        <v/>
      </c>
      <c r="C300">
        <f>IF(INVENTARIO!F300="","",INVENTARIO!F300)</f>
        <v/>
      </c>
      <c r="D300">
        <f>IF(INVENTARIO!H300="","",INVENTARIO!H300)</f>
        <v/>
      </c>
      <c r="E300">
        <f>IF(INVENTARIO!I300="","",INVENTARIO!I300)</f>
        <v/>
      </c>
      <c r="F300">
        <f>IF(INVENTARIO!N300="","",INVENTARIO!N300)</f>
        <v/>
      </c>
      <c r="G300">
        <f>IF(INVENTARIO!P300="","",INVENTARIO!P300)</f>
        <v/>
      </c>
      <c r="H300">
        <f>IF(INVENTARIO!Q300="","",INVENTARIO!Q300)</f>
        <v/>
      </c>
      <c r="I300">
        <f>IF(INVENTARIO!R300="","",INVENTARIO!R300)</f>
        <v/>
      </c>
      <c r="J300">
        <f>IF(G300="PUBLICA(1)",1,IF(G300="USO INTERNO(2)",2,IF(G300="RESTRINGIDO(3)",3,0)))+IF(H300="BAJA(1)",1,IF(H300="MEDIA(2)",2,IF(H300="ALTA(3)",3,0)))+IF(I300="BAJA(1)",1,IF(I300="MEDIA(2)",2,IF(I300="ALTA(3)",3,0)))</f>
        <v/>
      </c>
      <c r="K300">
        <f>IF(J300="", "", IF(J300&gt;=8,"ALTA",IF(J300&gt;=6,"MEDIA","BAJA")))</f>
        <v/>
      </c>
      <c r="L300">
        <f>IF(INVENTARIO!Y300="","",INVENTARIO!Y300)</f>
        <v/>
      </c>
      <c r="M300">
        <f>IF(INVENTARIO!Z300="","",INVENTARIO!Z300)</f>
        <v/>
      </c>
      <c r="N300">
        <f>IF(INVENTARIO!AA300="","",INVENTARIO!AA300)</f>
        <v/>
      </c>
      <c r="O300">
        <f>IF(INVENTARIO!AB300="","",INVENTARIO!AB300)</f>
        <v/>
      </c>
      <c r="P300">
        <f>IF(INVENTARIO!AC300="","",INVENTARIO!AC300)</f>
        <v/>
      </c>
      <c r="Q300">
        <f>IF(AND(K300="",N300="",L300=""),"",IF(AND((K300="ALTA"),OR(LEFT(N300,2)="L0",LEFT(N300,2)="L1",L300="No Iniciado")),"CRÍTICO - Incumplimiento Normativo SEPS",IF(AND(OR(LEFT(N300,2)="L4",LEFT(N300,2)="L5"),AND(P300&lt;&gt;"",P300&lt;&gt;"N/A")),"CONFORME - Control Efectivo ISO 27001","OBSERVACIÓN - Revisar Controles")))</f>
        <v/>
      </c>
    </row>
    <row r="301">
      <c r="A301">
        <f>IF(INVENTARIO!A301="","",INVENTARIO!A301)</f>
        <v/>
      </c>
      <c r="B301">
        <f>IF(INVENTARIO!E301="","",INVENTARIO!E301)</f>
        <v/>
      </c>
      <c r="C301">
        <f>IF(INVENTARIO!F301="","",INVENTARIO!F301)</f>
        <v/>
      </c>
      <c r="D301">
        <f>IF(INVENTARIO!H301="","",INVENTARIO!H301)</f>
        <v/>
      </c>
      <c r="E301">
        <f>IF(INVENTARIO!I301="","",INVENTARIO!I301)</f>
        <v/>
      </c>
      <c r="F301">
        <f>IF(INVENTARIO!N301="","",INVENTARIO!N301)</f>
        <v/>
      </c>
      <c r="G301">
        <f>IF(INVENTARIO!P301="","",INVENTARIO!P301)</f>
        <v/>
      </c>
      <c r="H301">
        <f>IF(INVENTARIO!Q301="","",INVENTARIO!Q301)</f>
        <v/>
      </c>
      <c r="I301">
        <f>IF(INVENTARIO!R301="","",INVENTARIO!R301)</f>
        <v/>
      </c>
      <c r="J301">
        <f>IF(G301="PUBLICA(1)",1,IF(G301="USO INTERNO(2)",2,IF(G301="RESTRINGIDO(3)",3,0)))+IF(H301="BAJA(1)",1,IF(H301="MEDIA(2)",2,IF(H301="ALTA(3)",3,0)))+IF(I301="BAJA(1)",1,IF(I301="MEDIA(2)",2,IF(I301="ALTA(3)",3,0)))</f>
        <v/>
      </c>
      <c r="K301">
        <f>IF(J301="", "", IF(J301&gt;=8,"ALTA",IF(J301&gt;=6,"MEDIA","BAJA")))</f>
        <v/>
      </c>
      <c r="L301">
        <f>IF(INVENTARIO!Y301="","",INVENTARIO!Y301)</f>
        <v/>
      </c>
      <c r="M301">
        <f>IF(INVENTARIO!Z301="","",INVENTARIO!Z301)</f>
        <v/>
      </c>
      <c r="N301">
        <f>IF(INVENTARIO!AA301="","",INVENTARIO!AA301)</f>
        <v/>
      </c>
      <c r="O301">
        <f>IF(INVENTARIO!AB301="","",INVENTARIO!AB301)</f>
        <v/>
      </c>
      <c r="P301">
        <f>IF(INVENTARIO!AC301="","",INVENTARIO!AC301)</f>
        <v/>
      </c>
      <c r="Q301">
        <f>IF(AND(K301="",N301="",L301=""),"",IF(AND((K301="ALTA"),OR(LEFT(N301,2)="L0",LEFT(N301,2)="L1",L301="No Iniciado")),"CRÍTICO - Incumplimiento Normativo SEPS",IF(AND(OR(LEFT(N301,2)="L4",LEFT(N301,2)="L5"),AND(P301&lt;&gt;"",P301&lt;&gt;"N/A")),"CONFORME - Control Efectivo ISO 27001","OBSERVACIÓN - Revisar Controles")))</f>
        <v/>
      </c>
    </row>
    <row r="302">
      <c r="A302">
        <f>IF(INVENTARIO!A302="","",INVENTARIO!A302)</f>
        <v/>
      </c>
      <c r="B302">
        <f>IF(INVENTARIO!E302="","",INVENTARIO!E302)</f>
        <v/>
      </c>
      <c r="C302">
        <f>IF(INVENTARIO!F302="","",INVENTARIO!F302)</f>
        <v/>
      </c>
      <c r="D302">
        <f>IF(INVENTARIO!H302="","",INVENTARIO!H302)</f>
        <v/>
      </c>
      <c r="E302">
        <f>IF(INVENTARIO!I302="","",INVENTARIO!I302)</f>
        <v/>
      </c>
      <c r="F302">
        <f>IF(INVENTARIO!N302="","",INVENTARIO!N302)</f>
        <v/>
      </c>
      <c r="G302">
        <f>IF(INVENTARIO!P302="","",INVENTARIO!P302)</f>
        <v/>
      </c>
      <c r="H302">
        <f>IF(INVENTARIO!Q302="","",INVENTARIO!Q302)</f>
        <v/>
      </c>
      <c r="I302">
        <f>IF(INVENTARIO!R302="","",INVENTARIO!R302)</f>
        <v/>
      </c>
      <c r="J302">
        <f>IF(G302="PUBLICA(1)",1,IF(G302="USO INTERNO(2)",2,IF(G302="RESTRINGIDO(3)",3,0)))+IF(H302="BAJA(1)",1,IF(H302="MEDIA(2)",2,IF(H302="ALTA(3)",3,0)))+IF(I302="BAJA(1)",1,IF(I302="MEDIA(2)",2,IF(I302="ALTA(3)",3,0)))</f>
        <v/>
      </c>
      <c r="K302">
        <f>IF(J302="", "", IF(J302&gt;=8,"ALTA",IF(J302&gt;=6,"MEDIA","BAJA")))</f>
        <v/>
      </c>
      <c r="L302">
        <f>IF(INVENTARIO!Y302="","",INVENTARIO!Y302)</f>
        <v/>
      </c>
      <c r="M302">
        <f>IF(INVENTARIO!Z302="","",INVENTARIO!Z302)</f>
        <v/>
      </c>
      <c r="N302">
        <f>IF(INVENTARIO!AA302="","",INVENTARIO!AA302)</f>
        <v/>
      </c>
      <c r="O302">
        <f>IF(INVENTARIO!AB302="","",INVENTARIO!AB302)</f>
        <v/>
      </c>
      <c r="P302">
        <f>IF(INVENTARIO!AC302="","",INVENTARIO!AC302)</f>
        <v/>
      </c>
      <c r="Q302">
        <f>IF(AND(K302="",N302="",L302=""),"",IF(AND((K302="ALTA"),OR(LEFT(N302,2)="L0",LEFT(N302,2)="L1",L302="No Iniciado")),"CRÍTICO - Incumplimiento Normativo SEPS",IF(AND(OR(LEFT(N302,2)="L4",LEFT(N302,2)="L5"),AND(P302&lt;&gt;"",P302&lt;&gt;"N/A")),"CONFORME - Control Efectivo ISO 27001","OBSERVACIÓN - Revisar Controles")))</f>
        <v/>
      </c>
    </row>
    <row r="303">
      <c r="A303">
        <f>IF(INVENTARIO!A303="","",INVENTARIO!A303)</f>
        <v/>
      </c>
      <c r="B303">
        <f>IF(INVENTARIO!E303="","",INVENTARIO!E303)</f>
        <v/>
      </c>
      <c r="C303">
        <f>IF(INVENTARIO!F303="","",INVENTARIO!F303)</f>
        <v/>
      </c>
      <c r="D303">
        <f>IF(INVENTARIO!H303="","",INVENTARIO!H303)</f>
        <v/>
      </c>
      <c r="E303">
        <f>IF(INVENTARIO!I303="","",INVENTARIO!I303)</f>
        <v/>
      </c>
      <c r="F303">
        <f>IF(INVENTARIO!N303="","",INVENTARIO!N303)</f>
        <v/>
      </c>
      <c r="G303">
        <f>IF(INVENTARIO!P303="","",INVENTARIO!P303)</f>
        <v/>
      </c>
      <c r="H303">
        <f>IF(INVENTARIO!Q303="","",INVENTARIO!Q303)</f>
        <v/>
      </c>
      <c r="I303">
        <f>IF(INVENTARIO!R303="","",INVENTARIO!R303)</f>
        <v/>
      </c>
      <c r="J303">
        <f>IF(G303="PUBLICA(1)",1,IF(G303="USO INTERNO(2)",2,IF(G303="RESTRINGIDO(3)",3,0)))+IF(H303="BAJA(1)",1,IF(H303="MEDIA(2)",2,IF(H303="ALTA(3)",3,0)))+IF(I303="BAJA(1)",1,IF(I303="MEDIA(2)",2,IF(I303="ALTA(3)",3,0)))</f>
        <v/>
      </c>
      <c r="K303">
        <f>IF(J303="", "", IF(J303&gt;=8,"ALTA",IF(J303&gt;=6,"MEDIA","BAJA")))</f>
        <v/>
      </c>
      <c r="L303">
        <f>IF(INVENTARIO!Y303="","",INVENTARIO!Y303)</f>
        <v/>
      </c>
      <c r="M303">
        <f>IF(INVENTARIO!Z303="","",INVENTARIO!Z303)</f>
        <v/>
      </c>
      <c r="N303">
        <f>IF(INVENTARIO!AA303="","",INVENTARIO!AA303)</f>
        <v/>
      </c>
      <c r="O303">
        <f>IF(INVENTARIO!AB303="","",INVENTARIO!AB303)</f>
        <v/>
      </c>
      <c r="P303">
        <f>IF(INVENTARIO!AC303="","",INVENTARIO!AC303)</f>
        <v/>
      </c>
      <c r="Q303">
        <f>IF(AND(K303="",N303="",L303=""),"",IF(AND((K303="ALTA"),OR(LEFT(N303,2)="L0",LEFT(N303,2)="L1",L303="No Iniciado")),"CRÍTICO - Incumplimiento Normativo SEPS",IF(AND(OR(LEFT(N303,2)="L4",LEFT(N303,2)="L5"),AND(P303&lt;&gt;"",P303&lt;&gt;"N/A")),"CONFORME - Control Efectivo ISO 27001","OBSERVACIÓN - Revisar Controles")))</f>
        <v/>
      </c>
    </row>
    <row r="304">
      <c r="A304">
        <f>IF(INVENTARIO!A304="","",INVENTARIO!A304)</f>
        <v/>
      </c>
      <c r="B304">
        <f>IF(INVENTARIO!E304="","",INVENTARIO!E304)</f>
        <v/>
      </c>
      <c r="C304">
        <f>IF(INVENTARIO!F304="","",INVENTARIO!F304)</f>
        <v/>
      </c>
      <c r="D304">
        <f>IF(INVENTARIO!H304="","",INVENTARIO!H304)</f>
        <v/>
      </c>
      <c r="E304">
        <f>IF(INVENTARIO!I304="","",INVENTARIO!I304)</f>
        <v/>
      </c>
      <c r="F304">
        <f>IF(INVENTARIO!N304="","",INVENTARIO!N304)</f>
        <v/>
      </c>
      <c r="G304">
        <f>IF(INVENTARIO!P304="","",INVENTARIO!P304)</f>
        <v/>
      </c>
      <c r="H304">
        <f>IF(INVENTARIO!Q304="","",INVENTARIO!Q304)</f>
        <v/>
      </c>
      <c r="I304">
        <f>IF(INVENTARIO!R304="","",INVENTARIO!R304)</f>
        <v/>
      </c>
      <c r="J304">
        <f>IF(G304="PUBLICA(1)",1,IF(G304="USO INTERNO(2)",2,IF(G304="RESTRINGIDO(3)",3,0)))+IF(H304="BAJA(1)",1,IF(H304="MEDIA(2)",2,IF(H304="ALTA(3)",3,0)))+IF(I304="BAJA(1)",1,IF(I304="MEDIA(2)",2,IF(I304="ALTA(3)",3,0)))</f>
        <v/>
      </c>
      <c r="K304">
        <f>IF(J304="", "", IF(J304&gt;=8,"ALTA",IF(J304&gt;=6,"MEDIA","BAJA")))</f>
        <v/>
      </c>
      <c r="L304">
        <f>IF(INVENTARIO!Y304="","",INVENTARIO!Y304)</f>
        <v/>
      </c>
      <c r="M304">
        <f>IF(INVENTARIO!Z304="","",INVENTARIO!Z304)</f>
        <v/>
      </c>
      <c r="N304">
        <f>IF(INVENTARIO!AA304="","",INVENTARIO!AA304)</f>
        <v/>
      </c>
      <c r="O304">
        <f>IF(INVENTARIO!AB304="","",INVENTARIO!AB304)</f>
        <v/>
      </c>
      <c r="P304">
        <f>IF(INVENTARIO!AC304="","",INVENTARIO!AC304)</f>
        <v/>
      </c>
      <c r="Q304">
        <f>IF(AND(K304="",N304="",L304=""),"",IF(AND((K304="ALTA"),OR(LEFT(N304,2)="L0",LEFT(N304,2)="L1",L304="No Iniciado")),"CRÍTICO - Incumplimiento Normativo SEPS",IF(AND(OR(LEFT(N304,2)="L4",LEFT(N304,2)="L5"),AND(P304&lt;&gt;"",P304&lt;&gt;"N/A")),"CONFORME - Control Efectivo ISO 27001","OBSERVACIÓN - Revisar Controles")))</f>
        <v/>
      </c>
    </row>
    <row r="305">
      <c r="A305">
        <f>IF(INVENTARIO!A305="","",INVENTARIO!A305)</f>
        <v/>
      </c>
      <c r="B305">
        <f>IF(INVENTARIO!E305="","",INVENTARIO!E305)</f>
        <v/>
      </c>
      <c r="C305">
        <f>IF(INVENTARIO!F305="","",INVENTARIO!F305)</f>
        <v/>
      </c>
      <c r="D305">
        <f>IF(INVENTARIO!H305="","",INVENTARIO!H305)</f>
        <v/>
      </c>
      <c r="E305">
        <f>IF(INVENTARIO!I305="","",INVENTARIO!I305)</f>
        <v/>
      </c>
      <c r="F305">
        <f>IF(INVENTARIO!N305="","",INVENTARIO!N305)</f>
        <v/>
      </c>
      <c r="G305">
        <f>IF(INVENTARIO!P305="","",INVENTARIO!P305)</f>
        <v/>
      </c>
      <c r="H305">
        <f>IF(INVENTARIO!Q305="","",INVENTARIO!Q305)</f>
        <v/>
      </c>
      <c r="I305">
        <f>IF(INVENTARIO!R305="","",INVENTARIO!R305)</f>
        <v/>
      </c>
      <c r="J305">
        <f>IF(G305="PUBLICA(1)",1,IF(G305="USO INTERNO(2)",2,IF(G305="RESTRINGIDO(3)",3,0)))+IF(H305="BAJA(1)",1,IF(H305="MEDIA(2)",2,IF(H305="ALTA(3)",3,0)))+IF(I305="BAJA(1)",1,IF(I305="MEDIA(2)",2,IF(I305="ALTA(3)",3,0)))</f>
        <v/>
      </c>
      <c r="K305">
        <f>IF(J305="", "", IF(J305&gt;=8,"ALTA",IF(J305&gt;=6,"MEDIA","BAJA")))</f>
        <v/>
      </c>
      <c r="L305">
        <f>IF(INVENTARIO!Y305="","",INVENTARIO!Y305)</f>
        <v/>
      </c>
      <c r="M305">
        <f>IF(INVENTARIO!Z305="","",INVENTARIO!Z305)</f>
        <v/>
      </c>
      <c r="N305">
        <f>IF(INVENTARIO!AA305="","",INVENTARIO!AA305)</f>
        <v/>
      </c>
      <c r="O305">
        <f>IF(INVENTARIO!AB305="","",INVENTARIO!AB305)</f>
        <v/>
      </c>
      <c r="P305">
        <f>IF(INVENTARIO!AC305="","",INVENTARIO!AC305)</f>
        <v/>
      </c>
      <c r="Q305">
        <f>IF(AND(K305="",N305="",L305=""),"",IF(AND((K305="ALTA"),OR(LEFT(N305,2)="L0",LEFT(N305,2)="L1",L305="No Iniciado")),"CRÍTICO - Incumplimiento Normativo SEPS",IF(AND(OR(LEFT(N305,2)="L4",LEFT(N305,2)="L5"),AND(P305&lt;&gt;"",P305&lt;&gt;"N/A")),"CONFORME - Control Efectivo ISO 27001","OBSERVACIÓN - Revisar Controles")))</f>
        <v/>
      </c>
    </row>
    <row r="306">
      <c r="A306">
        <f>IF(INVENTARIO!A306="","",INVENTARIO!A306)</f>
        <v/>
      </c>
      <c r="B306">
        <f>IF(INVENTARIO!E306="","",INVENTARIO!E306)</f>
        <v/>
      </c>
      <c r="C306">
        <f>IF(INVENTARIO!F306="","",INVENTARIO!F306)</f>
        <v/>
      </c>
      <c r="D306">
        <f>IF(INVENTARIO!H306="","",INVENTARIO!H306)</f>
        <v/>
      </c>
      <c r="E306">
        <f>IF(INVENTARIO!I306="","",INVENTARIO!I306)</f>
        <v/>
      </c>
      <c r="F306">
        <f>IF(INVENTARIO!N306="","",INVENTARIO!N306)</f>
        <v/>
      </c>
      <c r="G306">
        <f>IF(INVENTARIO!P306="","",INVENTARIO!P306)</f>
        <v/>
      </c>
      <c r="H306">
        <f>IF(INVENTARIO!Q306="","",INVENTARIO!Q306)</f>
        <v/>
      </c>
      <c r="I306">
        <f>IF(INVENTARIO!R306="","",INVENTARIO!R306)</f>
        <v/>
      </c>
      <c r="J306">
        <f>IF(G306="PUBLICA(1)",1,IF(G306="USO INTERNO(2)",2,IF(G306="RESTRINGIDO(3)",3,0)))+IF(H306="BAJA(1)",1,IF(H306="MEDIA(2)",2,IF(H306="ALTA(3)",3,0)))+IF(I306="BAJA(1)",1,IF(I306="MEDIA(2)",2,IF(I306="ALTA(3)",3,0)))</f>
        <v/>
      </c>
      <c r="K306">
        <f>IF(J306="", "", IF(J306&gt;=8,"ALTA",IF(J306&gt;=6,"MEDIA","BAJA")))</f>
        <v/>
      </c>
      <c r="L306">
        <f>IF(INVENTARIO!Y306="","",INVENTARIO!Y306)</f>
        <v/>
      </c>
      <c r="M306">
        <f>IF(INVENTARIO!Z306="","",INVENTARIO!Z306)</f>
        <v/>
      </c>
      <c r="N306">
        <f>IF(INVENTARIO!AA306="","",INVENTARIO!AA306)</f>
        <v/>
      </c>
      <c r="O306">
        <f>IF(INVENTARIO!AB306="","",INVENTARIO!AB306)</f>
        <v/>
      </c>
      <c r="P306">
        <f>IF(INVENTARIO!AC306="","",INVENTARIO!AC306)</f>
        <v/>
      </c>
      <c r="Q306">
        <f>IF(AND(K306="",N306="",L306=""),"",IF(AND((K306="ALTA"),OR(LEFT(N306,2)="L0",LEFT(N306,2)="L1",L306="No Iniciado")),"CRÍTICO - Incumplimiento Normativo SEPS",IF(AND(OR(LEFT(N306,2)="L4",LEFT(N306,2)="L5"),AND(P306&lt;&gt;"",P306&lt;&gt;"N/A")),"CONFORME - Control Efectivo ISO 27001","OBSERVACIÓN - Revisar Controles")))</f>
        <v/>
      </c>
    </row>
    <row r="307">
      <c r="A307">
        <f>IF(INVENTARIO!A307="","",INVENTARIO!A307)</f>
        <v/>
      </c>
      <c r="B307">
        <f>IF(INVENTARIO!E307="","",INVENTARIO!E307)</f>
        <v/>
      </c>
      <c r="C307">
        <f>IF(INVENTARIO!F307="","",INVENTARIO!F307)</f>
        <v/>
      </c>
      <c r="D307">
        <f>IF(INVENTARIO!H307="","",INVENTARIO!H307)</f>
        <v/>
      </c>
      <c r="E307">
        <f>IF(INVENTARIO!I307="","",INVENTARIO!I307)</f>
        <v/>
      </c>
      <c r="F307">
        <f>IF(INVENTARIO!N307="","",INVENTARIO!N307)</f>
        <v/>
      </c>
      <c r="G307">
        <f>IF(INVENTARIO!P307="","",INVENTARIO!P307)</f>
        <v/>
      </c>
      <c r="H307">
        <f>IF(INVENTARIO!Q307="","",INVENTARIO!Q307)</f>
        <v/>
      </c>
      <c r="I307">
        <f>IF(INVENTARIO!R307="","",INVENTARIO!R307)</f>
        <v/>
      </c>
      <c r="J307">
        <f>IF(G307="PUBLICA(1)",1,IF(G307="USO INTERNO(2)",2,IF(G307="RESTRINGIDO(3)",3,0)))+IF(H307="BAJA(1)",1,IF(H307="MEDIA(2)",2,IF(H307="ALTA(3)",3,0)))+IF(I307="BAJA(1)",1,IF(I307="MEDIA(2)",2,IF(I307="ALTA(3)",3,0)))</f>
        <v/>
      </c>
      <c r="K307">
        <f>IF(J307="", "", IF(J307&gt;=8,"ALTA",IF(J307&gt;=6,"MEDIA","BAJA")))</f>
        <v/>
      </c>
      <c r="L307">
        <f>IF(INVENTARIO!Y307="","",INVENTARIO!Y307)</f>
        <v/>
      </c>
      <c r="M307">
        <f>IF(INVENTARIO!Z307="","",INVENTARIO!Z307)</f>
        <v/>
      </c>
      <c r="N307">
        <f>IF(INVENTARIO!AA307="","",INVENTARIO!AA307)</f>
        <v/>
      </c>
      <c r="O307">
        <f>IF(INVENTARIO!AB307="","",INVENTARIO!AB307)</f>
        <v/>
      </c>
      <c r="P307">
        <f>IF(INVENTARIO!AC307="","",INVENTARIO!AC307)</f>
        <v/>
      </c>
      <c r="Q307">
        <f>IF(AND(K307="",N307="",L307=""),"",IF(AND((K307="ALTA"),OR(LEFT(N307,2)="L0",LEFT(N307,2)="L1",L307="No Iniciado")),"CRÍTICO - Incumplimiento Normativo SEPS",IF(AND(OR(LEFT(N307,2)="L4",LEFT(N307,2)="L5"),AND(P307&lt;&gt;"",P307&lt;&gt;"N/A")),"CONFORME - Control Efectivo ISO 27001","OBSERVACIÓN - Revisar Controles")))</f>
        <v/>
      </c>
    </row>
    <row r="308">
      <c r="A308">
        <f>IF(INVENTARIO!A308="","",INVENTARIO!A308)</f>
        <v/>
      </c>
      <c r="B308">
        <f>IF(INVENTARIO!E308="","",INVENTARIO!E308)</f>
        <v/>
      </c>
      <c r="C308">
        <f>IF(INVENTARIO!F308="","",INVENTARIO!F308)</f>
        <v/>
      </c>
      <c r="D308">
        <f>IF(INVENTARIO!H308="","",INVENTARIO!H308)</f>
        <v/>
      </c>
      <c r="E308">
        <f>IF(INVENTARIO!I308="","",INVENTARIO!I308)</f>
        <v/>
      </c>
      <c r="F308">
        <f>IF(INVENTARIO!N308="","",INVENTARIO!N308)</f>
        <v/>
      </c>
      <c r="G308">
        <f>IF(INVENTARIO!P308="","",INVENTARIO!P308)</f>
        <v/>
      </c>
      <c r="H308">
        <f>IF(INVENTARIO!Q308="","",INVENTARIO!Q308)</f>
        <v/>
      </c>
      <c r="I308">
        <f>IF(INVENTARIO!R308="","",INVENTARIO!R308)</f>
        <v/>
      </c>
      <c r="J308">
        <f>IF(G308="PUBLICA(1)",1,IF(G308="USO INTERNO(2)",2,IF(G308="RESTRINGIDO(3)",3,0)))+IF(H308="BAJA(1)",1,IF(H308="MEDIA(2)",2,IF(H308="ALTA(3)",3,0)))+IF(I308="BAJA(1)",1,IF(I308="MEDIA(2)",2,IF(I308="ALTA(3)",3,0)))</f>
        <v/>
      </c>
      <c r="K308">
        <f>IF(J308="", "", IF(J308&gt;=8,"ALTA",IF(J308&gt;=6,"MEDIA","BAJA")))</f>
        <v/>
      </c>
      <c r="L308">
        <f>IF(INVENTARIO!Y308="","",INVENTARIO!Y308)</f>
        <v/>
      </c>
      <c r="M308">
        <f>IF(INVENTARIO!Z308="","",INVENTARIO!Z308)</f>
        <v/>
      </c>
      <c r="N308">
        <f>IF(INVENTARIO!AA308="","",INVENTARIO!AA308)</f>
        <v/>
      </c>
      <c r="O308">
        <f>IF(INVENTARIO!AB308="","",INVENTARIO!AB308)</f>
        <v/>
      </c>
      <c r="P308">
        <f>IF(INVENTARIO!AC308="","",INVENTARIO!AC308)</f>
        <v/>
      </c>
      <c r="Q308">
        <f>IF(AND(K308="",N308="",L308=""),"",IF(AND((K308="ALTA"),OR(LEFT(N308,2)="L0",LEFT(N308,2)="L1",L308="No Iniciado")),"CRÍTICO - Incumplimiento Normativo SEPS",IF(AND(OR(LEFT(N308,2)="L4",LEFT(N308,2)="L5"),AND(P308&lt;&gt;"",P308&lt;&gt;"N/A")),"CONFORME - Control Efectivo ISO 27001","OBSERVACIÓN - Revisar Controles")))</f>
        <v/>
      </c>
    </row>
    <row r="309">
      <c r="A309">
        <f>IF(INVENTARIO!A309="","",INVENTARIO!A309)</f>
        <v/>
      </c>
      <c r="B309">
        <f>IF(INVENTARIO!E309="","",INVENTARIO!E309)</f>
        <v/>
      </c>
      <c r="C309">
        <f>IF(INVENTARIO!F309="","",INVENTARIO!F309)</f>
        <v/>
      </c>
      <c r="D309">
        <f>IF(INVENTARIO!H309="","",INVENTARIO!H309)</f>
        <v/>
      </c>
      <c r="E309">
        <f>IF(INVENTARIO!I309="","",INVENTARIO!I309)</f>
        <v/>
      </c>
      <c r="F309">
        <f>IF(INVENTARIO!N309="","",INVENTARIO!N309)</f>
        <v/>
      </c>
      <c r="G309">
        <f>IF(INVENTARIO!P309="","",INVENTARIO!P309)</f>
        <v/>
      </c>
      <c r="H309">
        <f>IF(INVENTARIO!Q309="","",INVENTARIO!Q309)</f>
        <v/>
      </c>
      <c r="I309">
        <f>IF(INVENTARIO!R309="","",INVENTARIO!R309)</f>
        <v/>
      </c>
      <c r="J309">
        <f>IF(G309="PUBLICA(1)",1,IF(G309="USO INTERNO(2)",2,IF(G309="RESTRINGIDO(3)",3,0)))+IF(H309="BAJA(1)",1,IF(H309="MEDIA(2)",2,IF(H309="ALTA(3)",3,0)))+IF(I309="BAJA(1)",1,IF(I309="MEDIA(2)",2,IF(I309="ALTA(3)",3,0)))</f>
        <v/>
      </c>
      <c r="K309">
        <f>IF(J309="", "", IF(J309&gt;=8,"ALTA",IF(J309&gt;=6,"MEDIA","BAJA")))</f>
        <v/>
      </c>
      <c r="L309">
        <f>IF(INVENTARIO!Y309="","",INVENTARIO!Y309)</f>
        <v/>
      </c>
      <c r="M309">
        <f>IF(INVENTARIO!Z309="","",INVENTARIO!Z309)</f>
        <v/>
      </c>
      <c r="N309">
        <f>IF(INVENTARIO!AA309="","",INVENTARIO!AA309)</f>
        <v/>
      </c>
      <c r="O309">
        <f>IF(INVENTARIO!AB309="","",INVENTARIO!AB309)</f>
        <v/>
      </c>
      <c r="P309">
        <f>IF(INVENTARIO!AC309="","",INVENTARIO!AC309)</f>
        <v/>
      </c>
      <c r="Q309">
        <f>IF(AND(K309="",N309="",L309=""),"",IF(AND((K309="ALTA"),OR(LEFT(N309,2)="L0",LEFT(N309,2)="L1",L309="No Iniciado")),"CRÍTICO - Incumplimiento Normativo SEPS",IF(AND(OR(LEFT(N309,2)="L4",LEFT(N309,2)="L5"),AND(P309&lt;&gt;"",P309&lt;&gt;"N/A")),"CONFORME - Control Efectivo ISO 27001","OBSERVACIÓN - Revisar Controles")))</f>
        <v/>
      </c>
    </row>
    <row r="310">
      <c r="A310">
        <f>IF(INVENTARIO!A310="","",INVENTARIO!A310)</f>
        <v/>
      </c>
      <c r="B310">
        <f>IF(INVENTARIO!E310="","",INVENTARIO!E310)</f>
        <v/>
      </c>
      <c r="C310">
        <f>IF(INVENTARIO!F310="","",INVENTARIO!F310)</f>
        <v/>
      </c>
      <c r="D310">
        <f>IF(INVENTARIO!H310="","",INVENTARIO!H310)</f>
        <v/>
      </c>
      <c r="E310">
        <f>IF(INVENTARIO!I310="","",INVENTARIO!I310)</f>
        <v/>
      </c>
      <c r="F310">
        <f>IF(INVENTARIO!N310="","",INVENTARIO!N310)</f>
        <v/>
      </c>
      <c r="G310">
        <f>IF(INVENTARIO!P310="","",INVENTARIO!P310)</f>
        <v/>
      </c>
      <c r="H310">
        <f>IF(INVENTARIO!Q310="","",INVENTARIO!Q310)</f>
        <v/>
      </c>
      <c r="I310">
        <f>IF(INVENTARIO!R310="","",INVENTARIO!R310)</f>
        <v/>
      </c>
      <c r="J310">
        <f>IF(G310="PUBLICA(1)",1,IF(G310="USO INTERNO(2)",2,IF(G310="RESTRINGIDO(3)",3,0)))+IF(H310="BAJA(1)",1,IF(H310="MEDIA(2)",2,IF(H310="ALTA(3)",3,0)))+IF(I310="BAJA(1)",1,IF(I310="MEDIA(2)",2,IF(I310="ALTA(3)",3,0)))</f>
        <v/>
      </c>
      <c r="K310">
        <f>IF(J310="", "", IF(J310&gt;=8,"ALTA",IF(J310&gt;=6,"MEDIA","BAJA")))</f>
        <v/>
      </c>
      <c r="L310">
        <f>IF(INVENTARIO!Y310="","",INVENTARIO!Y310)</f>
        <v/>
      </c>
      <c r="M310">
        <f>IF(INVENTARIO!Z310="","",INVENTARIO!Z310)</f>
        <v/>
      </c>
      <c r="N310">
        <f>IF(INVENTARIO!AA310="","",INVENTARIO!AA310)</f>
        <v/>
      </c>
      <c r="O310">
        <f>IF(INVENTARIO!AB310="","",INVENTARIO!AB310)</f>
        <v/>
      </c>
      <c r="P310">
        <f>IF(INVENTARIO!AC310="","",INVENTARIO!AC310)</f>
        <v/>
      </c>
      <c r="Q310">
        <f>IF(AND(K310="",N310="",L310=""),"",IF(AND((K310="ALTA"),OR(LEFT(N310,2)="L0",LEFT(N310,2)="L1",L310="No Iniciado")),"CRÍTICO - Incumplimiento Normativo SEPS",IF(AND(OR(LEFT(N310,2)="L4",LEFT(N310,2)="L5"),AND(P310&lt;&gt;"",P310&lt;&gt;"N/A")),"CONFORME - Control Efectivo ISO 27001","OBSERVACIÓN - Revisar Controles")))</f>
        <v/>
      </c>
    </row>
    <row r="311">
      <c r="A311">
        <f>IF(INVENTARIO!A311="","",INVENTARIO!A311)</f>
        <v/>
      </c>
      <c r="B311">
        <f>IF(INVENTARIO!E311="","",INVENTARIO!E311)</f>
        <v/>
      </c>
      <c r="C311">
        <f>IF(INVENTARIO!F311="","",INVENTARIO!F311)</f>
        <v/>
      </c>
      <c r="D311">
        <f>IF(INVENTARIO!H311="","",INVENTARIO!H311)</f>
        <v/>
      </c>
      <c r="E311">
        <f>IF(INVENTARIO!I311="","",INVENTARIO!I311)</f>
        <v/>
      </c>
      <c r="F311">
        <f>IF(INVENTARIO!N311="","",INVENTARIO!N311)</f>
        <v/>
      </c>
      <c r="G311">
        <f>IF(INVENTARIO!P311="","",INVENTARIO!P311)</f>
        <v/>
      </c>
      <c r="H311">
        <f>IF(INVENTARIO!Q311="","",INVENTARIO!Q311)</f>
        <v/>
      </c>
      <c r="I311">
        <f>IF(INVENTARIO!R311="","",INVENTARIO!R311)</f>
        <v/>
      </c>
      <c r="J311">
        <f>IF(G311="PUBLICA(1)",1,IF(G311="USO INTERNO(2)",2,IF(G311="RESTRINGIDO(3)",3,0)))+IF(H311="BAJA(1)",1,IF(H311="MEDIA(2)",2,IF(H311="ALTA(3)",3,0)))+IF(I311="BAJA(1)",1,IF(I311="MEDIA(2)",2,IF(I311="ALTA(3)",3,0)))</f>
        <v/>
      </c>
      <c r="K311">
        <f>IF(J311="", "", IF(J311&gt;=8,"ALTA",IF(J311&gt;=6,"MEDIA","BAJA")))</f>
        <v/>
      </c>
      <c r="L311">
        <f>IF(INVENTARIO!Y311="","",INVENTARIO!Y311)</f>
        <v/>
      </c>
      <c r="M311">
        <f>IF(INVENTARIO!Z311="","",INVENTARIO!Z311)</f>
        <v/>
      </c>
      <c r="N311">
        <f>IF(INVENTARIO!AA311="","",INVENTARIO!AA311)</f>
        <v/>
      </c>
      <c r="O311">
        <f>IF(INVENTARIO!AB311="","",INVENTARIO!AB311)</f>
        <v/>
      </c>
      <c r="P311">
        <f>IF(INVENTARIO!AC311="","",INVENTARIO!AC311)</f>
        <v/>
      </c>
      <c r="Q311">
        <f>IF(AND(K311="",N311="",L311=""),"",IF(AND((K311="ALTA"),OR(LEFT(N311,2)="L0",LEFT(N311,2)="L1",L311="No Iniciado")),"CRÍTICO - Incumplimiento Normativo SEPS",IF(AND(OR(LEFT(N311,2)="L4",LEFT(N311,2)="L5"),AND(P311&lt;&gt;"",P311&lt;&gt;"N/A")),"CONFORME - Control Efectivo ISO 27001","OBSERVACIÓN - Revisar Controles")))</f>
        <v/>
      </c>
    </row>
    <row r="312">
      <c r="A312">
        <f>IF(INVENTARIO!A312="","",INVENTARIO!A312)</f>
        <v/>
      </c>
      <c r="B312">
        <f>IF(INVENTARIO!E312="","",INVENTARIO!E312)</f>
        <v/>
      </c>
      <c r="C312">
        <f>IF(INVENTARIO!F312="","",INVENTARIO!F312)</f>
        <v/>
      </c>
      <c r="D312">
        <f>IF(INVENTARIO!H312="","",INVENTARIO!H312)</f>
        <v/>
      </c>
      <c r="E312">
        <f>IF(INVENTARIO!I312="","",INVENTARIO!I312)</f>
        <v/>
      </c>
      <c r="F312">
        <f>IF(INVENTARIO!N312="","",INVENTARIO!N312)</f>
        <v/>
      </c>
      <c r="G312">
        <f>IF(INVENTARIO!P312="","",INVENTARIO!P312)</f>
        <v/>
      </c>
      <c r="H312">
        <f>IF(INVENTARIO!Q312="","",INVENTARIO!Q312)</f>
        <v/>
      </c>
      <c r="I312">
        <f>IF(INVENTARIO!R312="","",INVENTARIO!R312)</f>
        <v/>
      </c>
      <c r="J312">
        <f>IF(G312="PUBLICA(1)",1,IF(G312="USO INTERNO(2)",2,IF(G312="RESTRINGIDO(3)",3,0)))+IF(H312="BAJA(1)",1,IF(H312="MEDIA(2)",2,IF(H312="ALTA(3)",3,0)))+IF(I312="BAJA(1)",1,IF(I312="MEDIA(2)",2,IF(I312="ALTA(3)",3,0)))</f>
        <v/>
      </c>
      <c r="K312">
        <f>IF(J312="", "", IF(J312&gt;=8,"ALTA",IF(J312&gt;=6,"MEDIA","BAJA")))</f>
        <v/>
      </c>
      <c r="L312">
        <f>IF(INVENTARIO!Y312="","",INVENTARIO!Y312)</f>
        <v/>
      </c>
      <c r="M312">
        <f>IF(INVENTARIO!Z312="","",INVENTARIO!Z312)</f>
        <v/>
      </c>
      <c r="N312">
        <f>IF(INVENTARIO!AA312="","",INVENTARIO!AA312)</f>
        <v/>
      </c>
      <c r="O312">
        <f>IF(INVENTARIO!AB312="","",INVENTARIO!AB312)</f>
        <v/>
      </c>
      <c r="P312">
        <f>IF(INVENTARIO!AC312="","",INVENTARIO!AC312)</f>
        <v/>
      </c>
      <c r="Q312">
        <f>IF(AND(K312="",N312="",L312=""),"",IF(AND((K312="ALTA"),OR(LEFT(N312,2)="L0",LEFT(N312,2)="L1",L312="No Iniciado")),"CRÍTICO - Incumplimiento Normativo SEPS",IF(AND(OR(LEFT(N312,2)="L4",LEFT(N312,2)="L5"),AND(P312&lt;&gt;"",P312&lt;&gt;"N/A")),"CONFORME - Control Efectivo ISO 27001","OBSERVACIÓN - Revisar Controles")))</f>
        <v/>
      </c>
    </row>
    <row r="313">
      <c r="A313">
        <f>IF(INVENTARIO!A313="","",INVENTARIO!A313)</f>
        <v/>
      </c>
      <c r="B313">
        <f>IF(INVENTARIO!E313="","",INVENTARIO!E313)</f>
        <v/>
      </c>
      <c r="C313">
        <f>IF(INVENTARIO!F313="","",INVENTARIO!F313)</f>
        <v/>
      </c>
      <c r="D313">
        <f>IF(INVENTARIO!H313="","",INVENTARIO!H313)</f>
        <v/>
      </c>
      <c r="E313">
        <f>IF(INVENTARIO!I313="","",INVENTARIO!I313)</f>
        <v/>
      </c>
      <c r="F313">
        <f>IF(INVENTARIO!N313="","",INVENTARIO!N313)</f>
        <v/>
      </c>
      <c r="G313">
        <f>IF(INVENTARIO!P313="","",INVENTARIO!P313)</f>
        <v/>
      </c>
      <c r="H313">
        <f>IF(INVENTARIO!Q313="","",INVENTARIO!Q313)</f>
        <v/>
      </c>
      <c r="I313">
        <f>IF(INVENTARIO!R313="","",INVENTARIO!R313)</f>
        <v/>
      </c>
      <c r="J313">
        <f>IF(G313="PUBLICA(1)",1,IF(G313="USO INTERNO(2)",2,IF(G313="RESTRINGIDO(3)",3,0)))+IF(H313="BAJA(1)",1,IF(H313="MEDIA(2)",2,IF(H313="ALTA(3)",3,0)))+IF(I313="BAJA(1)",1,IF(I313="MEDIA(2)",2,IF(I313="ALTA(3)",3,0)))</f>
        <v/>
      </c>
      <c r="K313">
        <f>IF(J313="", "", IF(J313&gt;=8,"ALTA",IF(J313&gt;=6,"MEDIA","BAJA")))</f>
        <v/>
      </c>
      <c r="L313">
        <f>IF(INVENTARIO!Y313="","",INVENTARIO!Y313)</f>
        <v/>
      </c>
      <c r="M313">
        <f>IF(INVENTARIO!Z313="","",INVENTARIO!Z313)</f>
        <v/>
      </c>
      <c r="N313">
        <f>IF(INVENTARIO!AA313="","",INVENTARIO!AA313)</f>
        <v/>
      </c>
      <c r="O313">
        <f>IF(INVENTARIO!AB313="","",INVENTARIO!AB313)</f>
        <v/>
      </c>
      <c r="P313">
        <f>IF(INVENTARIO!AC313="","",INVENTARIO!AC313)</f>
        <v/>
      </c>
      <c r="Q313">
        <f>IF(AND(K313="",N313="",L313=""),"",IF(AND((K313="ALTA"),OR(LEFT(N313,2)="L0",LEFT(N313,2)="L1",L313="No Iniciado")),"CRÍTICO - Incumplimiento Normativo SEPS",IF(AND(OR(LEFT(N313,2)="L4",LEFT(N313,2)="L5"),AND(P313&lt;&gt;"",P313&lt;&gt;"N/A")),"CONFORME - Control Efectivo ISO 27001","OBSERVACIÓN - Revisar Controles")))</f>
        <v/>
      </c>
    </row>
    <row r="314">
      <c r="A314">
        <f>IF(INVENTARIO!A314="","",INVENTARIO!A314)</f>
        <v/>
      </c>
      <c r="B314">
        <f>IF(INVENTARIO!E314="","",INVENTARIO!E314)</f>
        <v/>
      </c>
      <c r="C314">
        <f>IF(INVENTARIO!F314="","",INVENTARIO!F314)</f>
        <v/>
      </c>
      <c r="D314">
        <f>IF(INVENTARIO!H314="","",INVENTARIO!H314)</f>
        <v/>
      </c>
      <c r="E314">
        <f>IF(INVENTARIO!I314="","",INVENTARIO!I314)</f>
        <v/>
      </c>
      <c r="F314">
        <f>IF(INVENTARIO!N314="","",INVENTARIO!N314)</f>
        <v/>
      </c>
      <c r="G314">
        <f>IF(INVENTARIO!P314="","",INVENTARIO!P314)</f>
        <v/>
      </c>
      <c r="H314">
        <f>IF(INVENTARIO!Q314="","",INVENTARIO!Q314)</f>
        <v/>
      </c>
      <c r="I314">
        <f>IF(INVENTARIO!R314="","",INVENTARIO!R314)</f>
        <v/>
      </c>
      <c r="J314">
        <f>IF(G314="PUBLICA(1)",1,IF(G314="USO INTERNO(2)",2,IF(G314="RESTRINGIDO(3)",3,0)))+IF(H314="BAJA(1)",1,IF(H314="MEDIA(2)",2,IF(H314="ALTA(3)",3,0)))+IF(I314="BAJA(1)",1,IF(I314="MEDIA(2)",2,IF(I314="ALTA(3)",3,0)))</f>
        <v/>
      </c>
      <c r="K314">
        <f>IF(J314="", "", IF(J314&gt;=8,"ALTA",IF(J314&gt;=6,"MEDIA","BAJA")))</f>
        <v/>
      </c>
      <c r="L314">
        <f>IF(INVENTARIO!Y314="","",INVENTARIO!Y314)</f>
        <v/>
      </c>
      <c r="M314">
        <f>IF(INVENTARIO!Z314="","",INVENTARIO!Z314)</f>
        <v/>
      </c>
      <c r="N314">
        <f>IF(INVENTARIO!AA314="","",INVENTARIO!AA314)</f>
        <v/>
      </c>
      <c r="O314">
        <f>IF(INVENTARIO!AB314="","",INVENTARIO!AB314)</f>
        <v/>
      </c>
      <c r="P314">
        <f>IF(INVENTARIO!AC314="","",INVENTARIO!AC314)</f>
        <v/>
      </c>
      <c r="Q314">
        <f>IF(AND(K314="",N314="",L314=""),"",IF(AND((K314="ALTA"),OR(LEFT(N314,2)="L0",LEFT(N314,2)="L1",L314="No Iniciado")),"CRÍTICO - Incumplimiento Normativo SEPS",IF(AND(OR(LEFT(N314,2)="L4",LEFT(N314,2)="L5"),AND(P314&lt;&gt;"",P314&lt;&gt;"N/A")),"CONFORME - Control Efectivo ISO 27001","OBSERVACIÓN - Revisar Controles")))</f>
        <v/>
      </c>
    </row>
    <row r="315">
      <c r="A315">
        <f>IF(INVENTARIO!A315="","",INVENTARIO!A315)</f>
        <v/>
      </c>
      <c r="B315">
        <f>IF(INVENTARIO!E315="","",INVENTARIO!E315)</f>
        <v/>
      </c>
      <c r="C315">
        <f>IF(INVENTARIO!F315="","",INVENTARIO!F315)</f>
        <v/>
      </c>
      <c r="D315">
        <f>IF(INVENTARIO!H315="","",INVENTARIO!H315)</f>
        <v/>
      </c>
      <c r="E315">
        <f>IF(INVENTARIO!I315="","",INVENTARIO!I315)</f>
        <v/>
      </c>
      <c r="F315">
        <f>IF(INVENTARIO!N315="","",INVENTARIO!N315)</f>
        <v/>
      </c>
      <c r="G315">
        <f>IF(INVENTARIO!P315="","",INVENTARIO!P315)</f>
        <v/>
      </c>
      <c r="H315">
        <f>IF(INVENTARIO!Q315="","",INVENTARIO!Q315)</f>
        <v/>
      </c>
      <c r="I315">
        <f>IF(INVENTARIO!R315="","",INVENTARIO!R315)</f>
        <v/>
      </c>
      <c r="J315">
        <f>IF(G315="PUBLICA(1)",1,IF(G315="USO INTERNO(2)",2,IF(G315="RESTRINGIDO(3)",3,0)))+IF(H315="BAJA(1)",1,IF(H315="MEDIA(2)",2,IF(H315="ALTA(3)",3,0)))+IF(I315="BAJA(1)",1,IF(I315="MEDIA(2)",2,IF(I315="ALTA(3)",3,0)))</f>
        <v/>
      </c>
      <c r="K315">
        <f>IF(J315="", "", IF(J315&gt;=8,"ALTA",IF(J315&gt;=6,"MEDIA","BAJA")))</f>
        <v/>
      </c>
      <c r="L315">
        <f>IF(INVENTARIO!Y315="","",INVENTARIO!Y315)</f>
        <v/>
      </c>
      <c r="M315">
        <f>IF(INVENTARIO!Z315="","",INVENTARIO!Z315)</f>
        <v/>
      </c>
      <c r="N315">
        <f>IF(INVENTARIO!AA315="","",INVENTARIO!AA315)</f>
        <v/>
      </c>
      <c r="O315">
        <f>IF(INVENTARIO!AB315="","",INVENTARIO!AB315)</f>
        <v/>
      </c>
      <c r="P315">
        <f>IF(INVENTARIO!AC315="","",INVENTARIO!AC315)</f>
        <v/>
      </c>
      <c r="Q315">
        <f>IF(AND(K315="",N315="",L315=""),"",IF(AND((K315="ALTA"),OR(LEFT(N315,2)="L0",LEFT(N315,2)="L1",L315="No Iniciado")),"CRÍTICO - Incumplimiento Normativo SEPS",IF(AND(OR(LEFT(N315,2)="L4",LEFT(N315,2)="L5"),AND(P315&lt;&gt;"",P315&lt;&gt;"N/A")),"CONFORME - Control Efectivo ISO 27001","OBSERVACIÓN - Revisar Controles")))</f>
        <v/>
      </c>
    </row>
    <row r="316">
      <c r="A316">
        <f>IF(INVENTARIO!A316="","",INVENTARIO!A316)</f>
        <v/>
      </c>
      <c r="B316">
        <f>IF(INVENTARIO!E316="","",INVENTARIO!E316)</f>
        <v/>
      </c>
      <c r="C316">
        <f>IF(INVENTARIO!F316="","",INVENTARIO!F316)</f>
        <v/>
      </c>
      <c r="D316">
        <f>IF(INVENTARIO!H316="","",INVENTARIO!H316)</f>
        <v/>
      </c>
      <c r="E316">
        <f>IF(INVENTARIO!I316="","",INVENTARIO!I316)</f>
        <v/>
      </c>
      <c r="F316">
        <f>IF(INVENTARIO!N316="","",INVENTARIO!N316)</f>
        <v/>
      </c>
      <c r="G316">
        <f>IF(INVENTARIO!P316="","",INVENTARIO!P316)</f>
        <v/>
      </c>
      <c r="H316">
        <f>IF(INVENTARIO!Q316="","",INVENTARIO!Q316)</f>
        <v/>
      </c>
      <c r="I316">
        <f>IF(INVENTARIO!R316="","",INVENTARIO!R316)</f>
        <v/>
      </c>
      <c r="J316">
        <f>IF(G316="PUBLICA(1)",1,IF(G316="USO INTERNO(2)",2,IF(G316="RESTRINGIDO(3)",3,0)))+IF(H316="BAJA(1)",1,IF(H316="MEDIA(2)",2,IF(H316="ALTA(3)",3,0)))+IF(I316="BAJA(1)",1,IF(I316="MEDIA(2)",2,IF(I316="ALTA(3)",3,0)))</f>
        <v/>
      </c>
      <c r="K316">
        <f>IF(J316="", "", IF(J316&gt;=8,"ALTA",IF(J316&gt;=6,"MEDIA","BAJA")))</f>
        <v/>
      </c>
      <c r="L316">
        <f>IF(INVENTARIO!Y316="","",INVENTARIO!Y316)</f>
        <v/>
      </c>
      <c r="M316">
        <f>IF(INVENTARIO!Z316="","",INVENTARIO!Z316)</f>
        <v/>
      </c>
      <c r="N316">
        <f>IF(INVENTARIO!AA316="","",INVENTARIO!AA316)</f>
        <v/>
      </c>
      <c r="O316">
        <f>IF(INVENTARIO!AB316="","",INVENTARIO!AB316)</f>
        <v/>
      </c>
      <c r="P316">
        <f>IF(INVENTARIO!AC316="","",INVENTARIO!AC316)</f>
        <v/>
      </c>
      <c r="Q316">
        <f>IF(AND(K316="",N316="",L316=""),"",IF(AND((K316="ALTA"),OR(LEFT(N316,2)="L0",LEFT(N316,2)="L1",L316="No Iniciado")),"CRÍTICO - Incumplimiento Normativo SEPS",IF(AND(OR(LEFT(N316,2)="L4",LEFT(N316,2)="L5"),AND(P316&lt;&gt;"",P316&lt;&gt;"N/A")),"CONFORME - Control Efectivo ISO 27001","OBSERVACIÓN - Revisar Controles")))</f>
        <v/>
      </c>
    </row>
    <row r="317">
      <c r="A317">
        <f>IF(INVENTARIO!A317="","",INVENTARIO!A317)</f>
        <v/>
      </c>
      <c r="B317">
        <f>IF(INVENTARIO!E317="","",INVENTARIO!E317)</f>
        <v/>
      </c>
      <c r="C317">
        <f>IF(INVENTARIO!F317="","",INVENTARIO!F317)</f>
        <v/>
      </c>
      <c r="D317">
        <f>IF(INVENTARIO!H317="","",INVENTARIO!H317)</f>
        <v/>
      </c>
      <c r="E317">
        <f>IF(INVENTARIO!I317="","",INVENTARIO!I317)</f>
        <v/>
      </c>
      <c r="F317">
        <f>IF(INVENTARIO!N317="","",INVENTARIO!N317)</f>
        <v/>
      </c>
      <c r="G317">
        <f>IF(INVENTARIO!P317="","",INVENTARIO!P317)</f>
        <v/>
      </c>
      <c r="H317">
        <f>IF(INVENTARIO!Q317="","",INVENTARIO!Q317)</f>
        <v/>
      </c>
      <c r="I317">
        <f>IF(INVENTARIO!R317="","",INVENTARIO!R317)</f>
        <v/>
      </c>
      <c r="J317">
        <f>IF(G317="PUBLICA(1)",1,IF(G317="USO INTERNO(2)",2,IF(G317="RESTRINGIDO(3)",3,0)))+IF(H317="BAJA(1)",1,IF(H317="MEDIA(2)",2,IF(H317="ALTA(3)",3,0)))+IF(I317="BAJA(1)",1,IF(I317="MEDIA(2)",2,IF(I317="ALTA(3)",3,0)))</f>
        <v/>
      </c>
      <c r="K317">
        <f>IF(J317="", "", IF(J317&gt;=8,"ALTA",IF(J317&gt;=6,"MEDIA","BAJA")))</f>
        <v/>
      </c>
      <c r="L317">
        <f>IF(INVENTARIO!Y317="","",INVENTARIO!Y317)</f>
        <v/>
      </c>
      <c r="M317">
        <f>IF(INVENTARIO!Z317="","",INVENTARIO!Z317)</f>
        <v/>
      </c>
      <c r="N317">
        <f>IF(INVENTARIO!AA317="","",INVENTARIO!AA317)</f>
        <v/>
      </c>
      <c r="O317">
        <f>IF(INVENTARIO!AB317="","",INVENTARIO!AB317)</f>
        <v/>
      </c>
      <c r="P317">
        <f>IF(INVENTARIO!AC317="","",INVENTARIO!AC317)</f>
        <v/>
      </c>
      <c r="Q317">
        <f>IF(AND(K317="",N317="",L317=""),"",IF(AND((K317="ALTA"),OR(LEFT(N317,2)="L0",LEFT(N317,2)="L1",L317="No Iniciado")),"CRÍTICO - Incumplimiento Normativo SEPS",IF(AND(OR(LEFT(N317,2)="L4",LEFT(N317,2)="L5"),AND(P317&lt;&gt;"",P317&lt;&gt;"N/A")),"CONFORME - Control Efectivo ISO 27001","OBSERVACIÓN - Revisar Controles")))</f>
        <v/>
      </c>
    </row>
    <row r="318">
      <c r="A318">
        <f>IF(INVENTARIO!A318="","",INVENTARIO!A318)</f>
        <v/>
      </c>
      <c r="B318">
        <f>IF(INVENTARIO!E318="","",INVENTARIO!E318)</f>
        <v/>
      </c>
      <c r="C318">
        <f>IF(INVENTARIO!F318="","",INVENTARIO!F318)</f>
        <v/>
      </c>
      <c r="D318">
        <f>IF(INVENTARIO!H318="","",INVENTARIO!H318)</f>
        <v/>
      </c>
      <c r="E318">
        <f>IF(INVENTARIO!I318="","",INVENTARIO!I318)</f>
        <v/>
      </c>
      <c r="F318">
        <f>IF(INVENTARIO!N318="","",INVENTARIO!N318)</f>
        <v/>
      </c>
      <c r="G318">
        <f>IF(INVENTARIO!P318="","",INVENTARIO!P318)</f>
        <v/>
      </c>
      <c r="H318">
        <f>IF(INVENTARIO!Q318="","",INVENTARIO!Q318)</f>
        <v/>
      </c>
      <c r="I318">
        <f>IF(INVENTARIO!R318="","",INVENTARIO!R318)</f>
        <v/>
      </c>
      <c r="J318">
        <f>IF(G318="PUBLICA(1)",1,IF(G318="USO INTERNO(2)",2,IF(G318="RESTRINGIDO(3)",3,0)))+IF(H318="BAJA(1)",1,IF(H318="MEDIA(2)",2,IF(H318="ALTA(3)",3,0)))+IF(I318="BAJA(1)",1,IF(I318="MEDIA(2)",2,IF(I318="ALTA(3)",3,0)))</f>
        <v/>
      </c>
      <c r="K318">
        <f>IF(J318="", "", IF(J318&gt;=8,"ALTA",IF(J318&gt;=6,"MEDIA","BAJA")))</f>
        <v/>
      </c>
      <c r="L318">
        <f>IF(INVENTARIO!Y318="","",INVENTARIO!Y318)</f>
        <v/>
      </c>
      <c r="M318">
        <f>IF(INVENTARIO!Z318="","",INVENTARIO!Z318)</f>
        <v/>
      </c>
      <c r="N318">
        <f>IF(INVENTARIO!AA318="","",INVENTARIO!AA318)</f>
        <v/>
      </c>
      <c r="O318">
        <f>IF(INVENTARIO!AB318="","",INVENTARIO!AB318)</f>
        <v/>
      </c>
      <c r="P318">
        <f>IF(INVENTARIO!AC318="","",INVENTARIO!AC318)</f>
        <v/>
      </c>
      <c r="Q318">
        <f>IF(AND(K318="",N318="",L318=""),"",IF(AND((K318="ALTA"),OR(LEFT(N318,2)="L0",LEFT(N318,2)="L1",L318="No Iniciado")),"CRÍTICO - Incumplimiento Normativo SEPS",IF(AND(OR(LEFT(N318,2)="L4",LEFT(N318,2)="L5"),AND(P318&lt;&gt;"",P318&lt;&gt;"N/A")),"CONFORME - Control Efectivo ISO 27001","OBSERVACIÓN - Revisar Controles")))</f>
        <v/>
      </c>
    </row>
    <row r="319">
      <c r="A319">
        <f>IF(INVENTARIO!A319="","",INVENTARIO!A319)</f>
        <v/>
      </c>
      <c r="B319">
        <f>IF(INVENTARIO!E319="","",INVENTARIO!E319)</f>
        <v/>
      </c>
      <c r="C319">
        <f>IF(INVENTARIO!F319="","",INVENTARIO!F319)</f>
        <v/>
      </c>
      <c r="D319">
        <f>IF(INVENTARIO!H319="","",INVENTARIO!H319)</f>
        <v/>
      </c>
      <c r="E319">
        <f>IF(INVENTARIO!I319="","",INVENTARIO!I319)</f>
        <v/>
      </c>
      <c r="F319">
        <f>IF(INVENTARIO!N319="","",INVENTARIO!N319)</f>
        <v/>
      </c>
      <c r="G319">
        <f>IF(INVENTARIO!P319="","",INVENTARIO!P319)</f>
        <v/>
      </c>
      <c r="H319">
        <f>IF(INVENTARIO!Q319="","",INVENTARIO!Q319)</f>
        <v/>
      </c>
      <c r="I319">
        <f>IF(INVENTARIO!R319="","",INVENTARIO!R319)</f>
        <v/>
      </c>
      <c r="J319">
        <f>IF(G319="PUBLICA(1)",1,IF(G319="USO INTERNO(2)",2,IF(G319="RESTRINGIDO(3)",3,0)))+IF(H319="BAJA(1)",1,IF(H319="MEDIA(2)",2,IF(H319="ALTA(3)",3,0)))+IF(I319="BAJA(1)",1,IF(I319="MEDIA(2)",2,IF(I319="ALTA(3)",3,0)))</f>
        <v/>
      </c>
      <c r="K319">
        <f>IF(J319="", "", IF(J319&gt;=8,"ALTA",IF(J319&gt;=6,"MEDIA","BAJA")))</f>
        <v/>
      </c>
      <c r="L319">
        <f>IF(INVENTARIO!Y319="","",INVENTARIO!Y319)</f>
        <v/>
      </c>
      <c r="M319">
        <f>IF(INVENTARIO!Z319="","",INVENTARIO!Z319)</f>
        <v/>
      </c>
      <c r="N319">
        <f>IF(INVENTARIO!AA319="","",INVENTARIO!AA319)</f>
        <v/>
      </c>
      <c r="O319">
        <f>IF(INVENTARIO!AB319="","",INVENTARIO!AB319)</f>
        <v/>
      </c>
      <c r="P319">
        <f>IF(INVENTARIO!AC319="","",INVENTARIO!AC319)</f>
        <v/>
      </c>
      <c r="Q319">
        <f>IF(AND(K319="",N319="",L319=""),"",IF(AND((K319="ALTA"),OR(LEFT(N319,2)="L0",LEFT(N319,2)="L1",L319="No Iniciado")),"CRÍTICO - Incumplimiento Normativo SEPS",IF(AND(OR(LEFT(N319,2)="L4",LEFT(N319,2)="L5"),AND(P319&lt;&gt;"",P319&lt;&gt;"N/A")),"CONFORME - Control Efectivo ISO 27001","OBSERVACIÓN - Revisar Controles")))</f>
        <v/>
      </c>
    </row>
    <row r="320">
      <c r="A320">
        <f>IF(INVENTARIO!A320="","",INVENTARIO!A320)</f>
        <v/>
      </c>
      <c r="B320">
        <f>IF(INVENTARIO!E320="","",INVENTARIO!E320)</f>
        <v/>
      </c>
      <c r="C320">
        <f>IF(INVENTARIO!F320="","",INVENTARIO!F320)</f>
        <v/>
      </c>
      <c r="D320">
        <f>IF(INVENTARIO!H320="","",INVENTARIO!H320)</f>
        <v/>
      </c>
      <c r="E320">
        <f>IF(INVENTARIO!I320="","",INVENTARIO!I320)</f>
        <v/>
      </c>
      <c r="F320">
        <f>IF(INVENTARIO!N320="","",INVENTARIO!N320)</f>
        <v/>
      </c>
      <c r="G320">
        <f>IF(INVENTARIO!P320="","",INVENTARIO!P320)</f>
        <v/>
      </c>
      <c r="H320">
        <f>IF(INVENTARIO!Q320="","",INVENTARIO!Q320)</f>
        <v/>
      </c>
      <c r="I320">
        <f>IF(INVENTARIO!R320="","",INVENTARIO!R320)</f>
        <v/>
      </c>
      <c r="J320">
        <f>IF(G320="PUBLICA(1)",1,IF(G320="USO INTERNO(2)",2,IF(G320="RESTRINGIDO(3)",3,0)))+IF(H320="BAJA(1)",1,IF(H320="MEDIA(2)",2,IF(H320="ALTA(3)",3,0)))+IF(I320="BAJA(1)",1,IF(I320="MEDIA(2)",2,IF(I320="ALTA(3)",3,0)))</f>
        <v/>
      </c>
      <c r="K320">
        <f>IF(J320="", "", IF(J320&gt;=8,"ALTA",IF(J320&gt;=6,"MEDIA","BAJA")))</f>
        <v/>
      </c>
      <c r="L320">
        <f>IF(INVENTARIO!Y320="","",INVENTARIO!Y320)</f>
        <v/>
      </c>
      <c r="M320">
        <f>IF(INVENTARIO!Z320="","",INVENTARIO!Z320)</f>
        <v/>
      </c>
      <c r="N320">
        <f>IF(INVENTARIO!AA320="","",INVENTARIO!AA320)</f>
        <v/>
      </c>
      <c r="O320">
        <f>IF(INVENTARIO!AB320="","",INVENTARIO!AB320)</f>
        <v/>
      </c>
      <c r="P320">
        <f>IF(INVENTARIO!AC320="","",INVENTARIO!AC320)</f>
        <v/>
      </c>
      <c r="Q320">
        <f>IF(AND(K320="",N320="",L320=""),"",IF(AND((K320="ALTA"),OR(LEFT(N320,2)="L0",LEFT(N320,2)="L1",L320="No Iniciado")),"CRÍTICO - Incumplimiento Normativo SEPS",IF(AND(OR(LEFT(N320,2)="L4",LEFT(N320,2)="L5"),AND(P320&lt;&gt;"",P320&lt;&gt;"N/A")),"CONFORME - Control Efectivo ISO 27001","OBSERVACIÓN - Revisar Controles")))</f>
        <v/>
      </c>
    </row>
    <row r="321">
      <c r="A321">
        <f>IF(INVENTARIO!A321="","",INVENTARIO!A321)</f>
        <v/>
      </c>
      <c r="B321">
        <f>IF(INVENTARIO!E321="","",INVENTARIO!E321)</f>
        <v/>
      </c>
      <c r="C321">
        <f>IF(INVENTARIO!F321="","",INVENTARIO!F321)</f>
        <v/>
      </c>
      <c r="D321">
        <f>IF(INVENTARIO!H321="","",INVENTARIO!H321)</f>
        <v/>
      </c>
      <c r="E321">
        <f>IF(INVENTARIO!I321="","",INVENTARIO!I321)</f>
        <v/>
      </c>
      <c r="F321">
        <f>IF(INVENTARIO!N321="","",INVENTARIO!N321)</f>
        <v/>
      </c>
      <c r="G321">
        <f>IF(INVENTARIO!P321="","",INVENTARIO!P321)</f>
        <v/>
      </c>
      <c r="H321">
        <f>IF(INVENTARIO!Q321="","",INVENTARIO!Q321)</f>
        <v/>
      </c>
      <c r="I321">
        <f>IF(INVENTARIO!R321="","",INVENTARIO!R321)</f>
        <v/>
      </c>
      <c r="J321">
        <f>IF(G321="PUBLICA(1)",1,IF(G321="USO INTERNO(2)",2,IF(G321="RESTRINGIDO(3)",3,0)))+IF(H321="BAJA(1)",1,IF(H321="MEDIA(2)",2,IF(H321="ALTA(3)",3,0)))+IF(I321="BAJA(1)",1,IF(I321="MEDIA(2)",2,IF(I321="ALTA(3)",3,0)))</f>
        <v/>
      </c>
      <c r="K321">
        <f>IF(J321="", "", IF(J321&gt;=8,"ALTA",IF(J321&gt;=6,"MEDIA","BAJA")))</f>
        <v/>
      </c>
      <c r="L321">
        <f>IF(INVENTARIO!Y321="","",INVENTARIO!Y321)</f>
        <v/>
      </c>
      <c r="M321">
        <f>IF(INVENTARIO!Z321="","",INVENTARIO!Z321)</f>
        <v/>
      </c>
      <c r="N321">
        <f>IF(INVENTARIO!AA321="","",INVENTARIO!AA321)</f>
        <v/>
      </c>
      <c r="O321">
        <f>IF(INVENTARIO!AB321="","",INVENTARIO!AB321)</f>
        <v/>
      </c>
      <c r="P321">
        <f>IF(INVENTARIO!AC321="","",INVENTARIO!AC321)</f>
        <v/>
      </c>
      <c r="Q321">
        <f>IF(AND(K321="",N321="",L321=""),"",IF(AND((K321="ALTA"),OR(LEFT(N321,2)="L0",LEFT(N321,2)="L1",L321="No Iniciado")),"CRÍTICO - Incumplimiento Normativo SEPS",IF(AND(OR(LEFT(N321,2)="L4",LEFT(N321,2)="L5"),AND(P321&lt;&gt;"",P321&lt;&gt;"N/A")),"CONFORME - Control Efectivo ISO 27001","OBSERVACIÓN - Revisar Controles")))</f>
        <v/>
      </c>
    </row>
    <row r="322">
      <c r="A322">
        <f>IF(INVENTARIO!A322="","",INVENTARIO!A322)</f>
        <v/>
      </c>
      <c r="B322">
        <f>IF(INVENTARIO!E322="","",INVENTARIO!E322)</f>
        <v/>
      </c>
      <c r="C322">
        <f>IF(INVENTARIO!F322="","",INVENTARIO!F322)</f>
        <v/>
      </c>
      <c r="D322">
        <f>IF(INVENTARIO!H322="","",INVENTARIO!H322)</f>
        <v/>
      </c>
      <c r="E322">
        <f>IF(INVENTARIO!I322="","",INVENTARIO!I322)</f>
        <v/>
      </c>
      <c r="F322">
        <f>IF(INVENTARIO!N322="","",INVENTARIO!N322)</f>
        <v/>
      </c>
      <c r="G322">
        <f>IF(INVENTARIO!P322="","",INVENTARIO!P322)</f>
        <v/>
      </c>
      <c r="H322">
        <f>IF(INVENTARIO!Q322="","",INVENTARIO!Q322)</f>
        <v/>
      </c>
      <c r="I322">
        <f>IF(INVENTARIO!R322="","",INVENTARIO!R322)</f>
        <v/>
      </c>
      <c r="J322">
        <f>IF(G322="PUBLICA(1)",1,IF(G322="USO INTERNO(2)",2,IF(G322="RESTRINGIDO(3)",3,0)))+IF(H322="BAJA(1)",1,IF(H322="MEDIA(2)",2,IF(H322="ALTA(3)",3,0)))+IF(I322="BAJA(1)",1,IF(I322="MEDIA(2)",2,IF(I322="ALTA(3)",3,0)))</f>
        <v/>
      </c>
      <c r="K322">
        <f>IF(J322="", "", IF(J322&gt;=8,"ALTA",IF(J322&gt;=6,"MEDIA","BAJA")))</f>
        <v/>
      </c>
      <c r="L322">
        <f>IF(INVENTARIO!Y322="","",INVENTARIO!Y322)</f>
        <v/>
      </c>
      <c r="M322">
        <f>IF(INVENTARIO!Z322="","",INVENTARIO!Z322)</f>
        <v/>
      </c>
      <c r="N322">
        <f>IF(INVENTARIO!AA322="","",INVENTARIO!AA322)</f>
        <v/>
      </c>
      <c r="O322">
        <f>IF(INVENTARIO!AB322="","",INVENTARIO!AB322)</f>
        <v/>
      </c>
      <c r="P322">
        <f>IF(INVENTARIO!AC322="","",INVENTARIO!AC322)</f>
        <v/>
      </c>
      <c r="Q322">
        <f>IF(AND(K322="",N322="",L322=""),"",IF(AND((K322="ALTA"),OR(LEFT(N322,2)="L0",LEFT(N322,2)="L1",L322="No Iniciado")),"CRÍTICO - Incumplimiento Normativo SEPS",IF(AND(OR(LEFT(N322,2)="L4",LEFT(N322,2)="L5"),AND(P322&lt;&gt;"",P322&lt;&gt;"N/A")),"CONFORME - Control Efectivo ISO 27001","OBSERVACIÓN - Revisar Controles")))</f>
        <v/>
      </c>
    </row>
    <row r="323">
      <c r="A323">
        <f>IF(INVENTARIO!A323="","",INVENTARIO!A323)</f>
        <v/>
      </c>
      <c r="B323">
        <f>IF(INVENTARIO!E323="","",INVENTARIO!E323)</f>
        <v/>
      </c>
      <c r="C323">
        <f>IF(INVENTARIO!F323="","",INVENTARIO!F323)</f>
        <v/>
      </c>
      <c r="D323">
        <f>IF(INVENTARIO!H323="","",INVENTARIO!H323)</f>
        <v/>
      </c>
      <c r="E323">
        <f>IF(INVENTARIO!I323="","",INVENTARIO!I323)</f>
        <v/>
      </c>
      <c r="F323">
        <f>IF(INVENTARIO!N323="","",INVENTARIO!N323)</f>
        <v/>
      </c>
      <c r="G323">
        <f>IF(INVENTARIO!P323="","",INVENTARIO!P323)</f>
        <v/>
      </c>
      <c r="H323">
        <f>IF(INVENTARIO!Q323="","",INVENTARIO!Q323)</f>
        <v/>
      </c>
      <c r="I323">
        <f>IF(INVENTARIO!R323="","",INVENTARIO!R323)</f>
        <v/>
      </c>
      <c r="J323">
        <f>IF(G323="PUBLICA(1)",1,IF(G323="USO INTERNO(2)",2,IF(G323="RESTRINGIDO(3)",3,0)))+IF(H323="BAJA(1)",1,IF(H323="MEDIA(2)",2,IF(H323="ALTA(3)",3,0)))+IF(I323="BAJA(1)",1,IF(I323="MEDIA(2)",2,IF(I323="ALTA(3)",3,0)))</f>
        <v/>
      </c>
      <c r="K323">
        <f>IF(J323="", "", IF(J323&gt;=8,"ALTA",IF(J323&gt;=6,"MEDIA","BAJA")))</f>
        <v/>
      </c>
      <c r="L323">
        <f>IF(INVENTARIO!Y323="","",INVENTARIO!Y323)</f>
        <v/>
      </c>
      <c r="M323">
        <f>IF(INVENTARIO!Z323="","",INVENTARIO!Z323)</f>
        <v/>
      </c>
      <c r="N323">
        <f>IF(INVENTARIO!AA323="","",INVENTARIO!AA323)</f>
        <v/>
      </c>
      <c r="O323">
        <f>IF(INVENTARIO!AB323="","",INVENTARIO!AB323)</f>
        <v/>
      </c>
      <c r="P323">
        <f>IF(INVENTARIO!AC323="","",INVENTARIO!AC323)</f>
        <v/>
      </c>
      <c r="Q323">
        <f>IF(AND(K323="",N323="",L323=""),"",IF(AND((K323="ALTA"),OR(LEFT(N323,2)="L0",LEFT(N323,2)="L1",L323="No Iniciado")),"CRÍTICO - Incumplimiento Normativo SEPS",IF(AND(OR(LEFT(N323,2)="L4",LEFT(N323,2)="L5"),AND(P323&lt;&gt;"",P323&lt;&gt;"N/A")),"CONFORME - Control Efectivo ISO 27001","OBSERVACIÓN - Revisar Controles")))</f>
        <v/>
      </c>
    </row>
    <row r="324">
      <c r="A324">
        <f>IF(INVENTARIO!A324="","",INVENTARIO!A324)</f>
        <v/>
      </c>
      <c r="B324">
        <f>IF(INVENTARIO!E324="","",INVENTARIO!E324)</f>
        <v/>
      </c>
      <c r="C324">
        <f>IF(INVENTARIO!F324="","",INVENTARIO!F324)</f>
        <v/>
      </c>
      <c r="D324">
        <f>IF(INVENTARIO!H324="","",INVENTARIO!H324)</f>
        <v/>
      </c>
      <c r="E324">
        <f>IF(INVENTARIO!I324="","",INVENTARIO!I324)</f>
        <v/>
      </c>
      <c r="F324">
        <f>IF(INVENTARIO!N324="","",INVENTARIO!N324)</f>
        <v/>
      </c>
      <c r="G324">
        <f>IF(INVENTARIO!P324="","",INVENTARIO!P324)</f>
        <v/>
      </c>
      <c r="H324">
        <f>IF(INVENTARIO!Q324="","",INVENTARIO!Q324)</f>
        <v/>
      </c>
      <c r="I324">
        <f>IF(INVENTARIO!R324="","",INVENTARIO!R324)</f>
        <v/>
      </c>
      <c r="J324">
        <f>IF(G324="PUBLICA(1)",1,IF(G324="USO INTERNO(2)",2,IF(G324="RESTRINGIDO(3)",3,0)))+IF(H324="BAJA(1)",1,IF(H324="MEDIA(2)",2,IF(H324="ALTA(3)",3,0)))+IF(I324="BAJA(1)",1,IF(I324="MEDIA(2)",2,IF(I324="ALTA(3)",3,0)))</f>
        <v/>
      </c>
      <c r="K324">
        <f>IF(J324="", "", IF(J324&gt;=8,"ALTA",IF(J324&gt;=6,"MEDIA","BAJA")))</f>
        <v/>
      </c>
      <c r="L324">
        <f>IF(INVENTARIO!Y324="","",INVENTARIO!Y324)</f>
        <v/>
      </c>
      <c r="M324">
        <f>IF(INVENTARIO!Z324="","",INVENTARIO!Z324)</f>
        <v/>
      </c>
      <c r="N324">
        <f>IF(INVENTARIO!AA324="","",INVENTARIO!AA324)</f>
        <v/>
      </c>
      <c r="O324">
        <f>IF(INVENTARIO!AB324="","",INVENTARIO!AB324)</f>
        <v/>
      </c>
      <c r="P324">
        <f>IF(INVENTARIO!AC324="","",INVENTARIO!AC324)</f>
        <v/>
      </c>
      <c r="Q324">
        <f>IF(AND(K324="",N324="",L324=""),"",IF(AND((K324="ALTA"),OR(LEFT(N324,2)="L0",LEFT(N324,2)="L1",L324="No Iniciado")),"CRÍTICO - Incumplimiento Normativo SEPS",IF(AND(OR(LEFT(N324,2)="L4",LEFT(N324,2)="L5"),AND(P324&lt;&gt;"",P324&lt;&gt;"N/A")),"CONFORME - Control Efectivo ISO 27001","OBSERVACIÓN - Revisar Controles")))</f>
        <v/>
      </c>
    </row>
    <row r="325">
      <c r="A325">
        <f>IF(INVENTARIO!A325="","",INVENTARIO!A325)</f>
        <v/>
      </c>
      <c r="B325">
        <f>IF(INVENTARIO!E325="","",INVENTARIO!E325)</f>
        <v/>
      </c>
      <c r="C325">
        <f>IF(INVENTARIO!F325="","",INVENTARIO!F325)</f>
        <v/>
      </c>
      <c r="D325">
        <f>IF(INVENTARIO!H325="","",INVENTARIO!H325)</f>
        <v/>
      </c>
      <c r="E325">
        <f>IF(INVENTARIO!I325="","",INVENTARIO!I325)</f>
        <v/>
      </c>
      <c r="F325">
        <f>IF(INVENTARIO!N325="","",INVENTARIO!N325)</f>
        <v/>
      </c>
      <c r="G325">
        <f>IF(INVENTARIO!P325="","",INVENTARIO!P325)</f>
        <v/>
      </c>
      <c r="H325">
        <f>IF(INVENTARIO!Q325="","",INVENTARIO!Q325)</f>
        <v/>
      </c>
      <c r="I325">
        <f>IF(INVENTARIO!R325="","",INVENTARIO!R325)</f>
        <v/>
      </c>
      <c r="J325">
        <f>IF(G325="PUBLICA(1)",1,IF(G325="USO INTERNO(2)",2,IF(G325="RESTRINGIDO(3)",3,0)))+IF(H325="BAJA(1)",1,IF(H325="MEDIA(2)",2,IF(H325="ALTA(3)",3,0)))+IF(I325="BAJA(1)",1,IF(I325="MEDIA(2)",2,IF(I325="ALTA(3)",3,0)))</f>
        <v/>
      </c>
      <c r="K325">
        <f>IF(J325="", "", IF(J325&gt;=8,"ALTA",IF(J325&gt;=6,"MEDIA","BAJA")))</f>
        <v/>
      </c>
      <c r="L325">
        <f>IF(INVENTARIO!Y325="","",INVENTARIO!Y325)</f>
        <v/>
      </c>
      <c r="M325">
        <f>IF(INVENTARIO!Z325="","",INVENTARIO!Z325)</f>
        <v/>
      </c>
      <c r="N325">
        <f>IF(INVENTARIO!AA325="","",INVENTARIO!AA325)</f>
        <v/>
      </c>
      <c r="O325">
        <f>IF(INVENTARIO!AB325="","",INVENTARIO!AB325)</f>
        <v/>
      </c>
      <c r="P325">
        <f>IF(INVENTARIO!AC325="","",INVENTARIO!AC325)</f>
        <v/>
      </c>
      <c r="Q325">
        <f>IF(AND(K325="",N325="",L325=""),"",IF(AND((K325="ALTA"),OR(LEFT(N325,2)="L0",LEFT(N325,2)="L1",L325="No Iniciado")),"CRÍTICO - Incumplimiento Normativo SEPS",IF(AND(OR(LEFT(N325,2)="L4",LEFT(N325,2)="L5"),AND(P325&lt;&gt;"",P325&lt;&gt;"N/A")),"CONFORME - Control Efectivo ISO 27001","OBSERVACIÓN - Revisar Controles")))</f>
        <v/>
      </c>
    </row>
    <row r="326">
      <c r="A326">
        <f>IF(INVENTARIO!A326="","",INVENTARIO!A326)</f>
        <v/>
      </c>
      <c r="B326">
        <f>IF(INVENTARIO!E326="","",INVENTARIO!E326)</f>
        <v/>
      </c>
      <c r="C326">
        <f>IF(INVENTARIO!F326="","",INVENTARIO!F326)</f>
        <v/>
      </c>
      <c r="D326">
        <f>IF(INVENTARIO!H326="","",INVENTARIO!H326)</f>
        <v/>
      </c>
      <c r="E326">
        <f>IF(INVENTARIO!I326="","",INVENTARIO!I326)</f>
        <v/>
      </c>
      <c r="F326">
        <f>IF(INVENTARIO!N326="","",INVENTARIO!N326)</f>
        <v/>
      </c>
      <c r="G326">
        <f>IF(INVENTARIO!P326="","",INVENTARIO!P326)</f>
        <v/>
      </c>
      <c r="H326">
        <f>IF(INVENTARIO!Q326="","",INVENTARIO!Q326)</f>
        <v/>
      </c>
      <c r="I326">
        <f>IF(INVENTARIO!R326="","",INVENTARIO!R326)</f>
        <v/>
      </c>
      <c r="J326">
        <f>IF(G326="PUBLICA(1)",1,IF(G326="USO INTERNO(2)",2,IF(G326="RESTRINGIDO(3)",3,0)))+IF(H326="BAJA(1)",1,IF(H326="MEDIA(2)",2,IF(H326="ALTA(3)",3,0)))+IF(I326="BAJA(1)",1,IF(I326="MEDIA(2)",2,IF(I326="ALTA(3)",3,0)))</f>
        <v/>
      </c>
      <c r="K326">
        <f>IF(J326="", "", IF(J326&gt;=8,"ALTA",IF(J326&gt;=6,"MEDIA","BAJA")))</f>
        <v/>
      </c>
      <c r="L326">
        <f>IF(INVENTARIO!Y326="","",INVENTARIO!Y326)</f>
        <v/>
      </c>
      <c r="M326">
        <f>IF(INVENTARIO!Z326="","",INVENTARIO!Z326)</f>
        <v/>
      </c>
      <c r="N326">
        <f>IF(INVENTARIO!AA326="","",INVENTARIO!AA326)</f>
        <v/>
      </c>
      <c r="O326">
        <f>IF(INVENTARIO!AB326="","",INVENTARIO!AB326)</f>
        <v/>
      </c>
      <c r="P326">
        <f>IF(INVENTARIO!AC326="","",INVENTARIO!AC326)</f>
        <v/>
      </c>
      <c r="Q326">
        <f>IF(AND(K326="",N326="",L326=""),"",IF(AND((K326="ALTA"),OR(LEFT(N326,2)="L0",LEFT(N326,2)="L1",L326="No Iniciado")),"CRÍTICO - Incumplimiento Normativo SEPS",IF(AND(OR(LEFT(N326,2)="L4",LEFT(N326,2)="L5"),AND(P326&lt;&gt;"",P326&lt;&gt;"N/A")),"CONFORME - Control Efectivo ISO 27001","OBSERVACIÓN - Revisar Controles")))</f>
        <v/>
      </c>
    </row>
    <row r="327">
      <c r="A327">
        <f>IF(INVENTARIO!A327="","",INVENTARIO!A327)</f>
        <v/>
      </c>
      <c r="B327">
        <f>IF(INVENTARIO!E327="","",INVENTARIO!E327)</f>
        <v/>
      </c>
      <c r="C327">
        <f>IF(INVENTARIO!F327="","",INVENTARIO!F327)</f>
        <v/>
      </c>
      <c r="D327">
        <f>IF(INVENTARIO!H327="","",INVENTARIO!H327)</f>
        <v/>
      </c>
      <c r="E327">
        <f>IF(INVENTARIO!I327="","",INVENTARIO!I327)</f>
        <v/>
      </c>
      <c r="F327">
        <f>IF(INVENTARIO!N327="","",INVENTARIO!N327)</f>
        <v/>
      </c>
      <c r="G327">
        <f>IF(INVENTARIO!P327="","",INVENTARIO!P327)</f>
        <v/>
      </c>
      <c r="H327">
        <f>IF(INVENTARIO!Q327="","",INVENTARIO!Q327)</f>
        <v/>
      </c>
      <c r="I327">
        <f>IF(INVENTARIO!R327="","",INVENTARIO!R327)</f>
        <v/>
      </c>
      <c r="J327">
        <f>IF(G327="PUBLICA(1)",1,IF(G327="USO INTERNO(2)",2,IF(G327="RESTRINGIDO(3)",3,0)))+IF(H327="BAJA(1)",1,IF(H327="MEDIA(2)",2,IF(H327="ALTA(3)",3,0)))+IF(I327="BAJA(1)",1,IF(I327="MEDIA(2)",2,IF(I327="ALTA(3)",3,0)))</f>
        <v/>
      </c>
      <c r="K327">
        <f>IF(J327="", "", IF(J327&gt;=8,"ALTA",IF(J327&gt;=6,"MEDIA","BAJA")))</f>
        <v/>
      </c>
      <c r="L327">
        <f>IF(INVENTARIO!Y327="","",INVENTARIO!Y327)</f>
        <v/>
      </c>
      <c r="M327">
        <f>IF(INVENTARIO!Z327="","",INVENTARIO!Z327)</f>
        <v/>
      </c>
      <c r="N327">
        <f>IF(INVENTARIO!AA327="","",INVENTARIO!AA327)</f>
        <v/>
      </c>
      <c r="O327">
        <f>IF(INVENTARIO!AB327="","",INVENTARIO!AB327)</f>
        <v/>
      </c>
      <c r="P327">
        <f>IF(INVENTARIO!AC327="","",INVENTARIO!AC327)</f>
        <v/>
      </c>
      <c r="Q327">
        <f>IF(AND(K327="",N327="",L327=""),"",IF(AND((K327="ALTA"),OR(LEFT(N327,2)="L0",LEFT(N327,2)="L1",L327="No Iniciado")),"CRÍTICO - Incumplimiento Normativo SEPS",IF(AND(OR(LEFT(N327,2)="L4",LEFT(N327,2)="L5"),AND(P327&lt;&gt;"",P327&lt;&gt;"N/A")),"CONFORME - Control Efectivo ISO 27001","OBSERVACIÓN - Revisar Controles")))</f>
        <v/>
      </c>
    </row>
    <row r="328">
      <c r="A328">
        <f>IF(INVENTARIO!A328="","",INVENTARIO!A328)</f>
        <v/>
      </c>
      <c r="B328">
        <f>IF(INVENTARIO!E328="","",INVENTARIO!E328)</f>
        <v/>
      </c>
      <c r="C328">
        <f>IF(INVENTARIO!F328="","",INVENTARIO!F328)</f>
        <v/>
      </c>
      <c r="D328">
        <f>IF(INVENTARIO!H328="","",INVENTARIO!H328)</f>
        <v/>
      </c>
      <c r="E328">
        <f>IF(INVENTARIO!I328="","",INVENTARIO!I328)</f>
        <v/>
      </c>
      <c r="F328">
        <f>IF(INVENTARIO!N328="","",INVENTARIO!N328)</f>
        <v/>
      </c>
      <c r="G328">
        <f>IF(INVENTARIO!P328="","",INVENTARIO!P328)</f>
        <v/>
      </c>
      <c r="H328">
        <f>IF(INVENTARIO!Q328="","",INVENTARIO!Q328)</f>
        <v/>
      </c>
      <c r="I328">
        <f>IF(INVENTARIO!R328="","",INVENTARIO!R328)</f>
        <v/>
      </c>
      <c r="J328">
        <f>IF(G328="PUBLICA(1)",1,IF(G328="USO INTERNO(2)",2,IF(G328="RESTRINGIDO(3)",3,0)))+IF(H328="BAJA(1)",1,IF(H328="MEDIA(2)",2,IF(H328="ALTA(3)",3,0)))+IF(I328="BAJA(1)",1,IF(I328="MEDIA(2)",2,IF(I328="ALTA(3)",3,0)))</f>
        <v/>
      </c>
      <c r="K328">
        <f>IF(J328="", "", IF(J328&gt;=8,"ALTA",IF(J328&gt;=6,"MEDIA","BAJA")))</f>
        <v/>
      </c>
      <c r="L328">
        <f>IF(INVENTARIO!Y328="","",INVENTARIO!Y328)</f>
        <v/>
      </c>
      <c r="M328">
        <f>IF(INVENTARIO!Z328="","",INVENTARIO!Z328)</f>
        <v/>
      </c>
      <c r="N328">
        <f>IF(INVENTARIO!AA328="","",INVENTARIO!AA328)</f>
        <v/>
      </c>
      <c r="O328">
        <f>IF(INVENTARIO!AB328="","",INVENTARIO!AB328)</f>
        <v/>
      </c>
      <c r="P328">
        <f>IF(INVENTARIO!AC328="","",INVENTARIO!AC328)</f>
        <v/>
      </c>
      <c r="Q328">
        <f>IF(AND(K328="",N328="",L328=""),"",IF(AND((K328="ALTA"),OR(LEFT(N328,2)="L0",LEFT(N328,2)="L1",L328="No Iniciado")),"CRÍTICO - Incumplimiento Normativo SEPS",IF(AND(OR(LEFT(N328,2)="L4",LEFT(N328,2)="L5"),AND(P328&lt;&gt;"",P328&lt;&gt;"N/A")),"CONFORME - Control Efectivo ISO 27001","OBSERVACIÓN - Revisar Controles")))</f>
        <v/>
      </c>
    </row>
    <row r="329">
      <c r="A329">
        <f>IF(INVENTARIO!A329="","",INVENTARIO!A329)</f>
        <v/>
      </c>
      <c r="B329">
        <f>IF(INVENTARIO!E329="","",INVENTARIO!E329)</f>
        <v/>
      </c>
      <c r="C329">
        <f>IF(INVENTARIO!F329="","",INVENTARIO!F329)</f>
        <v/>
      </c>
      <c r="D329">
        <f>IF(INVENTARIO!H329="","",INVENTARIO!H329)</f>
        <v/>
      </c>
      <c r="E329">
        <f>IF(INVENTARIO!I329="","",INVENTARIO!I329)</f>
        <v/>
      </c>
      <c r="F329">
        <f>IF(INVENTARIO!N329="","",INVENTARIO!N329)</f>
        <v/>
      </c>
      <c r="G329">
        <f>IF(INVENTARIO!P329="","",INVENTARIO!P329)</f>
        <v/>
      </c>
      <c r="H329">
        <f>IF(INVENTARIO!Q329="","",INVENTARIO!Q329)</f>
        <v/>
      </c>
      <c r="I329">
        <f>IF(INVENTARIO!R329="","",INVENTARIO!R329)</f>
        <v/>
      </c>
      <c r="J329">
        <f>IF(G329="PUBLICA(1)",1,IF(G329="USO INTERNO(2)",2,IF(G329="RESTRINGIDO(3)",3,0)))+IF(H329="BAJA(1)",1,IF(H329="MEDIA(2)",2,IF(H329="ALTA(3)",3,0)))+IF(I329="BAJA(1)",1,IF(I329="MEDIA(2)",2,IF(I329="ALTA(3)",3,0)))</f>
        <v/>
      </c>
      <c r="K329">
        <f>IF(J329="", "", IF(J329&gt;=8,"ALTA",IF(J329&gt;=6,"MEDIA","BAJA")))</f>
        <v/>
      </c>
      <c r="L329">
        <f>IF(INVENTARIO!Y329="","",INVENTARIO!Y329)</f>
        <v/>
      </c>
      <c r="M329">
        <f>IF(INVENTARIO!Z329="","",INVENTARIO!Z329)</f>
        <v/>
      </c>
      <c r="N329">
        <f>IF(INVENTARIO!AA329="","",INVENTARIO!AA329)</f>
        <v/>
      </c>
      <c r="O329">
        <f>IF(INVENTARIO!AB329="","",INVENTARIO!AB329)</f>
        <v/>
      </c>
      <c r="P329">
        <f>IF(INVENTARIO!AC329="","",INVENTARIO!AC329)</f>
        <v/>
      </c>
      <c r="Q329">
        <f>IF(AND(K329="",N329="",L329=""),"",IF(AND((K329="ALTA"),OR(LEFT(N329,2)="L0",LEFT(N329,2)="L1",L329="No Iniciado")),"CRÍTICO - Incumplimiento Normativo SEPS",IF(AND(OR(LEFT(N329,2)="L4",LEFT(N329,2)="L5"),AND(P329&lt;&gt;"",P329&lt;&gt;"N/A")),"CONFORME - Control Efectivo ISO 27001","OBSERVACIÓN - Revisar Controles")))</f>
        <v/>
      </c>
    </row>
    <row r="330">
      <c r="A330">
        <f>IF(INVENTARIO!A330="","",INVENTARIO!A330)</f>
        <v/>
      </c>
      <c r="B330">
        <f>IF(INVENTARIO!E330="","",INVENTARIO!E330)</f>
        <v/>
      </c>
      <c r="C330">
        <f>IF(INVENTARIO!F330="","",INVENTARIO!F330)</f>
        <v/>
      </c>
      <c r="D330">
        <f>IF(INVENTARIO!H330="","",INVENTARIO!H330)</f>
        <v/>
      </c>
      <c r="E330">
        <f>IF(INVENTARIO!I330="","",INVENTARIO!I330)</f>
        <v/>
      </c>
      <c r="F330">
        <f>IF(INVENTARIO!N330="","",INVENTARIO!N330)</f>
        <v/>
      </c>
      <c r="G330">
        <f>IF(INVENTARIO!P330="","",INVENTARIO!P330)</f>
        <v/>
      </c>
      <c r="H330">
        <f>IF(INVENTARIO!Q330="","",INVENTARIO!Q330)</f>
        <v/>
      </c>
      <c r="I330">
        <f>IF(INVENTARIO!R330="","",INVENTARIO!R330)</f>
        <v/>
      </c>
      <c r="J330">
        <f>IF(G330="PUBLICA(1)",1,IF(G330="USO INTERNO(2)",2,IF(G330="RESTRINGIDO(3)",3,0)))+IF(H330="BAJA(1)",1,IF(H330="MEDIA(2)",2,IF(H330="ALTA(3)",3,0)))+IF(I330="BAJA(1)",1,IF(I330="MEDIA(2)",2,IF(I330="ALTA(3)",3,0)))</f>
        <v/>
      </c>
      <c r="K330">
        <f>IF(J330="", "", IF(J330&gt;=8,"ALTA",IF(J330&gt;=6,"MEDIA","BAJA")))</f>
        <v/>
      </c>
      <c r="L330">
        <f>IF(INVENTARIO!Y330="","",INVENTARIO!Y330)</f>
        <v/>
      </c>
      <c r="M330">
        <f>IF(INVENTARIO!Z330="","",INVENTARIO!Z330)</f>
        <v/>
      </c>
      <c r="N330">
        <f>IF(INVENTARIO!AA330="","",INVENTARIO!AA330)</f>
        <v/>
      </c>
      <c r="O330">
        <f>IF(INVENTARIO!AB330="","",INVENTARIO!AB330)</f>
        <v/>
      </c>
      <c r="P330">
        <f>IF(INVENTARIO!AC330="","",INVENTARIO!AC330)</f>
        <v/>
      </c>
      <c r="Q330">
        <f>IF(AND(K330="",N330="",L330=""),"",IF(AND((K330="ALTA"),OR(LEFT(N330,2)="L0",LEFT(N330,2)="L1",L330="No Iniciado")),"CRÍTICO - Incumplimiento Normativo SEPS",IF(AND(OR(LEFT(N330,2)="L4",LEFT(N330,2)="L5"),AND(P330&lt;&gt;"",P330&lt;&gt;"N/A")),"CONFORME - Control Efectivo ISO 27001","OBSERVACIÓN - Revisar Controles")))</f>
        <v/>
      </c>
    </row>
    <row r="331">
      <c r="A331">
        <f>IF(INVENTARIO!A331="","",INVENTARIO!A331)</f>
        <v/>
      </c>
      <c r="B331">
        <f>IF(INVENTARIO!E331="","",INVENTARIO!E331)</f>
        <v/>
      </c>
      <c r="C331">
        <f>IF(INVENTARIO!F331="","",INVENTARIO!F331)</f>
        <v/>
      </c>
      <c r="D331">
        <f>IF(INVENTARIO!H331="","",INVENTARIO!H331)</f>
        <v/>
      </c>
      <c r="E331">
        <f>IF(INVENTARIO!I331="","",INVENTARIO!I331)</f>
        <v/>
      </c>
      <c r="F331">
        <f>IF(INVENTARIO!N331="","",INVENTARIO!N331)</f>
        <v/>
      </c>
      <c r="G331">
        <f>IF(INVENTARIO!P331="","",INVENTARIO!P331)</f>
        <v/>
      </c>
      <c r="H331">
        <f>IF(INVENTARIO!Q331="","",INVENTARIO!Q331)</f>
        <v/>
      </c>
      <c r="I331">
        <f>IF(INVENTARIO!R331="","",INVENTARIO!R331)</f>
        <v/>
      </c>
      <c r="J331">
        <f>IF(G331="PUBLICA(1)",1,IF(G331="USO INTERNO(2)",2,IF(G331="RESTRINGIDO(3)",3,0)))+IF(H331="BAJA(1)",1,IF(H331="MEDIA(2)",2,IF(H331="ALTA(3)",3,0)))+IF(I331="BAJA(1)",1,IF(I331="MEDIA(2)",2,IF(I331="ALTA(3)",3,0)))</f>
        <v/>
      </c>
      <c r="K331">
        <f>IF(J331="", "", IF(J331&gt;=8,"ALTA",IF(J331&gt;=6,"MEDIA","BAJA")))</f>
        <v/>
      </c>
      <c r="L331">
        <f>IF(INVENTARIO!Y331="","",INVENTARIO!Y331)</f>
        <v/>
      </c>
      <c r="M331">
        <f>IF(INVENTARIO!Z331="","",INVENTARIO!Z331)</f>
        <v/>
      </c>
      <c r="N331">
        <f>IF(INVENTARIO!AA331="","",INVENTARIO!AA331)</f>
        <v/>
      </c>
      <c r="O331">
        <f>IF(INVENTARIO!AB331="","",INVENTARIO!AB331)</f>
        <v/>
      </c>
      <c r="P331">
        <f>IF(INVENTARIO!AC331="","",INVENTARIO!AC331)</f>
        <v/>
      </c>
      <c r="Q331">
        <f>IF(AND(K331="",N331="",L331=""),"",IF(AND((K331="ALTA"),OR(LEFT(N331,2)="L0",LEFT(N331,2)="L1",L331="No Iniciado")),"CRÍTICO - Incumplimiento Normativo SEPS",IF(AND(OR(LEFT(N331,2)="L4",LEFT(N331,2)="L5"),AND(P331&lt;&gt;"",P331&lt;&gt;"N/A")),"CONFORME - Control Efectivo ISO 27001","OBSERVACIÓN - Revisar Controles")))</f>
        <v/>
      </c>
    </row>
    <row r="332">
      <c r="A332">
        <f>IF(INVENTARIO!A332="","",INVENTARIO!A332)</f>
        <v/>
      </c>
      <c r="B332">
        <f>IF(INVENTARIO!E332="","",INVENTARIO!E332)</f>
        <v/>
      </c>
      <c r="C332">
        <f>IF(INVENTARIO!F332="","",INVENTARIO!F332)</f>
        <v/>
      </c>
      <c r="D332">
        <f>IF(INVENTARIO!H332="","",INVENTARIO!H332)</f>
        <v/>
      </c>
      <c r="E332">
        <f>IF(INVENTARIO!I332="","",INVENTARIO!I332)</f>
        <v/>
      </c>
      <c r="F332">
        <f>IF(INVENTARIO!N332="","",INVENTARIO!N332)</f>
        <v/>
      </c>
      <c r="G332">
        <f>IF(INVENTARIO!P332="","",INVENTARIO!P332)</f>
        <v/>
      </c>
      <c r="H332">
        <f>IF(INVENTARIO!Q332="","",INVENTARIO!Q332)</f>
        <v/>
      </c>
      <c r="I332">
        <f>IF(INVENTARIO!R332="","",INVENTARIO!R332)</f>
        <v/>
      </c>
      <c r="J332">
        <f>IF(G332="PUBLICA(1)",1,IF(G332="USO INTERNO(2)",2,IF(G332="RESTRINGIDO(3)",3,0)))+IF(H332="BAJA(1)",1,IF(H332="MEDIA(2)",2,IF(H332="ALTA(3)",3,0)))+IF(I332="BAJA(1)",1,IF(I332="MEDIA(2)",2,IF(I332="ALTA(3)",3,0)))</f>
        <v/>
      </c>
      <c r="K332">
        <f>IF(J332="", "", IF(J332&gt;=8,"ALTA",IF(J332&gt;=6,"MEDIA","BAJA")))</f>
        <v/>
      </c>
      <c r="L332">
        <f>IF(INVENTARIO!Y332="","",INVENTARIO!Y332)</f>
        <v/>
      </c>
      <c r="M332">
        <f>IF(INVENTARIO!Z332="","",INVENTARIO!Z332)</f>
        <v/>
      </c>
      <c r="N332">
        <f>IF(INVENTARIO!AA332="","",INVENTARIO!AA332)</f>
        <v/>
      </c>
      <c r="O332">
        <f>IF(INVENTARIO!AB332="","",INVENTARIO!AB332)</f>
        <v/>
      </c>
      <c r="P332">
        <f>IF(INVENTARIO!AC332="","",INVENTARIO!AC332)</f>
        <v/>
      </c>
      <c r="Q332">
        <f>IF(AND(K332="",N332="",L332=""),"",IF(AND((K332="ALTA"),OR(LEFT(N332,2)="L0",LEFT(N332,2)="L1",L332="No Iniciado")),"CRÍTICO - Incumplimiento Normativo SEPS",IF(AND(OR(LEFT(N332,2)="L4",LEFT(N332,2)="L5"),AND(P332&lt;&gt;"",P332&lt;&gt;"N/A")),"CONFORME - Control Efectivo ISO 27001","OBSERVACIÓN - Revisar Controles")))</f>
        <v/>
      </c>
    </row>
    <row r="333">
      <c r="A333">
        <f>IF(INVENTARIO!A333="","",INVENTARIO!A333)</f>
        <v/>
      </c>
      <c r="B333">
        <f>IF(INVENTARIO!E333="","",INVENTARIO!E333)</f>
        <v/>
      </c>
      <c r="C333">
        <f>IF(INVENTARIO!F333="","",INVENTARIO!F333)</f>
        <v/>
      </c>
      <c r="D333">
        <f>IF(INVENTARIO!H333="","",INVENTARIO!H333)</f>
        <v/>
      </c>
      <c r="E333">
        <f>IF(INVENTARIO!I333="","",INVENTARIO!I333)</f>
        <v/>
      </c>
      <c r="F333">
        <f>IF(INVENTARIO!N333="","",INVENTARIO!N333)</f>
        <v/>
      </c>
      <c r="G333">
        <f>IF(INVENTARIO!P333="","",INVENTARIO!P333)</f>
        <v/>
      </c>
      <c r="H333">
        <f>IF(INVENTARIO!Q333="","",INVENTARIO!Q333)</f>
        <v/>
      </c>
      <c r="I333">
        <f>IF(INVENTARIO!R333="","",INVENTARIO!R333)</f>
        <v/>
      </c>
      <c r="J333">
        <f>IF(G333="PUBLICA(1)",1,IF(G333="USO INTERNO(2)",2,IF(G333="RESTRINGIDO(3)",3,0)))+IF(H333="BAJA(1)",1,IF(H333="MEDIA(2)",2,IF(H333="ALTA(3)",3,0)))+IF(I333="BAJA(1)",1,IF(I333="MEDIA(2)",2,IF(I333="ALTA(3)",3,0)))</f>
        <v/>
      </c>
      <c r="K333">
        <f>IF(J333="", "", IF(J333&gt;=8,"ALTA",IF(J333&gt;=6,"MEDIA","BAJA")))</f>
        <v/>
      </c>
      <c r="L333">
        <f>IF(INVENTARIO!Y333="","",INVENTARIO!Y333)</f>
        <v/>
      </c>
      <c r="M333">
        <f>IF(INVENTARIO!Z333="","",INVENTARIO!Z333)</f>
        <v/>
      </c>
      <c r="N333">
        <f>IF(INVENTARIO!AA333="","",INVENTARIO!AA333)</f>
        <v/>
      </c>
      <c r="O333">
        <f>IF(INVENTARIO!AB333="","",INVENTARIO!AB333)</f>
        <v/>
      </c>
      <c r="P333">
        <f>IF(INVENTARIO!AC333="","",INVENTARIO!AC333)</f>
        <v/>
      </c>
      <c r="Q333">
        <f>IF(AND(K333="",N333="",L333=""),"",IF(AND((K333="ALTA"),OR(LEFT(N333,2)="L0",LEFT(N333,2)="L1",L333="No Iniciado")),"CRÍTICO - Incumplimiento Normativo SEPS",IF(AND(OR(LEFT(N333,2)="L4",LEFT(N333,2)="L5"),AND(P333&lt;&gt;"",P333&lt;&gt;"N/A")),"CONFORME - Control Efectivo ISO 27001","OBSERVACIÓN - Revisar Controles")))</f>
        <v/>
      </c>
    </row>
    <row r="334">
      <c r="A334">
        <f>IF(INVENTARIO!A334="","",INVENTARIO!A334)</f>
        <v/>
      </c>
      <c r="B334">
        <f>IF(INVENTARIO!E334="","",INVENTARIO!E334)</f>
        <v/>
      </c>
      <c r="C334">
        <f>IF(INVENTARIO!F334="","",INVENTARIO!F334)</f>
        <v/>
      </c>
      <c r="D334">
        <f>IF(INVENTARIO!H334="","",INVENTARIO!H334)</f>
        <v/>
      </c>
      <c r="E334">
        <f>IF(INVENTARIO!I334="","",INVENTARIO!I334)</f>
        <v/>
      </c>
      <c r="F334">
        <f>IF(INVENTARIO!N334="","",INVENTARIO!N334)</f>
        <v/>
      </c>
      <c r="G334">
        <f>IF(INVENTARIO!P334="","",INVENTARIO!P334)</f>
        <v/>
      </c>
      <c r="H334">
        <f>IF(INVENTARIO!Q334="","",INVENTARIO!Q334)</f>
        <v/>
      </c>
      <c r="I334">
        <f>IF(INVENTARIO!R334="","",INVENTARIO!R334)</f>
        <v/>
      </c>
      <c r="J334">
        <f>IF(G334="PUBLICA(1)",1,IF(G334="USO INTERNO(2)",2,IF(G334="RESTRINGIDO(3)",3,0)))+IF(H334="BAJA(1)",1,IF(H334="MEDIA(2)",2,IF(H334="ALTA(3)",3,0)))+IF(I334="BAJA(1)",1,IF(I334="MEDIA(2)",2,IF(I334="ALTA(3)",3,0)))</f>
        <v/>
      </c>
      <c r="K334">
        <f>IF(J334="", "", IF(J334&gt;=8,"ALTA",IF(J334&gt;=6,"MEDIA","BAJA")))</f>
        <v/>
      </c>
      <c r="L334">
        <f>IF(INVENTARIO!Y334="","",INVENTARIO!Y334)</f>
        <v/>
      </c>
      <c r="M334">
        <f>IF(INVENTARIO!Z334="","",INVENTARIO!Z334)</f>
        <v/>
      </c>
      <c r="N334">
        <f>IF(INVENTARIO!AA334="","",INVENTARIO!AA334)</f>
        <v/>
      </c>
      <c r="O334">
        <f>IF(INVENTARIO!AB334="","",INVENTARIO!AB334)</f>
        <v/>
      </c>
      <c r="P334">
        <f>IF(INVENTARIO!AC334="","",INVENTARIO!AC334)</f>
        <v/>
      </c>
      <c r="Q334">
        <f>IF(AND(K334="",N334="",L334=""),"",IF(AND((K334="ALTA"),OR(LEFT(N334,2)="L0",LEFT(N334,2)="L1",L334="No Iniciado")),"CRÍTICO - Incumplimiento Normativo SEPS",IF(AND(OR(LEFT(N334,2)="L4",LEFT(N334,2)="L5"),AND(P334&lt;&gt;"",P334&lt;&gt;"N/A")),"CONFORME - Control Efectivo ISO 27001","OBSERVACIÓN - Revisar Controles")))</f>
        <v/>
      </c>
    </row>
    <row r="335">
      <c r="A335">
        <f>IF(INVENTARIO!A335="","",INVENTARIO!A335)</f>
        <v/>
      </c>
      <c r="B335">
        <f>IF(INVENTARIO!E335="","",INVENTARIO!E335)</f>
        <v/>
      </c>
      <c r="C335">
        <f>IF(INVENTARIO!F335="","",INVENTARIO!F335)</f>
        <v/>
      </c>
      <c r="D335">
        <f>IF(INVENTARIO!H335="","",INVENTARIO!H335)</f>
        <v/>
      </c>
      <c r="E335">
        <f>IF(INVENTARIO!I335="","",INVENTARIO!I335)</f>
        <v/>
      </c>
      <c r="F335">
        <f>IF(INVENTARIO!N335="","",INVENTARIO!N335)</f>
        <v/>
      </c>
      <c r="G335">
        <f>IF(INVENTARIO!P335="","",INVENTARIO!P335)</f>
        <v/>
      </c>
      <c r="H335">
        <f>IF(INVENTARIO!Q335="","",INVENTARIO!Q335)</f>
        <v/>
      </c>
      <c r="I335">
        <f>IF(INVENTARIO!R335="","",INVENTARIO!R335)</f>
        <v/>
      </c>
      <c r="J335">
        <f>IF(G335="PUBLICA(1)",1,IF(G335="USO INTERNO(2)",2,IF(G335="RESTRINGIDO(3)",3,0)))+IF(H335="BAJA(1)",1,IF(H335="MEDIA(2)",2,IF(H335="ALTA(3)",3,0)))+IF(I335="BAJA(1)",1,IF(I335="MEDIA(2)",2,IF(I335="ALTA(3)",3,0)))</f>
        <v/>
      </c>
      <c r="K335">
        <f>IF(J335="", "", IF(J335&gt;=8,"ALTA",IF(J335&gt;=6,"MEDIA","BAJA")))</f>
        <v/>
      </c>
      <c r="L335">
        <f>IF(INVENTARIO!Y335="","",INVENTARIO!Y335)</f>
        <v/>
      </c>
      <c r="M335">
        <f>IF(INVENTARIO!Z335="","",INVENTARIO!Z335)</f>
        <v/>
      </c>
      <c r="N335">
        <f>IF(INVENTARIO!AA335="","",INVENTARIO!AA335)</f>
        <v/>
      </c>
      <c r="O335">
        <f>IF(INVENTARIO!AB335="","",INVENTARIO!AB335)</f>
        <v/>
      </c>
      <c r="P335">
        <f>IF(INVENTARIO!AC335="","",INVENTARIO!AC335)</f>
        <v/>
      </c>
      <c r="Q335">
        <f>IF(AND(K335="",N335="",L335=""),"",IF(AND((K335="ALTA"),OR(LEFT(N335,2)="L0",LEFT(N335,2)="L1",L335="No Iniciado")),"CRÍTICO - Incumplimiento Normativo SEPS",IF(AND(OR(LEFT(N335,2)="L4",LEFT(N335,2)="L5"),AND(P335&lt;&gt;"",P335&lt;&gt;"N/A")),"CONFORME - Control Efectivo ISO 27001","OBSERVACIÓN - Revisar Controles")))</f>
        <v/>
      </c>
    </row>
    <row r="336">
      <c r="A336">
        <f>IF(INVENTARIO!A336="","",INVENTARIO!A336)</f>
        <v/>
      </c>
      <c r="B336">
        <f>IF(INVENTARIO!E336="","",INVENTARIO!E336)</f>
        <v/>
      </c>
      <c r="C336">
        <f>IF(INVENTARIO!F336="","",INVENTARIO!F336)</f>
        <v/>
      </c>
      <c r="D336">
        <f>IF(INVENTARIO!H336="","",INVENTARIO!H336)</f>
        <v/>
      </c>
      <c r="E336">
        <f>IF(INVENTARIO!I336="","",INVENTARIO!I336)</f>
        <v/>
      </c>
      <c r="F336">
        <f>IF(INVENTARIO!N336="","",INVENTARIO!N336)</f>
        <v/>
      </c>
      <c r="G336">
        <f>IF(INVENTARIO!P336="","",INVENTARIO!P336)</f>
        <v/>
      </c>
      <c r="H336">
        <f>IF(INVENTARIO!Q336="","",INVENTARIO!Q336)</f>
        <v/>
      </c>
      <c r="I336">
        <f>IF(INVENTARIO!R336="","",INVENTARIO!R336)</f>
        <v/>
      </c>
      <c r="J336">
        <f>IF(G336="PUBLICA(1)",1,IF(G336="USO INTERNO(2)",2,IF(G336="RESTRINGIDO(3)",3,0)))+IF(H336="BAJA(1)",1,IF(H336="MEDIA(2)",2,IF(H336="ALTA(3)",3,0)))+IF(I336="BAJA(1)",1,IF(I336="MEDIA(2)",2,IF(I336="ALTA(3)",3,0)))</f>
        <v/>
      </c>
      <c r="K336">
        <f>IF(J336="", "", IF(J336&gt;=8,"ALTA",IF(J336&gt;=6,"MEDIA","BAJA")))</f>
        <v/>
      </c>
      <c r="L336">
        <f>IF(INVENTARIO!Y336="","",INVENTARIO!Y336)</f>
        <v/>
      </c>
      <c r="M336">
        <f>IF(INVENTARIO!Z336="","",INVENTARIO!Z336)</f>
        <v/>
      </c>
      <c r="N336">
        <f>IF(INVENTARIO!AA336="","",INVENTARIO!AA336)</f>
        <v/>
      </c>
      <c r="O336">
        <f>IF(INVENTARIO!AB336="","",INVENTARIO!AB336)</f>
        <v/>
      </c>
      <c r="P336">
        <f>IF(INVENTARIO!AC336="","",INVENTARIO!AC336)</f>
        <v/>
      </c>
      <c r="Q336">
        <f>IF(AND(K336="",N336="",L336=""),"",IF(AND((K336="ALTA"),OR(LEFT(N336,2)="L0",LEFT(N336,2)="L1",L336="No Iniciado")),"CRÍTICO - Incumplimiento Normativo SEPS",IF(AND(OR(LEFT(N336,2)="L4",LEFT(N336,2)="L5"),AND(P336&lt;&gt;"",P336&lt;&gt;"N/A")),"CONFORME - Control Efectivo ISO 27001","OBSERVACIÓN - Revisar Controles")))</f>
        <v/>
      </c>
    </row>
    <row r="337">
      <c r="A337">
        <f>IF(INVENTARIO!A337="","",INVENTARIO!A337)</f>
        <v/>
      </c>
      <c r="B337">
        <f>IF(INVENTARIO!E337="","",INVENTARIO!E337)</f>
        <v/>
      </c>
      <c r="C337">
        <f>IF(INVENTARIO!F337="","",INVENTARIO!F337)</f>
        <v/>
      </c>
      <c r="D337">
        <f>IF(INVENTARIO!H337="","",INVENTARIO!H337)</f>
        <v/>
      </c>
      <c r="E337">
        <f>IF(INVENTARIO!I337="","",INVENTARIO!I337)</f>
        <v/>
      </c>
      <c r="F337">
        <f>IF(INVENTARIO!N337="","",INVENTARIO!N337)</f>
        <v/>
      </c>
      <c r="G337">
        <f>IF(INVENTARIO!P337="","",INVENTARIO!P337)</f>
        <v/>
      </c>
      <c r="H337">
        <f>IF(INVENTARIO!Q337="","",INVENTARIO!Q337)</f>
        <v/>
      </c>
      <c r="I337">
        <f>IF(INVENTARIO!R337="","",INVENTARIO!R337)</f>
        <v/>
      </c>
      <c r="J337">
        <f>IF(G337="PUBLICA(1)",1,IF(G337="USO INTERNO(2)",2,IF(G337="RESTRINGIDO(3)",3,0)))+IF(H337="BAJA(1)",1,IF(H337="MEDIA(2)",2,IF(H337="ALTA(3)",3,0)))+IF(I337="BAJA(1)",1,IF(I337="MEDIA(2)",2,IF(I337="ALTA(3)",3,0)))</f>
        <v/>
      </c>
      <c r="K337">
        <f>IF(J337="", "", IF(J337&gt;=8,"ALTA",IF(J337&gt;=6,"MEDIA","BAJA")))</f>
        <v/>
      </c>
      <c r="L337">
        <f>IF(INVENTARIO!Y337="","",INVENTARIO!Y337)</f>
        <v/>
      </c>
      <c r="M337">
        <f>IF(INVENTARIO!Z337="","",INVENTARIO!Z337)</f>
        <v/>
      </c>
      <c r="N337">
        <f>IF(INVENTARIO!AA337="","",INVENTARIO!AA337)</f>
        <v/>
      </c>
      <c r="O337">
        <f>IF(INVENTARIO!AB337="","",INVENTARIO!AB337)</f>
        <v/>
      </c>
      <c r="P337">
        <f>IF(INVENTARIO!AC337="","",INVENTARIO!AC337)</f>
        <v/>
      </c>
      <c r="Q337">
        <f>IF(AND(K337="",N337="",L337=""),"",IF(AND((K337="ALTA"),OR(LEFT(N337,2)="L0",LEFT(N337,2)="L1",L337="No Iniciado")),"CRÍTICO - Incumplimiento Normativo SEPS",IF(AND(OR(LEFT(N337,2)="L4",LEFT(N337,2)="L5"),AND(P337&lt;&gt;"",P337&lt;&gt;"N/A")),"CONFORME - Control Efectivo ISO 27001","OBSERVACIÓN - Revisar Controles")))</f>
        <v/>
      </c>
    </row>
    <row r="338">
      <c r="A338">
        <f>IF(INVENTARIO!A338="","",INVENTARIO!A338)</f>
        <v/>
      </c>
      <c r="B338">
        <f>IF(INVENTARIO!E338="","",INVENTARIO!E338)</f>
        <v/>
      </c>
      <c r="C338">
        <f>IF(INVENTARIO!F338="","",INVENTARIO!F338)</f>
        <v/>
      </c>
      <c r="D338">
        <f>IF(INVENTARIO!H338="","",INVENTARIO!H338)</f>
        <v/>
      </c>
      <c r="E338">
        <f>IF(INVENTARIO!I338="","",INVENTARIO!I338)</f>
        <v/>
      </c>
      <c r="F338">
        <f>IF(INVENTARIO!N338="","",INVENTARIO!N338)</f>
        <v/>
      </c>
      <c r="G338">
        <f>IF(INVENTARIO!P338="","",INVENTARIO!P338)</f>
        <v/>
      </c>
      <c r="H338">
        <f>IF(INVENTARIO!Q338="","",INVENTARIO!Q338)</f>
        <v/>
      </c>
      <c r="I338">
        <f>IF(INVENTARIO!R338="","",INVENTARIO!R338)</f>
        <v/>
      </c>
      <c r="J338">
        <f>IF(G338="PUBLICA(1)",1,IF(G338="USO INTERNO(2)",2,IF(G338="RESTRINGIDO(3)",3,0)))+IF(H338="BAJA(1)",1,IF(H338="MEDIA(2)",2,IF(H338="ALTA(3)",3,0)))+IF(I338="BAJA(1)",1,IF(I338="MEDIA(2)",2,IF(I338="ALTA(3)",3,0)))</f>
        <v/>
      </c>
      <c r="K338">
        <f>IF(J338="", "", IF(J338&gt;=8,"ALTA",IF(J338&gt;=6,"MEDIA","BAJA")))</f>
        <v/>
      </c>
      <c r="L338">
        <f>IF(INVENTARIO!Y338="","",INVENTARIO!Y338)</f>
        <v/>
      </c>
      <c r="M338">
        <f>IF(INVENTARIO!Z338="","",INVENTARIO!Z338)</f>
        <v/>
      </c>
      <c r="N338">
        <f>IF(INVENTARIO!AA338="","",INVENTARIO!AA338)</f>
        <v/>
      </c>
      <c r="O338">
        <f>IF(INVENTARIO!AB338="","",INVENTARIO!AB338)</f>
        <v/>
      </c>
      <c r="P338">
        <f>IF(INVENTARIO!AC338="","",INVENTARIO!AC338)</f>
        <v/>
      </c>
      <c r="Q338">
        <f>IF(AND(K338="",N338="",L338=""),"",IF(AND((K338="ALTA"),OR(LEFT(N338,2)="L0",LEFT(N338,2)="L1",L338="No Iniciado")),"CRÍTICO - Incumplimiento Normativo SEPS",IF(AND(OR(LEFT(N338,2)="L4",LEFT(N338,2)="L5"),AND(P338&lt;&gt;"",P338&lt;&gt;"N/A")),"CONFORME - Control Efectivo ISO 27001","OBSERVACIÓN - Revisar Controles")))</f>
        <v/>
      </c>
    </row>
    <row r="339">
      <c r="A339">
        <f>IF(INVENTARIO!A339="","",INVENTARIO!A339)</f>
        <v/>
      </c>
      <c r="B339">
        <f>IF(INVENTARIO!E339="","",INVENTARIO!E339)</f>
        <v/>
      </c>
      <c r="C339">
        <f>IF(INVENTARIO!F339="","",INVENTARIO!F339)</f>
        <v/>
      </c>
      <c r="D339">
        <f>IF(INVENTARIO!H339="","",INVENTARIO!H339)</f>
        <v/>
      </c>
      <c r="E339">
        <f>IF(INVENTARIO!I339="","",INVENTARIO!I339)</f>
        <v/>
      </c>
      <c r="F339">
        <f>IF(INVENTARIO!N339="","",INVENTARIO!N339)</f>
        <v/>
      </c>
      <c r="G339">
        <f>IF(INVENTARIO!P339="","",INVENTARIO!P339)</f>
        <v/>
      </c>
      <c r="H339">
        <f>IF(INVENTARIO!Q339="","",INVENTARIO!Q339)</f>
        <v/>
      </c>
      <c r="I339">
        <f>IF(INVENTARIO!R339="","",INVENTARIO!R339)</f>
        <v/>
      </c>
      <c r="J339">
        <f>IF(G339="PUBLICA(1)",1,IF(G339="USO INTERNO(2)",2,IF(G339="RESTRINGIDO(3)",3,0)))+IF(H339="BAJA(1)",1,IF(H339="MEDIA(2)",2,IF(H339="ALTA(3)",3,0)))+IF(I339="BAJA(1)",1,IF(I339="MEDIA(2)",2,IF(I339="ALTA(3)",3,0)))</f>
        <v/>
      </c>
      <c r="K339">
        <f>IF(J339="", "", IF(J339&gt;=8,"ALTA",IF(J339&gt;=6,"MEDIA","BAJA")))</f>
        <v/>
      </c>
      <c r="L339">
        <f>IF(INVENTARIO!Y339="","",INVENTARIO!Y339)</f>
        <v/>
      </c>
      <c r="M339">
        <f>IF(INVENTARIO!Z339="","",INVENTARIO!Z339)</f>
        <v/>
      </c>
      <c r="N339">
        <f>IF(INVENTARIO!AA339="","",INVENTARIO!AA339)</f>
        <v/>
      </c>
      <c r="O339">
        <f>IF(INVENTARIO!AB339="","",INVENTARIO!AB339)</f>
        <v/>
      </c>
      <c r="P339">
        <f>IF(INVENTARIO!AC339="","",INVENTARIO!AC339)</f>
        <v/>
      </c>
      <c r="Q339">
        <f>IF(AND(K339="",N339="",L339=""),"",IF(AND((K339="ALTA"),OR(LEFT(N339,2)="L0",LEFT(N339,2)="L1",L339="No Iniciado")),"CRÍTICO - Incumplimiento Normativo SEPS",IF(AND(OR(LEFT(N339,2)="L4",LEFT(N339,2)="L5"),AND(P339&lt;&gt;"",P339&lt;&gt;"N/A")),"CONFORME - Control Efectivo ISO 27001","OBSERVACIÓN - Revisar Controles")))</f>
        <v/>
      </c>
    </row>
    <row r="340">
      <c r="A340">
        <f>IF(INVENTARIO!A340="","",INVENTARIO!A340)</f>
        <v/>
      </c>
      <c r="B340">
        <f>IF(INVENTARIO!E340="","",INVENTARIO!E340)</f>
        <v/>
      </c>
      <c r="C340">
        <f>IF(INVENTARIO!F340="","",INVENTARIO!F340)</f>
        <v/>
      </c>
      <c r="D340">
        <f>IF(INVENTARIO!H340="","",INVENTARIO!H340)</f>
        <v/>
      </c>
      <c r="E340">
        <f>IF(INVENTARIO!I340="","",INVENTARIO!I340)</f>
        <v/>
      </c>
      <c r="F340">
        <f>IF(INVENTARIO!N340="","",INVENTARIO!N340)</f>
        <v/>
      </c>
      <c r="G340">
        <f>IF(INVENTARIO!P340="","",INVENTARIO!P340)</f>
        <v/>
      </c>
      <c r="H340">
        <f>IF(INVENTARIO!Q340="","",INVENTARIO!Q340)</f>
        <v/>
      </c>
      <c r="I340">
        <f>IF(INVENTARIO!R340="","",INVENTARIO!R340)</f>
        <v/>
      </c>
      <c r="J340">
        <f>IF(G340="PUBLICA(1)",1,IF(G340="USO INTERNO(2)",2,IF(G340="RESTRINGIDO(3)",3,0)))+IF(H340="BAJA(1)",1,IF(H340="MEDIA(2)",2,IF(H340="ALTA(3)",3,0)))+IF(I340="BAJA(1)",1,IF(I340="MEDIA(2)",2,IF(I340="ALTA(3)",3,0)))</f>
        <v/>
      </c>
      <c r="K340">
        <f>IF(J340="", "", IF(J340&gt;=8,"ALTA",IF(J340&gt;=6,"MEDIA","BAJA")))</f>
        <v/>
      </c>
      <c r="L340">
        <f>IF(INVENTARIO!Y340="","",INVENTARIO!Y340)</f>
        <v/>
      </c>
      <c r="M340">
        <f>IF(INVENTARIO!Z340="","",INVENTARIO!Z340)</f>
        <v/>
      </c>
      <c r="N340">
        <f>IF(INVENTARIO!AA340="","",INVENTARIO!AA340)</f>
        <v/>
      </c>
      <c r="O340">
        <f>IF(INVENTARIO!AB340="","",INVENTARIO!AB340)</f>
        <v/>
      </c>
      <c r="P340">
        <f>IF(INVENTARIO!AC340="","",INVENTARIO!AC340)</f>
        <v/>
      </c>
      <c r="Q340">
        <f>IF(AND(K340="",N340="",L340=""),"",IF(AND((K340="ALTA"),OR(LEFT(N340,2)="L0",LEFT(N340,2)="L1",L340="No Iniciado")),"CRÍTICO - Incumplimiento Normativo SEPS",IF(AND(OR(LEFT(N340,2)="L4",LEFT(N340,2)="L5"),AND(P340&lt;&gt;"",P340&lt;&gt;"N/A")),"CONFORME - Control Efectivo ISO 27001","OBSERVACIÓN - Revisar Controles")))</f>
        <v/>
      </c>
    </row>
    <row r="341">
      <c r="A341">
        <f>IF(INVENTARIO!A341="","",INVENTARIO!A341)</f>
        <v/>
      </c>
      <c r="B341">
        <f>IF(INVENTARIO!E341="","",INVENTARIO!E341)</f>
        <v/>
      </c>
      <c r="C341">
        <f>IF(INVENTARIO!F341="","",INVENTARIO!F341)</f>
        <v/>
      </c>
      <c r="D341">
        <f>IF(INVENTARIO!H341="","",INVENTARIO!H341)</f>
        <v/>
      </c>
      <c r="E341">
        <f>IF(INVENTARIO!I341="","",INVENTARIO!I341)</f>
        <v/>
      </c>
      <c r="F341">
        <f>IF(INVENTARIO!N341="","",INVENTARIO!N341)</f>
        <v/>
      </c>
      <c r="G341">
        <f>IF(INVENTARIO!P341="","",INVENTARIO!P341)</f>
        <v/>
      </c>
      <c r="H341">
        <f>IF(INVENTARIO!Q341="","",INVENTARIO!Q341)</f>
        <v/>
      </c>
      <c r="I341">
        <f>IF(INVENTARIO!R341="","",INVENTARIO!R341)</f>
        <v/>
      </c>
      <c r="J341">
        <f>IF(G341="PUBLICA(1)",1,IF(G341="USO INTERNO(2)",2,IF(G341="RESTRINGIDO(3)",3,0)))+IF(H341="BAJA(1)",1,IF(H341="MEDIA(2)",2,IF(H341="ALTA(3)",3,0)))+IF(I341="BAJA(1)",1,IF(I341="MEDIA(2)",2,IF(I341="ALTA(3)",3,0)))</f>
        <v/>
      </c>
      <c r="K341">
        <f>IF(J341="", "", IF(J341&gt;=8,"ALTA",IF(J341&gt;=6,"MEDIA","BAJA")))</f>
        <v/>
      </c>
      <c r="L341">
        <f>IF(INVENTARIO!Y341="","",INVENTARIO!Y341)</f>
        <v/>
      </c>
      <c r="M341">
        <f>IF(INVENTARIO!Z341="","",INVENTARIO!Z341)</f>
        <v/>
      </c>
      <c r="N341">
        <f>IF(INVENTARIO!AA341="","",INVENTARIO!AA341)</f>
        <v/>
      </c>
      <c r="O341">
        <f>IF(INVENTARIO!AB341="","",INVENTARIO!AB341)</f>
        <v/>
      </c>
      <c r="P341">
        <f>IF(INVENTARIO!AC341="","",INVENTARIO!AC341)</f>
        <v/>
      </c>
      <c r="Q341">
        <f>IF(AND(K341="",N341="",L341=""),"",IF(AND((K341="ALTA"),OR(LEFT(N341,2)="L0",LEFT(N341,2)="L1",L341="No Iniciado")),"CRÍTICO - Incumplimiento Normativo SEPS",IF(AND(OR(LEFT(N341,2)="L4",LEFT(N341,2)="L5"),AND(P341&lt;&gt;"",P341&lt;&gt;"N/A")),"CONFORME - Control Efectivo ISO 27001","OBSERVACIÓN - Revisar Controles")))</f>
        <v/>
      </c>
    </row>
    <row r="342">
      <c r="A342">
        <f>IF(INVENTARIO!A342="","",INVENTARIO!A342)</f>
        <v/>
      </c>
      <c r="B342">
        <f>IF(INVENTARIO!E342="","",INVENTARIO!E342)</f>
        <v/>
      </c>
      <c r="C342">
        <f>IF(INVENTARIO!F342="","",INVENTARIO!F342)</f>
        <v/>
      </c>
      <c r="D342">
        <f>IF(INVENTARIO!H342="","",INVENTARIO!H342)</f>
        <v/>
      </c>
      <c r="E342">
        <f>IF(INVENTARIO!I342="","",INVENTARIO!I342)</f>
        <v/>
      </c>
      <c r="F342">
        <f>IF(INVENTARIO!N342="","",INVENTARIO!N342)</f>
        <v/>
      </c>
      <c r="G342">
        <f>IF(INVENTARIO!P342="","",INVENTARIO!P342)</f>
        <v/>
      </c>
      <c r="H342">
        <f>IF(INVENTARIO!Q342="","",INVENTARIO!Q342)</f>
        <v/>
      </c>
      <c r="I342">
        <f>IF(INVENTARIO!R342="","",INVENTARIO!R342)</f>
        <v/>
      </c>
      <c r="J342">
        <f>IF(G342="PUBLICA(1)",1,IF(G342="USO INTERNO(2)",2,IF(G342="RESTRINGIDO(3)",3,0)))+IF(H342="BAJA(1)",1,IF(H342="MEDIA(2)",2,IF(H342="ALTA(3)",3,0)))+IF(I342="BAJA(1)",1,IF(I342="MEDIA(2)",2,IF(I342="ALTA(3)",3,0)))</f>
        <v/>
      </c>
      <c r="K342">
        <f>IF(J342="", "", IF(J342&gt;=8,"ALTA",IF(J342&gt;=6,"MEDIA","BAJA")))</f>
        <v/>
      </c>
      <c r="L342">
        <f>IF(INVENTARIO!Y342="","",INVENTARIO!Y342)</f>
        <v/>
      </c>
      <c r="M342">
        <f>IF(INVENTARIO!Z342="","",INVENTARIO!Z342)</f>
        <v/>
      </c>
      <c r="N342">
        <f>IF(INVENTARIO!AA342="","",INVENTARIO!AA342)</f>
        <v/>
      </c>
      <c r="O342">
        <f>IF(INVENTARIO!AB342="","",INVENTARIO!AB342)</f>
        <v/>
      </c>
      <c r="P342">
        <f>IF(INVENTARIO!AC342="","",INVENTARIO!AC342)</f>
        <v/>
      </c>
      <c r="Q342">
        <f>IF(AND(K342="",N342="",L342=""),"",IF(AND((K342="ALTA"),OR(LEFT(N342,2)="L0",LEFT(N342,2)="L1",L342="No Iniciado")),"CRÍTICO - Incumplimiento Normativo SEPS",IF(AND(OR(LEFT(N342,2)="L4",LEFT(N342,2)="L5"),AND(P342&lt;&gt;"",P342&lt;&gt;"N/A")),"CONFORME - Control Efectivo ISO 27001","OBSERVACIÓN - Revisar Controles")))</f>
        <v/>
      </c>
    </row>
    <row r="343">
      <c r="A343">
        <f>IF(INVENTARIO!A343="","",INVENTARIO!A343)</f>
        <v/>
      </c>
      <c r="B343">
        <f>IF(INVENTARIO!E343="","",INVENTARIO!E343)</f>
        <v/>
      </c>
      <c r="C343">
        <f>IF(INVENTARIO!F343="","",INVENTARIO!F343)</f>
        <v/>
      </c>
      <c r="D343">
        <f>IF(INVENTARIO!H343="","",INVENTARIO!H343)</f>
        <v/>
      </c>
      <c r="E343">
        <f>IF(INVENTARIO!I343="","",INVENTARIO!I343)</f>
        <v/>
      </c>
      <c r="F343">
        <f>IF(INVENTARIO!N343="","",INVENTARIO!N343)</f>
        <v/>
      </c>
      <c r="G343">
        <f>IF(INVENTARIO!P343="","",INVENTARIO!P343)</f>
        <v/>
      </c>
      <c r="H343">
        <f>IF(INVENTARIO!Q343="","",INVENTARIO!Q343)</f>
        <v/>
      </c>
      <c r="I343">
        <f>IF(INVENTARIO!R343="","",INVENTARIO!R343)</f>
        <v/>
      </c>
      <c r="J343">
        <f>IF(G343="PUBLICA(1)",1,IF(G343="USO INTERNO(2)",2,IF(G343="RESTRINGIDO(3)",3,0)))+IF(H343="BAJA(1)",1,IF(H343="MEDIA(2)",2,IF(H343="ALTA(3)",3,0)))+IF(I343="BAJA(1)",1,IF(I343="MEDIA(2)",2,IF(I343="ALTA(3)",3,0)))</f>
        <v/>
      </c>
      <c r="K343">
        <f>IF(J343="", "", IF(J343&gt;=8,"ALTA",IF(J343&gt;=6,"MEDIA","BAJA")))</f>
        <v/>
      </c>
      <c r="L343">
        <f>IF(INVENTARIO!Y343="","",INVENTARIO!Y343)</f>
        <v/>
      </c>
      <c r="M343">
        <f>IF(INVENTARIO!Z343="","",INVENTARIO!Z343)</f>
        <v/>
      </c>
      <c r="N343">
        <f>IF(INVENTARIO!AA343="","",INVENTARIO!AA343)</f>
        <v/>
      </c>
      <c r="O343">
        <f>IF(INVENTARIO!AB343="","",INVENTARIO!AB343)</f>
        <v/>
      </c>
      <c r="P343">
        <f>IF(INVENTARIO!AC343="","",INVENTARIO!AC343)</f>
        <v/>
      </c>
      <c r="Q343">
        <f>IF(AND(K343="",N343="",L343=""),"",IF(AND((K343="ALTA"),OR(LEFT(N343,2)="L0",LEFT(N343,2)="L1",L343="No Iniciado")),"CRÍTICO - Incumplimiento Normativo SEPS",IF(AND(OR(LEFT(N343,2)="L4",LEFT(N343,2)="L5"),AND(P343&lt;&gt;"",P343&lt;&gt;"N/A")),"CONFORME - Control Efectivo ISO 27001","OBSERVACIÓN - Revisar Controles")))</f>
        <v/>
      </c>
    </row>
    <row r="344">
      <c r="A344">
        <f>IF(INVENTARIO!A344="","",INVENTARIO!A344)</f>
        <v/>
      </c>
      <c r="B344">
        <f>IF(INVENTARIO!E344="","",INVENTARIO!E344)</f>
        <v/>
      </c>
      <c r="C344">
        <f>IF(INVENTARIO!F344="","",INVENTARIO!F344)</f>
        <v/>
      </c>
      <c r="D344">
        <f>IF(INVENTARIO!H344="","",INVENTARIO!H344)</f>
        <v/>
      </c>
      <c r="E344">
        <f>IF(INVENTARIO!I344="","",INVENTARIO!I344)</f>
        <v/>
      </c>
      <c r="F344">
        <f>IF(INVENTARIO!N344="","",INVENTARIO!N344)</f>
        <v/>
      </c>
      <c r="G344">
        <f>IF(INVENTARIO!P344="","",INVENTARIO!P344)</f>
        <v/>
      </c>
      <c r="H344">
        <f>IF(INVENTARIO!Q344="","",INVENTARIO!Q344)</f>
        <v/>
      </c>
      <c r="I344">
        <f>IF(INVENTARIO!R344="","",INVENTARIO!R344)</f>
        <v/>
      </c>
      <c r="J344">
        <f>IF(G344="PUBLICA(1)",1,IF(G344="USO INTERNO(2)",2,IF(G344="RESTRINGIDO(3)",3,0)))+IF(H344="BAJA(1)",1,IF(H344="MEDIA(2)",2,IF(H344="ALTA(3)",3,0)))+IF(I344="BAJA(1)",1,IF(I344="MEDIA(2)",2,IF(I344="ALTA(3)",3,0)))</f>
        <v/>
      </c>
      <c r="K344">
        <f>IF(J344="", "", IF(J344&gt;=8,"ALTA",IF(J344&gt;=6,"MEDIA","BAJA")))</f>
        <v/>
      </c>
      <c r="L344">
        <f>IF(INVENTARIO!Y344="","",INVENTARIO!Y344)</f>
        <v/>
      </c>
      <c r="M344">
        <f>IF(INVENTARIO!Z344="","",INVENTARIO!Z344)</f>
        <v/>
      </c>
      <c r="N344">
        <f>IF(INVENTARIO!AA344="","",INVENTARIO!AA344)</f>
        <v/>
      </c>
      <c r="O344">
        <f>IF(INVENTARIO!AB344="","",INVENTARIO!AB344)</f>
        <v/>
      </c>
      <c r="P344">
        <f>IF(INVENTARIO!AC344="","",INVENTARIO!AC344)</f>
        <v/>
      </c>
      <c r="Q344">
        <f>IF(AND(K344="",N344="",L344=""),"",IF(AND((K344="ALTA"),OR(LEFT(N344,2)="L0",LEFT(N344,2)="L1",L344="No Iniciado")),"CRÍTICO - Incumplimiento Normativo SEPS",IF(AND(OR(LEFT(N344,2)="L4",LEFT(N344,2)="L5"),AND(P344&lt;&gt;"",P344&lt;&gt;"N/A")),"CONFORME - Control Efectivo ISO 27001","OBSERVACIÓN - Revisar Controles")))</f>
        <v/>
      </c>
    </row>
    <row r="345">
      <c r="A345">
        <f>IF(INVENTARIO!A345="","",INVENTARIO!A345)</f>
        <v/>
      </c>
      <c r="B345">
        <f>IF(INVENTARIO!E345="","",INVENTARIO!E345)</f>
        <v/>
      </c>
      <c r="C345">
        <f>IF(INVENTARIO!F345="","",INVENTARIO!F345)</f>
        <v/>
      </c>
      <c r="D345">
        <f>IF(INVENTARIO!H345="","",INVENTARIO!H345)</f>
        <v/>
      </c>
      <c r="E345">
        <f>IF(INVENTARIO!I345="","",INVENTARIO!I345)</f>
        <v/>
      </c>
      <c r="F345">
        <f>IF(INVENTARIO!N345="","",INVENTARIO!N345)</f>
        <v/>
      </c>
      <c r="G345">
        <f>IF(INVENTARIO!P345="","",INVENTARIO!P345)</f>
        <v/>
      </c>
      <c r="H345">
        <f>IF(INVENTARIO!Q345="","",INVENTARIO!Q345)</f>
        <v/>
      </c>
      <c r="I345">
        <f>IF(INVENTARIO!R345="","",INVENTARIO!R345)</f>
        <v/>
      </c>
      <c r="J345">
        <f>IF(G345="PUBLICA(1)",1,IF(G345="USO INTERNO(2)",2,IF(G345="RESTRINGIDO(3)",3,0)))+IF(H345="BAJA(1)",1,IF(H345="MEDIA(2)",2,IF(H345="ALTA(3)",3,0)))+IF(I345="BAJA(1)",1,IF(I345="MEDIA(2)",2,IF(I345="ALTA(3)",3,0)))</f>
        <v/>
      </c>
      <c r="K345">
        <f>IF(J345="", "", IF(J345&gt;=8,"ALTA",IF(J345&gt;=6,"MEDIA","BAJA")))</f>
        <v/>
      </c>
      <c r="L345">
        <f>IF(INVENTARIO!Y345="","",INVENTARIO!Y345)</f>
        <v/>
      </c>
      <c r="M345">
        <f>IF(INVENTARIO!Z345="","",INVENTARIO!Z345)</f>
        <v/>
      </c>
      <c r="N345">
        <f>IF(INVENTARIO!AA345="","",INVENTARIO!AA345)</f>
        <v/>
      </c>
      <c r="O345">
        <f>IF(INVENTARIO!AB345="","",INVENTARIO!AB345)</f>
        <v/>
      </c>
      <c r="P345">
        <f>IF(INVENTARIO!AC345="","",INVENTARIO!AC345)</f>
        <v/>
      </c>
      <c r="Q345">
        <f>IF(AND(K345="",N345="",L345=""),"",IF(AND((K345="ALTA"),OR(LEFT(N345,2)="L0",LEFT(N345,2)="L1",L345="No Iniciado")),"CRÍTICO - Incumplimiento Normativo SEPS",IF(AND(OR(LEFT(N345,2)="L4",LEFT(N345,2)="L5"),AND(P345&lt;&gt;"",P345&lt;&gt;"N/A")),"CONFORME - Control Efectivo ISO 27001","OBSERVACIÓN - Revisar Controles")))</f>
        <v/>
      </c>
    </row>
    <row r="346">
      <c r="A346">
        <f>IF(INVENTARIO!A346="","",INVENTARIO!A346)</f>
        <v/>
      </c>
      <c r="B346">
        <f>IF(INVENTARIO!E346="","",INVENTARIO!E346)</f>
        <v/>
      </c>
      <c r="C346">
        <f>IF(INVENTARIO!F346="","",INVENTARIO!F346)</f>
        <v/>
      </c>
      <c r="D346">
        <f>IF(INVENTARIO!H346="","",INVENTARIO!H346)</f>
        <v/>
      </c>
      <c r="E346">
        <f>IF(INVENTARIO!I346="","",INVENTARIO!I346)</f>
        <v/>
      </c>
      <c r="F346">
        <f>IF(INVENTARIO!N346="","",INVENTARIO!N346)</f>
        <v/>
      </c>
      <c r="G346">
        <f>IF(INVENTARIO!P346="","",INVENTARIO!P346)</f>
        <v/>
      </c>
      <c r="H346">
        <f>IF(INVENTARIO!Q346="","",INVENTARIO!Q346)</f>
        <v/>
      </c>
      <c r="I346">
        <f>IF(INVENTARIO!R346="","",INVENTARIO!R346)</f>
        <v/>
      </c>
      <c r="J346">
        <f>IF(G346="PUBLICA(1)",1,IF(G346="USO INTERNO(2)",2,IF(G346="RESTRINGIDO(3)",3,0)))+IF(H346="BAJA(1)",1,IF(H346="MEDIA(2)",2,IF(H346="ALTA(3)",3,0)))+IF(I346="BAJA(1)",1,IF(I346="MEDIA(2)",2,IF(I346="ALTA(3)",3,0)))</f>
        <v/>
      </c>
      <c r="K346">
        <f>IF(J346="", "", IF(J346&gt;=8,"ALTA",IF(J346&gt;=6,"MEDIA","BAJA")))</f>
        <v/>
      </c>
      <c r="L346">
        <f>IF(INVENTARIO!Y346="","",INVENTARIO!Y346)</f>
        <v/>
      </c>
      <c r="M346">
        <f>IF(INVENTARIO!Z346="","",INVENTARIO!Z346)</f>
        <v/>
      </c>
      <c r="N346">
        <f>IF(INVENTARIO!AA346="","",INVENTARIO!AA346)</f>
        <v/>
      </c>
      <c r="O346">
        <f>IF(INVENTARIO!AB346="","",INVENTARIO!AB346)</f>
        <v/>
      </c>
      <c r="P346">
        <f>IF(INVENTARIO!AC346="","",INVENTARIO!AC346)</f>
        <v/>
      </c>
      <c r="Q346">
        <f>IF(AND(K346="",N346="",L346=""),"",IF(AND((K346="ALTA"),OR(LEFT(N346,2)="L0",LEFT(N346,2)="L1",L346="No Iniciado")),"CRÍTICO - Incumplimiento Normativo SEPS",IF(AND(OR(LEFT(N346,2)="L4",LEFT(N346,2)="L5"),AND(P346&lt;&gt;"",P346&lt;&gt;"N/A")),"CONFORME - Control Efectivo ISO 27001","OBSERVACIÓN - Revisar Controles")))</f>
        <v/>
      </c>
    </row>
    <row r="347">
      <c r="A347">
        <f>IF(INVENTARIO!A347="","",INVENTARIO!A347)</f>
        <v/>
      </c>
      <c r="B347">
        <f>IF(INVENTARIO!E347="","",INVENTARIO!E347)</f>
        <v/>
      </c>
      <c r="C347">
        <f>IF(INVENTARIO!F347="","",INVENTARIO!F347)</f>
        <v/>
      </c>
      <c r="D347">
        <f>IF(INVENTARIO!H347="","",INVENTARIO!H347)</f>
        <v/>
      </c>
      <c r="E347">
        <f>IF(INVENTARIO!I347="","",INVENTARIO!I347)</f>
        <v/>
      </c>
      <c r="F347">
        <f>IF(INVENTARIO!N347="","",INVENTARIO!N347)</f>
        <v/>
      </c>
      <c r="G347">
        <f>IF(INVENTARIO!P347="","",INVENTARIO!P347)</f>
        <v/>
      </c>
      <c r="H347">
        <f>IF(INVENTARIO!Q347="","",INVENTARIO!Q347)</f>
        <v/>
      </c>
      <c r="I347">
        <f>IF(INVENTARIO!R347="","",INVENTARIO!R347)</f>
        <v/>
      </c>
      <c r="J347">
        <f>IF(G347="PUBLICA(1)",1,IF(G347="USO INTERNO(2)",2,IF(G347="RESTRINGIDO(3)",3,0)))+IF(H347="BAJA(1)",1,IF(H347="MEDIA(2)",2,IF(H347="ALTA(3)",3,0)))+IF(I347="BAJA(1)",1,IF(I347="MEDIA(2)",2,IF(I347="ALTA(3)",3,0)))</f>
        <v/>
      </c>
      <c r="K347">
        <f>IF(J347="", "", IF(J347&gt;=8,"ALTA",IF(J347&gt;=6,"MEDIA","BAJA")))</f>
        <v/>
      </c>
      <c r="L347">
        <f>IF(INVENTARIO!Y347="","",INVENTARIO!Y347)</f>
        <v/>
      </c>
      <c r="M347">
        <f>IF(INVENTARIO!Z347="","",INVENTARIO!Z347)</f>
        <v/>
      </c>
      <c r="N347">
        <f>IF(INVENTARIO!AA347="","",INVENTARIO!AA347)</f>
        <v/>
      </c>
      <c r="O347">
        <f>IF(INVENTARIO!AB347="","",INVENTARIO!AB347)</f>
        <v/>
      </c>
      <c r="P347">
        <f>IF(INVENTARIO!AC347="","",INVENTARIO!AC347)</f>
        <v/>
      </c>
      <c r="Q347">
        <f>IF(AND(K347="",N347="",L347=""),"",IF(AND((K347="ALTA"),OR(LEFT(N347,2)="L0",LEFT(N347,2)="L1",L347="No Iniciado")),"CRÍTICO - Incumplimiento Normativo SEPS",IF(AND(OR(LEFT(N347,2)="L4",LEFT(N347,2)="L5"),AND(P347&lt;&gt;"",P347&lt;&gt;"N/A")),"CONFORME - Control Efectivo ISO 27001","OBSERVACIÓN - Revisar Controles")))</f>
        <v/>
      </c>
    </row>
    <row r="348">
      <c r="A348">
        <f>IF(INVENTARIO!A348="","",INVENTARIO!A348)</f>
        <v/>
      </c>
      <c r="B348">
        <f>IF(INVENTARIO!E348="","",INVENTARIO!E348)</f>
        <v/>
      </c>
      <c r="C348">
        <f>IF(INVENTARIO!F348="","",INVENTARIO!F348)</f>
        <v/>
      </c>
      <c r="D348">
        <f>IF(INVENTARIO!H348="","",INVENTARIO!H348)</f>
        <v/>
      </c>
      <c r="E348">
        <f>IF(INVENTARIO!I348="","",INVENTARIO!I348)</f>
        <v/>
      </c>
      <c r="F348">
        <f>IF(INVENTARIO!N348="","",INVENTARIO!N348)</f>
        <v/>
      </c>
      <c r="G348">
        <f>IF(INVENTARIO!P348="","",INVENTARIO!P348)</f>
        <v/>
      </c>
      <c r="H348">
        <f>IF(INVENTARIO!Q348="","",INVENTARIO!Q348)</f>
        <v/>
      </c>
      <c r="I348">
        <f>IF(INVENTARIO!R348="","",INVENTARIO!R348)</f>
        <v/>
      </c>
      <c r="J348">
        <f>IF(G348="PUBLICA(1)",1,IF(G348="USO INTERNO(2)",2,IF(G348="RESTRINGIDO(3)",3,0)))+IF(H348="BAJA(1)",1,IF(H348="MEDIA(2)",2,IF(H348="ALTA(3)",3,0)))+IF(I348="BAJA(1)",1,IF(I348="MEDIA(2)",2,IF(I348="ALTA(3)",3,0)))</f>
        <v/>
      </c>
      <c r="K348">
        <f>IF(J348="", "", IF(J348&gt;=8,"ALTA",IF(J348&gt;=6,"MEDIA","BAJA")))</f>
        <v/>
      </c>
      <c r="L348">
        <f>IF(INVENTARIO!Y348="","",INVENTARIO!Y348)</f>
        <v/>
      </c>
      <c r="M348">
        <f>IF(INVENTARIO!Z348="","",INVENTARIO!Z348)</f>
        <v/>
      </c>
      <c r="N348">
        <f>IF(INVENTARIO!AA348="","",INVENTARIO!AA348)</f>
        <v/>
      </c>
      <c r="O348">
        <f>IF(INVENTARIO!AB348="","",INVENTARIO!AB348)</f>
        <v/>
      </c>
      <c r="P348">
        <f>IF(INVENTARIO!AC348="","",INVENTARIO!AC348)</f>
        <v/>
      </c>
      <c r="Q348">
        <f>IF(AND(K348="",N348="",L348=""),"",IF(AND((K348="ALTA"),OR(LEFT(N348,2)="L0",LEFT(N348,2)="L1",L348="No Iniciado")),"CRÍTICO - Incumplimiento Normativo SEPS",IF(AND(OR(LEFT(N348,2)="L4",LEFT(N348,2)="L5"),AND(P348&lt;&gt;"",P348&lt;&gt;"N/A")),"CONFORME - Control Efectivo ISO 27001","OBSERVACIÓN - Revisar Controles")))</f>
        <v/>
      </c>
    </row>
    <row r="349">
      <c r="A349">
        <f>IF(INVENTARIO!A349="","",INVENTARIO!A349)</f>
        <v/>
      </c>
      <c r="B349">
        <f>IF(INVENTARIO!E349="","",INVENTARIO!E349)</f>
        <v/>
      </c>
      <c r="C349">
        <f>IF(INVENTARIO!F349="","",INVENTARIO!F349)</f>
        <v/>
      </c>
      <c r="D349">
        <f>IF(INVENTARIO!H349="","",INVENTARIO!H349)</f>
        <v/>
      </c>
      <c r="E349">
        <f>IF(INVENTARIO!I349="","",INVENTARIO!I349)</f>
        <v/>
      </c>
      <c r="F349">
        <f>IF(INVENTARIO!N349="","",INVENTARIO!N349)</f>
        <v/>
      </c>
      <c r="G349">
        <f>IF(INVENTARIO!P349="","",INVENTARIO!P349)</f>
        <v/>
      </c>
      <c r="H349">
        <f>IF(INVENTARIO!Q349="","",INVENTARIO!Q349)</f>
        <v/>
      </c>
      <c r="I349">
        <f>IF(INVENTARIO!R349="","",INVENTARIO!R349)</f>
        <v/>
      </c>
      <c r="J349">
        <f>IF(G349="PUBLICA(1)",1,IF(G349="USO INTERNO(2)",2,IF(G349="RESTRINGIDO(3)",3,0)))+IF(H349="BAJA(1)",1,IF(H349="MEDIA(2)",2,IF(H349="ALTA(3)",3,0)))+IF(I349="BAJA(1)",1,IF(I349="MEDIA(2)",2,IF(I349="ALTA(3)",3,0)))</f>
        <v/>
      </c>
      <c r="K349">
        <f>IF(J349="", "", IF(J349&gt;=8,"ALTA",IF(J349&gt;=6,"MEDIA","BAJA")))</f>
        <v/>
      </c>
      <c r="L349">
        <f>IF(INVENTARIO!Y349="","",INVENTARIO!Y349)</f>
        <v/>
      </c>
      <c r="M349">
        <f>IF(INVENTARIO!Z349="","",INVENTARIO!Z349)</f>
        <v/>
      </c>
      <c r="N349">
        <f>IF(INVENTARIO!AA349="","",INVENTARIO!AA349)</f>
        <v/>
      </c>
      <c r="O349">
        <f>IF(INVENTARIO!AB349="","",INVENTARIO!AB349)</f>
        <v/>
      </c>
      <c r="P349">
        <f>IF(INVENTARIO!AC349="","",INVENTARIO!AC349)</f>
        <v/>
      </c>
      <c r="Q349">
        <f>IF(AND(K349="",N349="",L349=""),"",IF(AND((K349="ALTA"),OR(LEFT(N349,2)="L0",LEFT(N349,2)="L1",L349="No Iniciado")),"CRÍTICO - Incumplimiento Normativo SEPS",IF(AND(OR(LEFT(N349,2)="L4",LEFT(N349,2)="L5"),AND(P349&lt;&gt;"",P349&lt;&gt;"N/A")),"CONFORME - Control Efectivo ISO 27001","OBSERVACIÓN - Revisar Controles")))</f>
        <v/>
      </c>
    </row>
    <row r="350">
      <c r="A350">
        <f>IF(INVENTARIO!A350="","",INVENTARIO!A350)</f>
        <v/>
      </c>
      <c r="B350">
        <f>IF(INVENTARIO!E350="","",INVENTARIO!E350)</f>
        <v/>
      </c>
      <c r="C350">
        <f>IF(INVENTARIO!F350="","",INVENTARIO!F350)</f>
        <v/>
      </c>
      <c r="D350">
        <f>IF(INVENTARIO!H350="","",INVENTARIO!H350)</f>
        <v/>
      </c>
      <c r="E350">
        <f>IF(INVENTARIO!I350="","",INVENTARIO!I350)</f>
        <v/>
      </c>
      <c r="F350">
        <f>IF(INVENTARIO!N350="","",INVENTARIO!N350)</f>
        <v/>
      </c>
      <c r="G350">
        <f>IF(INVENTARIO!P350="","",INVENTARIO!P350)</f>
        <v/>
      </c>
      <c r="H350">
        <f>IF(INVENTARIO!Q350="","",INVENTARIO!Q350)</f>
        <v/>
      </c>
      <c r="I350">
        <f>IF(INVENTARIO!R350="","",INVENTARIO!R350)</f>
        <v/>
      </c>
      <c r="J350">
        <f>IF(G350="PUBLICA(1)",1,IF(G350="USO INTERNO(2)",2,IF(G350="RESTRINGIDO(3)",3,0)))+IF(H350="BAJA(1)",1,IF(H350="MEDIA(2)",2,IF(H350="ALTA(3)",3,0)))+IF(I350="BAJA(1)",1,IF(I350="MEDIA(2)",2,IF(I350="ALTA(3)",3,0)))</f>
        <v/>
      </c>
      <c r="K350">
        <f>IF(J350="", "", IF(J350&gt;=8,"ALTA",IF(J350&gt;=6,"MEDIA","BAJA")))</f>
        <v/>
      </c>
      <c r="L350">
        <f>IF(INVENTARIO!Y350="","",INVENTARIO!Y350)</f>
        <v/>
      </c>
      <c r="M350">
        <f>IF(INVENTARIO!Z350="","",INVENTARIO!Z350)</f>
        <v/>
      </c>
      <c r="N350">
        <f>IF(INVENTARIO!AA350="","",INVENTARIO!AA350)</f>
        <v/>
      </c>
      <c r="O350">
        <f>IF(INVENTARIO!AB350="","",INVENTARIO!AB350)</f>
        <v/>
      </c>
      <c r="P350">
        <f>IF(INVENTARIO!AC350="","",INVENTARIO!AC350)</f>
        <v/>
      </c>
      <c r="Q350">
        <f>IF(AND(K350="",N350="",L350=""),"",IF(AND((K350="ALTA"),OR(LEFT(N350,2)="L0",LEFT(N350,2)="L1",L350="No Iniciado")),"CRÍTICO - Incumplimiento Normativo SEPS",IF(AND(OR(LEFT(N350,2)="L4",LEFT(N350,2)="L5"),AND(P350&lt;&gt;"",P350&lt;&gt;"N/A")),"CONFORME - Control Efectivo ISO 27001","OBSERVACIÓN - Revisar Controles")))</f>
        <v/>
      </c>
    </row>
    <row r="351">
      <c r="A351">
        <f>IF(INVENTARIO!A351="","",INVENTARIO!A351)</f>
        <v/>
      </c>
      <c r="B351">
        <f>IF(INVENTARIO!E351="","",INVENTARIO!E351)</f>
        <v/>
      </c>
      <c r="C351">
        <f>IF(INVENTARIO!F351="","",INVENTARIO!F351)</f>
        <v/>
      </c>
      <c r="D351">
        <f>IF(INVENTARIO!H351="","",INVENTARIO!H351)</f>
        <v/>
      </c>
      <c r="E351">
        <f>IF(INVENTARIO!I351="","",INVENTARIO!I351)</f>
        <v/>
      </c>
      <c r="F351">
        <f>IF(INVENTARIO!N351="","",INVENTARIO!N351)</f>
        <v/>
      </c>
      <c r="G351">
        <f>IF(INVENTARIO!P351="","",INVENTARIO!P351)</f>
        <v/>
      </c>
      <c r="H351">
        <f>IF(INVENTARIO!Q351="","",INVENTARIO!Q351)</f>
        <v/>
      </c>
      <c r="I351">
        <f>IF(INVENTARIO!R351="","",INVENTARIO!R351)</f>
        <v/>
      </c>
      <c r="J351">
        <f>IF(G351="PUBLICA(1)",1,IF(G351="USO INTERNO(2)",2,IF(G351="RESTRINGIDO(3)",3,0)))+IF(H351="BAJA(1)",1,IF(H351="MEDIA(2)",2,IF(H351="ALTA(3)",3,0)))+IF(I351="BAJA(1)",1,IF(I351="MEDIA(2)",2,IF(I351="ALTA(3)",3,0)))</f>
        <v/>
      </c>
      <c r="K351">
        <f>IF(J351="", "", IF(J351&gt;=8,"ALTA",IF(J351&gt;=6,"MEDIA","BAJA")))</f>
        <v/>
      </c>
      <c r="L351">
        <f>IF(INVENTARIO!Y351="","",INVENTARIO!Y351)</f>
        <v/>
      </c>
      <c r="M351">
        <f>IF(INVENTARIO!Z351="","",INVENTARIO!Z351)</f>
        <v/>
      </c>
      <c r="N351">
        <f>IF(INVENTARIO!AA351="","",INVENTARIO!AA351)</f>
        <v/>
      </c>
      <c r="O351">
        <f>IF(INVENTARIO!AB351="","",INVENTARIO!AB351)</f>
        <v/>
      </c>
      <c r="P351">
        <f>IF(INVENTARIO!AC351="","",INVENTARIO!AC351)</f>
        <v/>
      </c>
      <c r="Q351">
        <f>IF(AND(K351="",N351="",L351=""),"",IF(AND((K351="ALTA"),OR(LEFT(N351,2)="L0",LEFT(N351,2)="L1",L351="No Iniciado")),"CRÍTICO - Incumplimiento Normativo SEPS",IF(AND(OR(LEFT(N351,2)="L4",LEFT(N351,2)="L5"),AND(P351&lt;&gt;"",P351&lt;&gt;"N/A")),"CONFORME - Control Efectivo ISO 27001","OBSERVACIÓN - Revisar Controles")))</f>
        <v/>
      </c>
    </row>
    <row r="352">
      <c r="A352">
        <f>IF(INVENTARIO!A352="","",INVENTARIO!A352)</f>
        <v/>
      </c>
      <c r="B352">
        <f>IF(INVENTARIO!E352="","",INVENTARIO!E352)</f>
        <v/>
      </c>
      <c r="C352">
        <f>IF(INVENTARIO!F352="","",INVENTARIO!F352)</f>
        <v/>
      </c>
      <c r="D352">
        <f>IF(INVENTARIO!H352="","",INVENTARIO!H352)</f>
        <v/>
      </c>
      <c r="E352">
        <f>IF(INVENTARIO!I352="","",INVENTARIO!I352)</f>
        <v/>
      </c>
      <c r="F352">
        <f>IF(INVENTARIO!N352="","",INVENTARIO!N352)</f>
        <v/>
      </c>
      <c r="G352">
        <f>IF(INVENTARIO!P352="","",INVENTARIO!P352)</f>
        <v/>
      </c>
      <c r="H352">
        <f>IF(INVENTARIO!Q352="","",INVENTARIO!Q352)</f>
        <v/>
      </c>
      <c r="I352">
        <f>IF(INVENTARIO!R352="","",INVENTARIO!R352)</f>
        <v/>
      </c>
      <c r="J352">
        <f>IF(G352="PUBLICA(1)",1,IF(G352="USO INTERNO(2)",2,IF(G352="RESTRINGIDO(3)",3,0)))+IF(H352="BAJA(1)",1,IF(H352="MEDIA(2)",2,IF(H352="ALTA(3)",3,0)))+IF(I352="BAJA(1)",1,IF(I352="MEDIA(2)",2,IF(I352="ALTA(3)",3,0)))</f>
        <v/>
      </c>
      <c r="K352">
        <f>IF(J352="", "", IF(J352&gt;=8,"ALTA",IF(J352&gt;=6,"MEDIA","BAJA")))</f>
        <v/>
      </c>
      <c r="L352">
        <f>IF(INVENTARIO!Y352="","",INVENTARIO!Y352)</f>
        <v/>
      </c>
      <c r="M352">
        <f>IF(INVENTARIO!Z352="","",INVENTARIO!Z352)</f>
        <v/>
      </c>
      <c r="N352">
        <f>IF(INVENTARIO!AA352="","",INVENTARIO!AA352)</f>
        <v/>
      </c>
      <c r="O352">
        <f>IF(INVENTARIO!AB352="","",INVENTARIO!AB352)</f>
        <v/>
      </c>
      <c r="P352">
        <f>IF(INVENTARIO!AC352="","",INVENTARIO!AC352)</f>
        <v/>
      </c>
      <c r="Q352">
        <f>IF(AND(K352="",N352="",L352=""),"",IF(AND((K352="ALTA"),OR(LEFT(N352,2)="L0",LEFT(N352,2)="L1",L352="No Iniciado")),"CRÍTICO - Incumplimiento Normativo SEPS",IF(AND(OR(LEFT(N352,2)="L4",LEFT(N352,2)="L5"),AND(P352&lt;&gt;"",P352&lt;&gt;"N/A")),"CONFORME - Control Efectivo ISO 27001","OBSERVACIÓN - Revisar Controles")))</f>
        <v/>
      </c>
    </row>
    <row r="353">
      <c r="A353">
        <f>IF(INVENTARIO!A353="","",INVENTARIO!A353)</f>
        <v/>
      </c>
      <c r="B353">
        <f>IF(INVENTARIO!E353="","",INVENTARIO!E353)</f>
        <v/>
      </c>
      <c r="C353">
        <f>IF(INVENTARIO!F353="","",INVENTARIO!F353)</f>
        <v/>
      </c>
      <c r="D353">
        <f>IF(INVENTARIO!H353="","",INVENTARIO!H353)</f>
        <v/>
      </c>
      <c r="E353">
        <f>IF(INVENTARIO!I353="","",INVENTARIO!I353)</f>
        <v/>
      </c>
      <c r="F353">
        <f>IF(INVENTARIO!N353="","",INVENTARIO!N353)</f>
        <v/>
      </c>
      <c r="G353">
        <f>IF(INVENTARIO!P353="","",INVENTARIO!P353)</f>
        <v/>
      </c>
      <c r="H353">
        <f>IF(INVENTARIO!Q353="","",INVENTARIO!Q353)</f>
        <v/>
      </c>
      <c r="I353">
        <f>IF(INVENTARIO!R353="","",INVENTARIO!R353)</f>
        <v/>
      </c>
      <c r="J353">
        <f>IF(G353="PUBLICA(1)",1,IF(G353="USO INTERNO(2)",2,IF(G353="RESTRINGIDO(3)",3,0)))+IF(H353="BAJA(1)",1,IF(H353="MEDIA(2)",2,IF(H353="ALTA(3)",3,0)))+IF(I353="BAJA(1)",1,IF(I353="MEDIA(2)",2,IF(I353="ALTA(3)",3,0)))</f>
        <v/>
      </c>
      <c r="K353">
        <f>IF(J353="", "", IF(J353&gt;=8,"ALTA",IF(J353&gt;=6,"MEDIA","BAJA")))</f>
        <v/>
      </c>
      <c r="L353">
        <f>IF(INVENTARIO!Y353="","",INVENTARIO!Y353)</f>
        <v/>
      </c>
      <c r="M353">
        <f>IF(INVENTARIO!Z353="","",INVENTARIO!Z353)</f>
        <v/>
      </c>
      <c r="N353">
        <f>IF(INVENTARIO!AA353="","",INVENTARIO!AA353)</f>
        <v/>
      </c>
      <c r="O353">
        <f>IF(INVENTARIO!AB353="","",INVENTARIO!AB353)</f>
        <v/>
      </c>
      <c r="P353">
        <f>IF(INVENTARIO!AC353="","",INVENTARIO!AC353)</f>
        <v/>
      </c>
      <c r="Q353">
        <f>IF(AND(K353="",N353="",L353=""),"",IF(AND((K353="ALTA"),OR(LEFT(N353,2)="L0",LEFT(N353,2)="L1",L353="No Iniciado")),"CRÍTICO - Incumplimiento Normativo SEPS",IF(AND(OR(LEFT(N353,2)="L4",LEFT(N353,2)="L5"),AND(P353&lt;&gt;"",P353&lt;&gt;"N/A")),"CONFORME - Control Efectivo ISO 27001","OBSERVACIÓN - Revisar Controles")))</f>
        <v/>
      </c>
    </row>
    <row r="354">
      <c r="A354">
        <f>IF(INVENTARIO!A354="","",INVENTARIO!A354)</f>
        <v/>
      </c>
      <c r="B354">
        <f>IF(INVENTARIO!E354="","",INVENTARIO!E354)</f>
        <v/>
      </c>
      <c r="C354">
        <f>IF(INVENTARIO!F354="","",INVENTARIO!F354)</f>
        <v/>
      </c>
      <c r="D354">
        <f>IF(INVENTARIO!H354="","",INVENTARIO!H354)</f>
        <v/>
      </c>
      <c r="E354">
        <f>IF(INVENTARIO!I354="","",INVENTARIO!I354)</f>
        <v/>
      </c>
      <c r="F354">
        <f>IF(INVENTARIO!N354="","",INVENTARIO!N354)</f>
        <v/>
      </c>
      <c r="G354">
        <f>IF(INVENTARIO!P354="","",INVENTARIO!P354)</f>
        <v/>
      </c>
      <c r="H354">
        <f>IF(INVENTARIO!Q354="","",INVENTARIO!Q354)</f>
        <v/>
      </c>
      <c r="I354">
        <f>IF(INVENTARIO!R354="","",INVENTARIO!R354)</f>
        <v/>
      </c>
      <c r="J354">
        <f>IF(G354="PUBLICA(1)",1,IF(G354="USO INTERNO(2)",2,IF(G354="RESTRINGIDO(3)",3,0)))+IF(H354="BAJA(1)",1,IF(H354="MEDIA(2)",2,IF(H354="ALTA(3)",3,0)))+IF(I354="BAJA(1)",1,IF(I354="MEDIA(2)",2,IF(I354="ALTA(3)",3,0)))</f>
        <v/>
      </c>
      <c r="K354">
        <f>IF(J354="", "", IF(J354&gt;=8,"ALTA",IF(J354&gt;=6,"MEDIA","BAJA")))</f>
        <v/>
      </c>
      <c r="L354">
        <f>IF(INVENTARIO!Y354="","",INVENTARIO!Y354)</f>
        <v/>
      </c>
      <c r="M354">
        <f>IF(INVENTARIO!Z354="","",INVENTARIO!Z354)</f>
        <v/>
      </c>
      <c r="N354">
        <f>IF(INVENTARIO!AA354="","",INVENTARIO!AA354)</f>
        <v/>
      </c>
      <c r="O354">
        <f>IF(INVENTARIO!AB354="","",INVENTARIO!AB354)</f>
        <v/>
      </c>
      <c r="P354">
        <f>IF(INVENTARIO!AC354="","",INVENTARIO!AC354)</f>
        <v/>
      </c>
      <c r="Q354">
        <f>IF(AND(K354="",N354="",L354=""),"",IF(AND((K354="ALTA"),OR(LEFT(N354,2)="L0",LEFT(N354,2)="L1",L354="No Iniciado")),"CRÍTICO - Incumplimiento Normativo SEPS",IF(AND(OR(LEFT(N354,2)="L4",LEFT(N354,2)="L5"),AND(P354&lt;&gt;"",P354&lt;&gt;"N/A")),"CONFORME - Control Efectivo ISO 27001","OBSERVACIÓN - Revisar Controles")))</f>
        <v/>
      </c>
    </row>
    <row r="355">
      <c r="A355">
        <f>IF(INVENTARIO!A355="","",INVENTARIO!A355)</f>
        <v/>
      </c>
      <c r="B355">
        <f>IF(INVENTARIO!E355="","",INVENTARIO!E355)</f>
        <v/>
      </c>
      <c r="C355">
        <f>IF(INVENTARIO!F355="","",INVENTARIO!F355)</f>
        <v/>
      </c>
      <c r="D355">
        <f>IF(INVENTARIO!H355="","",INVENTARIO!H355)</f>
        <v/>
      </c>
      <c r="E355">
        <f>IF(INVENTARIO!I355="","",INVENTARIO!I355)</f>
        <v/>
      </c>
      <c r="F355">
        <f>IF(INVENTARIO!N355="","",INVENTARIO!N355)</f>
        <v/>
      </c>
      <c r="G355">
        <f>IF(INVENTARIO!P355="","",INVENTARIO!P355)</f>
        <v/>
      </c>
      <c r="H355">
        <f>IF(INVENTARIO!Q355="","",INVENTARIO!Q355)</f>
        <v/>
      </c>
      <c r="I355">
        <f>IF(INVENTARIO!R355="","",INVENTARIO!R355)</f>
        <v/>
      </c>
      <c r="J355">
        <f>IF(G355="PUBLICA(1)",1,IF(G355="USO INTERNO(2)",2,IF(G355="RESTRINGIDO(3)",3,0)))+IF(H355="BAJA(1)",1,IF(H355="MEDIA(2)",2,IF(H355="ALTA(3)",3,0)))+IF(I355="BAJA(1)",1,IF(I355="MEDIA(2)",2,IF(I355="ALTA(3)",3,0)))</f>
        <v/>
      </c>
      <c r="K355">
        <f>IF(J355="", "", IF(J355&gt;=8,"ALTA",IF(J355&gt;=6,"MEDIA","BAJA")))</f>
        <v/>
      </c>
      <c r="L355">
        <f>IF(INVENTARIO!Y355="","",INVENTARIO!Y355)</f>
        <v/>
      </c>
      <c r="M355">
        <f>IF(INVENTARIO!Z355="","",INVENTARIO!Z355)</f>
        <v/>
      </c>
      <c r="N355">
        <f>IF(INVENTARIO!AA355="","",INVENTARIO!AA355)</f>
        <v/>
      </c>
      <c r="O355">
        <f>IF(INVENTARIO!AB355="","",INVENTARIO!AB355)</f>
        <v/>
      </c>
      <c r="P355">
        <f>IF(INVENTARIO!AC355="","",INVENTARIO!AC355)</f>
        <v/>
      </c>
      <c r="Q355">
        <f>IF(AND(K355="",N355="",L355=""),"",IF(AND((K355="ALTA"),OR(LEFT(N355,2)="L0",LEFT(N355,2)="L1",L355="No Iniciado")),"CRÍTICO - Incumplimiento Normativo SEPS",IF(AND(OR(LEFT(N355,2)="L4",LEFT(N355,2)="L5"),AND(P355&lt;&gt;"",P355&lt;&gt;"N/A")),"CONFORME - Control Efectivo ISO 27001","OBSERVACIÓN - Revisar Controles")))</f>
        <v/>
      </c>
    </row>
    <row r="356">
      <c r="A356">
        <f>IF(INVENTARIO!A356="","",INVENTARIO!A356)</f>
        <v/>
      </c>
      <c r="B356">
        <f>IF(INVENTARIO!E356="","",INVENTARIO!E356)</f>
        <v/>
      </c>
      <c r="C356">
        <f>IF(INVENTARIO!F356="","",INVENTARIO!F356)</f>
        <v/>
      </c>
      <c r="D356">
        <f>IF(INVENTARIO!H356="","",INVENTARIO!H356)</f>
        <v/>
      </c>
      <c r="E356">
        <f>IF(INVENTARIO!I356="","",INVENTARIO!I356)</f>
        <v/>
      </c>
      <c r="F356">
        <f>IF(INVENTARIO!N356="","",INVENTARIO!N356)</f>
        <v/>
      </c>
      <c r="G356">
        <f>IF(INVENTARIO!P356="","",INVENTARIO!P356)</f>
        <v/>
      </c>
      <c r="H356">
        <f>IF(INVENTARIO!Q356="","",INVENTARIO!Q356)</f>
        <v/>
      </c>
      <c r="I356">
        <f>IF(INVENTARIO!R356="","",INVENTARIO!R356)</f>
        <v/>
      </c>
      <c r="J356">
        <f>IF(G356="PUBLICA(1)",1,IF(G356="USO INTERNO(2)",2,IF(G356="RESTRINGIDO(3)",3,0)))+IF(H356="BAJA(1)",1,IF(H356="MEDIA(2)",2,IF(H356="ALTA(3)",3,0)))+IF(I356="BAJA(1)",1,IF(I356="MEDIA(2)",2,IF(I356="ALTA(3)",3,0)))</f>
        <v/>
      </c>
      <c r="K356">
        <f>IF(J356="", "", IF(J356&gt;=8,"ALTA",IF(J356&gt;=6,"MEDIA","BAJA")))</f>
        <v/>
      </c>
      <c r="L356">
        <f>IF(INVENTARIO!Y356="","",INVENTARIO!Y356)</f>
        <v/>
      </c>
      <c r="M356">
        <f>IF(INVENTARIO!Z356="","",INVENTARIO!Z356)</f>
        <v/>
      </c>
      <c r="N356">
        <f>IF(INVENTARIO!AA356="","",INVENTARIO!AA356)</f>
        <v/>
      </c>
      <c r="O356">
        <f>IF(INVENTARIO!AB356="","",INVENTARIO!AB356)</f>
        <v/>
      </c>
      <c r="P356">
        <f>IF(INVENTARIO!AC356="","",INVENTARIO!AC356)</f>
        <v/>
      </c>
      <c r="Q356">
        <f>IF(AND(K356="",N356="",L356=""),"",IF(AND((K356="ALTA"),OR(LEFT(N356,2)="L0",LEFT(N356,2)="L1",L356="No Iniciado")),"CRÍTICO - Incumplimiento Normativo SEPS",IF(AND(OR(LEFT(N356,2)="L4",LEFT(N356,2)="L5"),AND(P356&lt;&gt;"",P356&lt;&gt;"N/A")),"CONFORME - Control Efectivo ISO 27001","OBSERVACIÓN - Revisar Controles")))</f>
        <v/>
      </c>
    </row>
    <row r="357">
      <c r="A357">
        <f>IF(INVENTARIO!A357="","",INVENTARIO!A357)</f>
        <v/>
      </c>
      <c r="B357">
        <f>IF(INVENTARIO!E357="","",INVENTARIO!E357)</f>
        <v/>
      </c>
      <c r="C357">
        <f>IF(INVENTARIO!F357="","",INVENTARIO!F357)</f>
        <v/>
      </c>
      <c r="D357">
        <f>IF(INVENTARIO!H357="","",INVENTARIO!H357)</f>
        <v/>
      </c>
      <c r="E357">
        <f>IF(INVENTARIO!I357="","",INVENTARIO!I357)</f>
        <v/>
      </c>
      <c r="F357">
        <f>IF(INVENTARIO!N357="","",INVENTARIO!N357)</f>
        <v/>
      </c>
      <c r="G357">
        <f>IF(INVENTARIO!P357="","",INVENTARIO!P357)</f>
        <v/>
      </c>
      <c r="H357">
        <f>IF(INVENTARIO!Q357="","",INVENTARIO!Q357)</f>
        <v/>
      </c>
      <c r="I357">
        <f>IF(INVENTARIO!R357="","",INVENTARIO!R357)</f>
        <v/>
      </c>
      <c r="J357">
        <f>IF(G357="PUBLICA(1)",1,IF(G357="USO INTERNO(2)",2,IF(G357="RESTRINGIDO(3)",3,0)))+IF(H357="BAJA(1)",1,IF(H357="MEDIA(2)",2,IF(H357="ALTA(3)",3,0)))+IF(I357="BAJA(1)",1,IF(I357="MEDIA(2)",2,IF(I357="ALTA(3)",3,0)))</f>
        <v/>
      </c>
      <c r="K357">
        <f>IF(J357="", "", IF(J357&gt;=8,"ALTA",IF(J357&gt;=6,"MEDIA","BAJA")))</f>
        <v/>
      </c>
      <c r="L357">
        <f>IF(INVENTARIO!Y357="","",INVENTARIO!Y357)</f>
        <v/>
      </c>
      <c r="M357">
        <f>IF(INVENTARIO!Z357="","",INVENTARIO!Z357)</f>
        <v/>
      </c>
      <c r="N357">
        <f>IF(INVENTARIO!AA357="","",INVENTARIO!AA357)</f>
        <v/>
      </c>
      <c r="O357">
        <f>IF(INVENTARIO!AB357="","",INVENTARIO!AB357)</f>
        <v/>
      </c>
      <c r="P357">
        <f>IF(INVENTARIO!AC357="","",INVENTARIO!AC357)</f>
        <v/>
      </c>
      <c r="Q357">
        <f>IF(AND(K357="",N357="",L357=""),"",IF(AND((K357="ALTA"),OR(LEFT(N357,2)="L0",LEFT(N357,2)="L1",L357="No Iniciado")),"CRÍTICO - Incumplimiento Normativo SEPS",IF(AND(OR(LEFT(N357,2)="L4",LEFT(N357,2)="L5"),AND(P357&lt;&gt;"",P357&lt;&gt;"N/A")),"CONFORME - Control Efectivo ISO 27001","OBSERVACIÓN - Revisar Controles")))</f>
        <v/>
      </c>
    </row>
    <row r="358">
      <c r="A358">
        <f>IF(INVENTARIO!A358="","",INVENTARIO!A358)</f>
        <v/>
      </c>
      <c r="B358">
        <f>IF(INVENTARIO!E358="","",INVENTARIO!E358)</f>
        <v/>
      </c>
      <c r="C358">
        <f>IF(INVENTARIO!F358="","",INVENTARIO!F358)</f>
        <v/>
      </c>
      <c r="D358">
        <f>IF(INVENTARIO!H358="","",INVENTARIO!H358)</f>
        <v/>
      </c>
      <c r="E358">
        <f>IF(INVENTARIO!I358="","",INVENTARIO!I358)</f>
        <v/>
      </c>
      <c r="F358">
        <f>IF(INVENTARIO!N358="","",INVENTARIO!N358)</f>
        <v/>
      </c>
      <c r="G358">
        <f>IF(INVENTARIO!P358="","",INVENTARIO!P358)</f>
        <v/>
      </c>
      <c r="H358">
        <f>IF(INVENTARIO!Q358="","",INVENTARIO!Q358)</f>
        <v/>
      </c>
      <c r="I358">
        <f>IF(INVENTARIO!R358="","",INVENTARIO!R358)</f>
        <v/>
      </c>
      <c r="J358">
        <f>IF(G358="PUBLICA(1)",1,IF(G358="USO INTERNO(2)",2,IF(G358="RESTRINGIDO(3)",3,0)))+IF(H358="BAJA(1)",1,IF(H358="MEDIA(2)",2,IF(H358="ALTA(3)",3,0)))+IF(I358="BAJA(1)",1,IF(I358="MEDIA(2)",2,IF(I358="ALTA(3)",3,0)))</f>
        <v/>
      </c>
      <c r="K358">
        <f>IF(J358="", "", IF(J358&gt;=8,"ALTA",IF(J358&gt;=6,"MEDIA","BAJA")))</f>
        <v/>
      </c>
      <c r="L358">
        <f>IF(INVENTARIO!Y358="","",INVENTARIO!Y358)</f>
        <v/>
      </c>
      <c r="M358">
        <f>IF(INVENTARIO!Z358="","",INVENTARIO!Z358)</f>
        <v/>
      </c>
      <c r="N358">
        <f>IF(INVENTARIO!AA358="","",INVENTARIO!AA358)</f>
        <v/>
      </c>
      <c r="O358">
        <f>IF(INVENTARIO!AB358="","",INVENTARIO!AB358)</f>
        <v/>
      </c>
      <c r="P358">
        <f>IF(INVENTARIO!AC358="","",INVENTARIO!AC358)</f>
        <v/>
      </c>
      <c r="Q358">
        <f>IF(AND(K358="",N358="",L358=""),"",IF(AND((K358="ALTA"),OR(LEFT(N358,2)="L0",LEFT(N358,2)="L1",L358="No Iniciado")),"CRÍTICO - Incumplimiento Normativo SEPS",IF(AND(OR(LEFT(N358,2)="L4",LEFT(N358,2)="L5"),AND(P358&lt;&gt;"",P358&lt;&gt;"N/A")),"CONFORME - Control Efectivo ISO 27001","OBSERVACIÓN - Revisar Controles")))</f>
        <v/>
      </c>
    </row>
    <row r="359">
      <c r="A359">
        <f>IF(INVENTARIO!A359="","",INVENTARIO!A359)</f>
        <v/>
      </c>
      <c r="B359">
        <f>IF(INVENTARIO!E359="","",INVENTARIO!E359)</f>
        <v/>
      </c>
      <c r="C359">
        <f>IF(INVENTARIO!F359="","",INVENTARIO!F359)</f>
        <v/>
      </c>
      <c r="D359">
        <f>IF(INVENTARIO!H359="","",INVENTARIO!H359)</f>
        <v/>
      </c>
      <c r="E359">
        <f>IF(INVENTARIO!I359="","",INVENTARIO!I359)</f>
        <v/>
      </c>
      <c r="F359">
        <f>IF(INVENTARIO!N359="","",INVENTARIO!N359)</f>
        <v/>
      </c>
      <c r="G359">
        <f>IF(INVENTARIO!P359="","",INVENTARIO!P359)</f>
        <v/>
      </c>
      <c r="H359">
        <f>IF(INVENTARIO!Q359="","",INVENTARIO!Q359)</f>
        <v/>
      </c>
      <c r="I359">
        <f>IF(INVENTARIO!R359="","",INVENTARIO!R359)</f>
        <v/>
      </c>
      <c r="J359">
        <f>IF(G359="PUBLICA(1)",1,IF(G359="USO INTERNO(2)",2,IF(G359="RESTRINGIDO(3)",3,0)))+IF(H359="BAJA(1)",1,IF(H359="MEDIA(2)",2,IF(H359="ALTA(3)",3,0)))+IF(I359="BAJA(1)",1,IF(I359="MEDIA(2)",2,IF(I359="ALTA(3)",3,0)))</f>
        <v/>
      </c>
      <c r="K359">
        <f>IF(J359="", "", IF(J359&gt;=8,"ALTA",IF(J359&gt;=6,"MEDIA","BAJA")))</f>
        <v/>
      </c>
      <c r="L359">
        <f>IF(INVENTARIO!Y359="","",INVENTARIO!Y359)</f>
        <v/>
      </c>
      <c r="M359">
        <f>IF(INVENTARIO!Z359="","",INVENTARIO!Z359)</f>
        <v/>
      </c>
      <c r="N359">
        <f>IF(INVENTARIO!AA359="","",INVENTARIO!AA359)</f>
        <v/>
      </c>
      <c r="O359">
        <f>IF(INVENTARIO!AB359="","",INVENTARIO!AB359)</f>
        <v/>
      </c>
      <c r="P359">
        <f>IF(INVENTARIO!AC359="","",INVENTARIO!AC359)</f>
        <v/>
      </c>
      <c r="Q359">
        <f>IF(AND(K359="",N359="",L359=""),"",IF(AND((K359="ALTA"),OR(LEFT(N359,2)="L0",LEFT(N359,2)="L1",L359="No Iniciado")),"CRÍTICO - Incumplimiento Normativo SEPS",IF(AND(OR(LEFT(N359,2)="L4",LEFT(N359,2)="L5"),AND(P359&lt;&gt;"",P359&lt;&gt;"N/A")),"CONFORME - Control Efectivo ISO 27001","OBSERVACIÓN - Revisar Controles")))</f>
        <v/>
      </c>
    </row>
    <row r="360">
      <c r="A360">
        <f>IF(INVENTARIO!A360="","",INVENTARIO!A360)</f>
        <v/>
      </c>
      <c r="B360">
        <f>IF(INVENTARIO!E360="","",INVENTARIO!E360)</f>
        <v/>
      </c>
      <c r="C360">
        <f>IF(INVENTARIO!F360="","",INVENTARIO!F360)</f>
        <v/>
      </c>
      <c r="D360">
        <f>IF(INVENTARIO!H360="","",INVENTARIO!H360)</f>
        <v/>
      </c>
      <c r="E360">
        <f>IF(INVENTARIO!I360="","",INVENTARIO!I360)</f>
        <v/>
      </c>
      <c r="F360">
        <f>IF(INVENTARIO!N360="","",INVENTARIO!N360)</f>
        <v/>
      </c>
      <c r="G360">
        <f>IF(INVENTARIO!P360="","",INVENTARIO!P360)</f>
        <v/>
      </c>
      <c r="H360">
        <f>IF(INVENTARIO!Q360="","",INVENTARIO!Q360)</f>
        <v/>
      </c>
      <c r="I360">
        <f>IF(INVENTARIO!R360="","",INVENTARIO!R360)</f>
        <v/>
      </c>
      <c r="J360">
        <f>IF(G360="PUBLICA(1)",1,IF(G360="USO INTERNO(2)",2,IF(G360="RESTRINGIDO(3)",3,0)))+IF(H360="BAJA(1)",1,IF(H360="MEDIA(2)",2,IF(H360="ALTA(3)",3,0)))+IF(I360="BAJA(1)",1,IF(I360="MEDIA(2)",2,IF(I360="ALTA(3)",3,0)))</f>
        <v/>
      </c>
      <c r="K360">
        <f>IF(J360="", "", IF(J360&gt;=8,"ALTA",IF(J360&gt;=6,"MEDIA","BAJA")))</f>
        <v/>
      </c>
      <c r="L360">
        <f>IF(INVENTARIO!Y360="","",INVENTARIO!Y360)</f>
        <v/>
      </c>
      <c r="M360">
        <f>IF(INVENTARIO!Z360="","",INVENTARIO!Z360)</f>
        <v/>
      </c>
      <c r="N360">
        <f>IF(INVENTARIO!AA360="","",INVENTARIO!AA360)</f>
        <v/>
      </c>
      <c r="O360">
        <f>IF(INVENTARIO!AB360="","",INVENTARIO!AB360)</f>
        <v/>
      </c>
      <c r="P360">
        <f>IF(INVENTARIO!AC360="","",INVENTARIO!AC360)</f>
        <v/>
      </c>
      <c r="Q360">
        <f>IF(AND(K360="",N360="",L360=""),"",IF(AND((K360="ALTA"),OR(LEFT(N360,2)="L0",LEFT(N360,2)="L1",L360="No Iniciado")),"CRÍTICO - Incumplimiento Normativo SEPS",IF(AND(OR(LEFT(N360,2)="L4",LEFT(N360,2)="L5"),AND(P360&lt;&gt;"",P360&lt;&gt;"N/A")),"CONFORME - Control Efectivo ISO 27001","OBSERVACIÓN - Revisar Controles")))</f>
        <v/>
      </c>
    </row>
    <row r="361">
      <c r="A361">
        <f>IF(INVENTARIO!A361="","",INVENTARIO!A361)</f>
        <v/>
      </c>
      <c r="B361">
        <f>IF(INVENTARIO!E361="","",INVENTARIO!E361)</f>
        <v/>
      </c>
      <c r="C361">
        <f>IF(INVENTARIO!F361="","",INVENTARIO!F361)</f>
        <v/>
      </c>
      <c r="D361">
        <f>IF(INVENTARIO!H361="","",INVENTARIO!H361)</f>
        <v/>
      </c>
      <c r="E361">
        <f>IF(INVENTARIO!I361="","",INVENTARIO!I361)</f>
        <v/>
      </c>
      <c r="F361">
        <f>IF(INVENTARIO!N361="","",INVENTARIO!N361)</f>
        <v/>
      </c>
      <c r="G361">
        <f>IF(INVENTARIO!P361="","",INVENTARIO!P361)</f>
        <v/>
      </c>
      <c r="H361">
        <f>IF(INVENTARIO!Q361="","",INVENTARIO!Q361)</f>
        <v/>
      </c>
      <c r="I361">
        <f>IF(INVENTARIO!R361="","",INVENTARIO!R361)</f>
        <v/>
      </c>
      <c r="J361">
        <f>IF(G361="PUBLICA(1)",1,IF(G361="USO INTERNO(2)",2,IF(G361="RESTRINGIDO(3)",3,0)))+IF(H361="BAJA(1)",1,IF(H361="MEDIA(2)",2,IF(H361="ALTA(3)",3,0)))+IF(I361="BAJA(1)",1,IF(I361="MEDIA(2)",2,IF(I361="ALTA(3)",3,0)))</f>
        <v/>
      </c>
      <c r="K361">
        <f>IF(J361="", "", IF(J361&gt;=8,"ALTA",IF(J361&gt;=6,"MEDIA","BAJA")))</f>
        <v/>
      </c>
      <c r="L361">
        <f>IF(INVENTARIO!Y361="","",INVENTARIO!Y361)</f>
        <v/>
      </c>
      <c r="M361">
        <f>IF(INVENTARIO!Z361="","",INVENTARIO!Z361)</f>
        <v/>
      </c>
      <c r="N361">
        <f>IF(INVENTARIO!AA361="","",INVENTARIO!AA361)</f>
        <v/>
      </c>
      <c r="O361">
        <f>IF(INVENTARIO!AB361="","",INVENTARIO!AB361)</f>
        <v/>
      </c>
      <c r="P361">
        <f>IF(INVENTARIO!AC361="","",INVENTARIO!AC361)</f>
        <v/>
      </c>
      <c r="Q361">
        <f>IF(AND(K361="",N361="",L361=""),"",IF(AND((K361="ALTA"),OR(LEFT(N361,2)="L0",LEFT(N361,2)="L1",L361="No Iniciado")),"CRÍTICO - Incumplimiento Normativo SEPS",IF(AND(OR(LEFT(N361,2)="L4",LEFT(N361,2)="L5"),AND(P361&lt;&gt;"",P361&lt;&gt;"N/A")),"CONFORME - Control Efectivo ISO 27001","OBSERVACIÓN - Revisar Controles")))</f>
        <v/>
      </c>
    </row>
    <row r="362">
      <c r="A362">
        <f>IF(INVENTARIO!A362="","",INVENTARIO!A362)</f>
        <v/>
      </c>
      <c r="B362">
        <f>IF(INVENTARIO!E362="","",INVENTARIO!E362)</f>
        <v/>
      </c>
      <c r="C362">
        <f>IF(INVENTARIO!F362="","",INVENTARIO!F362)</f>
        <v/>
      </c>
      <c r="D362">
        <f>IF(INVENTARIO!H362="","",INVENTARIO!H362)</f>
        <v/>
      </c>
      <c r="E362">
        <f>IF(INVENTARIO!I362="","",INVENTARIO!I362)</f>
        <v/>
      </c>
      <c r="F362">
        <f>IF(INVENTARIO!N362="","",INVENTARIO!N362)</f>
        <v/>
      </c>
      <c r="G362">
        <f>IF(INVENTARIO!P362="","",INVENTARIO!P362)</f>
        <v/>
      </c>
      <c r="H362">
        <f>IF(INVENTARIO!Q362="","",INVENTARIO!Q362)</f>
        <v/>
      </c>
      <c r="I362">
        <f>IF(INVENTARIO!R362="","",INVENTARIO!R362)</f>
        <v/>
      </c>
      <c r="J362">
        <f>IF(G362="PUBLICA(1)",1,IF(G362="USO INTERNO(2)",2,IF(G362="RESTRINGIDO(3)",3,0)))+IF(H362="BAJA(1)",1,IF(H362="MEDIA(2)",2,IF(H362="ALTA(3)",3,0)))+IF(I362="BAJA(1)",1,IF(I362="MEDIA(2)",2,IF(I362="ALTA(3)",3,0)))</f>
        <v/>
      </c>
      <c r="K362">
        <f>IF(J362="", "", IF(J362&gt;=8,"ALTA",IF(J362&gt;=6,"MEDIA","BAJA")))</f>
        <v/>
      </c>
      <c r="L362">
        <f>IF(INVENTARIO!Y362="","",INVENTARIO!Y362)</f>
        <v/>
      </c>
      <c r="M362">
        <f>IF(INVENTARIO!Z362="","",INVENTARIO!Z362)</f>
        <v/>
      </c>
      <c r="N362">
        <f>IF(INVENTARIO!AA362="","",INVENTARIO!AA362)</f>
        <v/>
      </c>
      <c r="O362">
        <f>IF(INVENTARIO!AB362="","",INVENTARIO!AB362)</f>
        <v/>
      </c>
      <c r="P362">
        <f>IF(INVENTARIO!AC362="","",INVENTARIO!AC362)</f>
        <v/>
      </c>
      <c r="Q362">
        <f>IF(AND(K362="",N362="",L362=""),"",IF(AND((K362="ALTA"),OR(LEFT(N362,2)="L0",LEFT(N362,2)="L1",L362="No Iniciado")),"CRÍTICO - Incumplimiento Normativo SEPS",IF(AND(OR(LEFT(N362,2)="L4",LEFT(N362,2)="L5"),AND(P362&lt;&gt;"",P362&lt;&gt;"N/A")),"CONFORME - Control Efectivo ISO 27001","OBSERVACIÓN - Revisar Controles")))</f>
        <v/>
      </c>
    </row>
    <row r="363">
      <c r="A363">
        <f>IF(INVENTARIO!A363="","",INVENTARIO!A363)</f>
        <v/>
      </c>
      <c r="B363">
        <f>IF(INVENTARIO!E363="","",INVENTARIO!E363)</f>
        <v/>
      </c>
      <c r="C363">
        <f>IF(INVENTARIO!F363="","",INVENTARIO!F363)</f>
        <v/>
      </c>
      <c r="D363">
        <f>IF(INVENTARIO!H363="","",INVENTARIO!H363)</f>
        <v/>
      </c>
      <c r="E363">
        <f>IF(INVENTARIO!I363="","",INVENTARIO!I363)</f>
        <v/>
      </c>
      <c r="F363">
        <f>IF(INVENTARIO!N363="","",INVENTARIO!N363)</f>
        <v/>
      </c>
      <c r="G363">
        <f>IF(INVENTARIO!P363="","",INVENTARIO!P363)</f>
        <v/>
      </c>
      <c r="H363">
        <f>IF(INVENTARIO!Q363="","",INVENTARIO!Q363)</f>
        <v/>
      </c>
      <c r="I363">
        <f>IF(INVENTARIO!R363="","",INVENTARIO!R363)</f>
        <v/>
      </c>
      <c r="J363">
        <f>IF(G363="PUBLICA(1)",1,IF(G363="USO INTERNO(2)",2,IF(G363="RESTRINGIDO(3)",3,0)))+IF(H363="BAJA(1)",1,IF(H363="MEDIA(2)",2,IF(H363="ALTA(3)",3,0)))+IF(I363="BAJA(1)",1,IF(I363="MEDIA(2)",2,IF(I363="ALTA(3)",3,0)))</f>
        <v/>
      </c>
      <c r="K363">
        <f>IF(J363="", "", IF(J363&gt;=8,"ALTA",IF(J363&gt;=6,"MEDIA","BAJA")))</f>
        <v/>
      </c>
      <c r="L363">
        <f>IF(INVENTARIO!Y363="","",INVENTARIO!Y363)</f>
        <v/>
      </c>
      <c r="M363">
        <f>IF(INVENTARIO!Z363="","",INVENTARIO!Z363)</f>
        <v/>
      </c>
      <c r="N363">
        <f>IF(INVENTARIO!AA363="","",INVENTARIO!AA363)</f>
        <v/>
      </c>
      <c r="O363">
        <f>IF(INVENTARIO!AB363="","",INVENTARIO!AB363)</f>
        <v/>
      </c>
      <c r="P363">
        <f>IF(INVENTARIO!AC363="","",INVENTARIO!AC363)</f>
        <v/>
      </c>
      <c r="Q363">
        <f>IF(AND(K363="",N363="",L363=""),"",IF(AND((K363="ALTA"),OR(LEFT(N363,2)="L0",LEFT(N363,2)="L1",L363="No Iniciado")),"CRÍTICO - Incumplimiento Normativo SEPS",IF(AND(OR(LEFT(N363,2)="L4",LEFT(N363,2)="L5"),AND(P363&lt;&gt;"",P363&lt;&gt;"N/A")),"CONFORME - Control Efectivo ISO 27001","OBSERVACIÓN - Revisar Controles")))</f>
        <v/>
      </c>
    </row>
    <row r="364">
      <c r="A364">
        <f>IF(INVENTARIO!A364="","",INVENTARIO!A364)</f>
        <v/>
      </c>
      <c r="B364">
        <f>IF(INVENTARIO!E364="","",INVENTARIO!E364)</f>
        <v/>
      </c>
      <c r="C364">
        <f>IF(INVENTARIO!F364="","",INVENTARIO!F364)</f>
        <v/>
      </c>
      <c r="D364">
        <f>IF(INVENTARIO!H364="","",INVENTARIO!H364)</f>
        <v/>
      </c>
      <c r="E364">
        <f>IF(INVENTARIO!I364="","",INVENTARIO!I364)</f>
        <v/>
      </c>
      <c r="F364">
        <f>IF(INVENTARIO!N364="","",INVENTARIO!N364)</f>
        <v/>
      </c>
      <c r="G364">
        <f>IF(INVENTARIO!P364="","",INVENTARIO!P364)</f>
        <v/>
      </c>
      <c r="H364">
        <f>IF(INVENTARIO!Q364="","",INVENTARIO!Q364)</f>
        <v/>
      </c>
      <c r="I364">
        <f>IF(INVENTARIO!R364="","",INVENTARIO!R364)</f>
        <v/>
      </c>
      <c r="J364">
        <f>IF(G364="PUBLICA(1)",1,IF(G364="USO INTERNO(2)",2,IF(G364="RESTRINGIDO(3)",3,0)))+IF(H364="BAJA(1)",1,IF(H364="MEDIA(2)",2,IF(H364="ALTA(3)",3,0)))+IF(I364="BAJA(1)",1,IF(I364="MEDIA(2)",2,IF(I364="ALTA(3)",3,0)))</f>
        <v/>
      </c>
      <c r="K364">
        <f>IF(J364="", "", IF(J364&gt;=8,"ALTA",IF(J364&gt;=6,"MEDIA","BAJA")))</f>
        <v/>
      </c>
      <c r="L364">
        <f>IF(INVENTARIO!Y364="","",INVENTARIO!Y364)</f>
        <v/>
      </c>
      <c r="M364">
        <f>IF(INVENTARIO!Z364="","",INVENTARIO!Z364)</f>
        <v/>
      </c>
      <c r="N364">
        <f>IF(INVENTARIO!AA364="","",INVENTARIO!AA364)</f>
        <v/>
      </c>
      <c r="O364">
        <f>IF(INVENTARIO!AB364="","",INVENTARIO!AB364)</f>
        <v/>
      </c>
      <c r="P364">
        <f>IF(INVENTARIO!AC364="","",INVENTARIO!AC364)</f>
        <v/>
      </c>
      <c r="Q364">
        <f>IF(AND(K364="",N364="",L364=""),"",IF(AND((K364="ALTA"),OR(LEFT(N364,2)="L0",LEFT(N364,2)="L1",L364="No Iniciado")),"CRÍTICO - Incumplimiento Normativo SEPS",IF(AND(OR(LEFT(N364,2)="L4",LEFT(N364,2)="L5"),AND(P364&lt;&gt;"",P364&lt;&gt;"N/A")),"CONFORME - Control Efectivo ISO 27001","OBSERVACIÓN - Revisar Controles")))</f>
        <v/>
      </c>
    </row>
    <row r="365">
      <c r="A365">
        <f>IF(INVENTARIO!A365="","",INVENTARIO!A365)</f>
        <v/>
      </c>
      <c r="B365">
        <f>IF(INVENTARIO!E365="","",INVENTARIO!E365)</f>
        <v/>
      </c>
      <c r="C365">
        <f>IF(INVENTARIO!F365="","",INVENTARIO!F365)</f>
        <v/>
      </c>
      <c r="D365">
        <f>IF(INVENTARIO!H365="","",INVENTARIO!H365)</f>
        <v/>
      </c>
      <c r="E365">
        <f>IF(INVENTARIO!I365="","",INVENTARIO!I365)</f>
        <v/>
      </c>
      <c r="F365">
        <f>IF(INVENTARIO!N365="","",INVENTARIO!N365)</f>
        <v/>
      </c>
      <c r="G365">
        <f>IF(INVENTARIO!P365="","",INVENTARIO!P365)</f>
        <v/>
      </c>
      <c r="H365">
        <f>IF(INVENTARIO!Q365="","",INVENTARIO!Q365)</f>
        <v/>
      </c>
      <c r="I365">
        <f>IF(INVENTARIO!R365="","",INVENTARIO!R365)</f>
        <v/>
      </c>
      <c r="J365">
        <f>IF(G365="PUBLICA(1)",1,IF(G365="USO INTERNO(2)",2,IF(G365="RESTRINGIDO(3)",3,0)))+IF(H365="BAJA(1)",1,IF(H365="MEDIA(2)",2,IF(H365="ALTA(3)",3,0)))+IF(I365="BAJA(1)",1,IF(I365="MEDIA(2)",2,IF(I365="ALTA(3)",3,0)))</f>
        <v/>
      </c>
      <c r="K365">
        <f>IF(J365="", "", IF(J365&gt;=8,"ALTA",IF(J365&gt;=6,"MEDIA","BAJA")))</f>
        <v/>
      </c>
      <c r="L365">
        <f>IF(INVENTARIO!Y365="","",INVENTARIO!Y365)</f>
        <v/>
      </c>
      <c r="M365">
        <f>IF(INVENTARIO!Z365="","",INVENTARIO!Z365)</f>
        <v/>
      </c>
      <c r="N365">
        <f>IF(INVENTARIO!AA365="","",INVENTARIO!AA365)</f>
        <v/>
      </c>
      <c r="O365">
        <f>IF(INVENTARIO!AB365="","",INVENTARIO!AB365)</f>
        <v/>
      </c>
      <c r="P365">
        <f>IF(INVENTARIO!AC365="","",INVENTARIO!AC365)</f>
        <v/>
      </c>
      <c r="Q365">
        <f>IF(AND(K365="",N365="",L365=""),"",IF(AND((K365="ALTA"),OR(LEFT(N365,2)="L0",LEFT(N365,2)="L1",L365="No Iniciado")),"CRÍTICO - Incumplimiento Normativo SEPS",IF(AND(OR(LEFT(N365,2)="L4",LEFT(N365,2)="L5"),AND(P365&lt;&gt;"",P365&lt;&gt;"N/A")),"CONFORME - Control Efectivo ISO 27001","OBSERVACIÓN - Revisar Controles")))</f>
        <v/>
      </c>
    </row>
    <row r="366">
      <c r="A366">
        <f>IF(INVENTARIO!A366="","",INVENTARIO!A366)</f>
        <v/>
      </c>
      <c r="B366">
        <f>IF(INVENTARIO!E366="","",INVENTARIO!E366)</f>
        <v/>
      </c>
      <c r="C366">
        <f>IF(INVENTARIO!F366="","",INVENTARIO!F366)</f>
        <v/>
      </c>
      <c r="D366">
        <f>IF(INVENTARIO!H366="","",INVENTARIO!H366)</f>
        <v/>
      </c>
      <c r="E366">
        <f>IF(INVENTARIO!I366="","",INVENTARIO!I366)</f>
        <v/>
      </c>
      <c r="F366">
        <f>IF(INVENTARIO!N366="","",INVENTARIO!N366)</f>
        <v/>
      </c>
      <c r="G366">
        <f>IF(INVENTARIO!P366="","",INVENTARIO!P366)</f>
        <v/>
      </c>
      <c r="H366">
        <f>IF(INVENTARIO!Q366="","",INVENTARIO!Q366)</f>
        <v/>
      </c>
      <c r="I366">
        <f>IF(INVENTARIO!R366="","",INVENTARIO!R366)</f>
        <v/>
      </c>
      <c r="J366">
        <f>IF(G366="PUBLICA(1)",1,IF(G366="USO INTERNO(2)",2,IF(G366="RESTRINGIDO(3)",3,0)))+IF(H366="BAJA(1)",1,IF(H366="MEDIA(2)",2,IF(H366="ALTA(3)",3,0)))+IF(I366="BAJA(1)",1,IF(I366="MEDIA(2)",2,IF(I366="ALTA(3)",3,0)))</f>
        <v/>
      </c>
      <c r="K366">
        <f>IF(J366="", "", IF(J366&gt;=8,"ALTA",IF(J366&gt;=6,"MEDIA","BAJA")))</f>
        <v/>
      </c>
      <c r="L366">
        <f>IF(INVENTARIO!Y366="","",INVENTARIO!Y366)</f>
        <v/>
      </c>
      <c r="M366">
        <f>IF(INVENTARIO!Z366="","",INVENTARIO!Z366)</f>
        <v/>
      </c>
      <c r="N366">
        <f>IF(INVENTARIO!AA366="","",INVENTARIO!AA366)</f>
        <v/>
      </c>
      <c r="O366">
        <f>IF(INVENTARIO!AB366="","",INVENTARIO!AB366)</f>
        <v/>
      </c>
      <c r="P366">
        <f>IF(INVENTARIO!AC366="","",INVENTARIO!AC366)</f>
        <v/>
      </c>
      <c r="Q366">
        <f>IF(AND(K366="",N366="",L366=""),"",IF(AND((K366="ALTA"),OR(LEFT(N366,2)="L0",LEFT(N366,2)="L1",L366="No Iniciado")),"CRÍTICO - Incumplimiento Normativo SEPS",IF(AND(OR(LEFT(N366,2)="L4",LEFT(N366,2)="L5"),AND(P366&lt;&gt;"",P366&lt;&gt;"N/A")),"CONFORME - Control Efectivo ISO 27001","OBSERVACIÓN - Revisar Controles")))</f>
        <v/>
      </c>
    </row>
    <row r="367">
      <c r="A367">
        <f>IF(INVENTARIO!A367="","",INVENTARIO!A367)</f>
        <v/>
      </c>
      <c r="B367">
        <f>IF(INVENTARIO!E367="","",INVENTARIO!E367)</f>
        <v/>
      </c>
      <c r="C367">
        <f>IF(INVENTARIO!F367="","",INVENTARIO!F367)</f>
        <v/>
      </c>
      <c r="D367">
        <f>IF(INVENTARIO!H367="","",INVENTARIO!H367)</f>
        <v/>
      </c>
      <c r="E367">
        <f>IF(INVENTARIO!I367="","",INVENTARIO!I367)</f>
        <v/>
      </c>
      <c r="F367">
        <f>IF(INVENTARIO!N367="","",INVENTARIO!N367)</f>
        <v/>
      </c>
      <c r="G367">
        <f>IF(INVENTARIO!P367="","",INVENTARIO!P367)</f>
        <v/>
      </c>
      <c r="H367">
        <f>IF(INVENTARIO!Q367="","",INVENTARIO!Q367)</f>
        <v/>
      </c>
      <c r="I367">
        <f>IF(INVENTARIO!R367="","",INVENTARIO!R367)</f>
        <v/>
      </c>
      <c r="J367">
        <f>IF(G367="PUBLICA(1)",1,IF(G367="USO INTERNO(2)",2,IF(G367="RESTRINGIDO(3)",3,0)))+IF(H367="BAJA(1)",1,IF(H367="MEDIA(2)",2,IF(H367="ALTA(3)",3,0)))+IF(I367="BAJA(1)",1,IF(I367="MEDIA(2)",2,IF(I367="ALTA(3)",3,0)))</f>
        <v/>
      </c>
      <c r="K367">
        <f>IF(J367="", "", IF(J367&gt;=8,"ALTA",IF(J367&gt;=6,"MEDIA","BAJA")))</f>
        <v/>
      </c>
      <c r="L367">
        <f>IF(INVENTARIO!Y367="","",INVENTARIO!Y367)</f>
        <v/>
      </c>
      <c r="M367">
        <f>IF(INVENTARIO!Z367="","",INVENTARIO!Z367)</f>
        <v/>
      </c>
      <c r="N367">
        <f>IF(INVENTARIO!AA367="","",INVENTARIO!AA367)</f>
        <v/>
      </c>
      <c r="O367">
        <f>IF(INVENTARIO!AB367="","",INVENTARIO!AB367)</f>
        <v/>
      </c>
      <c r="P367">
        <f>IF(INVENTARIO!AC367="","",INVENTARIO!AC367)</f>
        <v/>
      </c>
      <c r="Q367">
        <f>IF(AND(K367="",N367="",L367=""),"",IF(AND((K367="ALTA"),OR(LEFT(N367,2)="L0",LEFT(N367,2)="L1",L367="No Iniciado")),"CRÍTICO - Incumplimiento Normativo SEPS",IF(AND(OR(LEFT(N367,2)="L4",LEFT(N367,2)="L5"),AND(P367&lt;&gt;"",P367&lt;&gt;"N/A")),"CONFORME - Control Efectivo ISO 27001","OBSERVACIÓN - Revisar Controles")))</f>
        <v/>
      </c>
    </row>
    <row r="368">
      <c r="A368">
        <f>IF(INVENTARIO!A368="","",INVENTARIO!A368)</f>
        <v/>
      </c>
      <c r="B368">
        <f>IF(INVENTARIO!E368="","",INVENTARIO!E368)</f>
        <v/>
      </c>
      <c r="C368">
        <f>IF(INVENTARIO!F368="","",INVENTARIO!F368)</f>
        <v/>
      </c>
      <c r="D368">
        <f>IF(INVENTARIO!H368="","",INVENTARIO!H368)</f>
        <v/>
      </c>
      <c r="E368">
        <f>IF(INVENTARIO!I368="","",INVENTARIO!I368)</f>
        <v/>
      </c>
      <c r="F368">
        <f>IF(INVENTARIO!N368="","",INVENTARIO!N368)</f>
        <v/>
      </c>
      <c r="G368">
        <f>IF(INVENTARIO!P368="","",INVENTARIO!P368)</f>
        <v/>
      </c>
      <c r="H368">
        <f>IF(INVENTARIO!Q368="","",INVENTARIO!Q368)</f>
        <v/>
      </c>
      <c r="I368">
        <f>IF(INVENTARIO!R368="","",INVENTARIO!R368)</f>
        <v/>
      </c>
      <c r="J368">
        <f>IF(G368="PUBLICA(1)",1,IF(G368="USO INTERNO(2)",2,IF(G368="RESTRINGIDO(3)",3,0)))+IF(H368="BAJA(1)",1,IF(H368="MEDIA(2)",2,IF(H368="ALTA(3)",3,0)))+IF(I368="BAJA(1)",1,IF(I368="MEDIA(2)",2,IF(I368="ALTA(3)",3,0)))</f>
        <v/>
      </c>
      <c r="K368">
        <f>IF(J368="", "", IF(J368&gt;=8,"ALTA",IF(J368&gt;=6,"MEDIA","BAJA")))</f>
        <v/>
      </c>
      <c r="L368">
        <f>IF(INVENTARIO!Y368="","",INVENTARIO!Y368)</f>
        <v/>
      </c>
      <c r="M368">
        <f>IF(INVENTARIO!Z368="","",INVENTARIO!Z368)</f>
        <v/>
      </c>
      <c r="N368">
        <f>IF(INVENTARIO!AA368="","",INVENTARIO!AA368)</f>
        <v/>
      </c>
      <c r="O368">
        <f>IF(INVENTARIO!AB368="","",INVENTARIO!AB368)</f>
        <v/>
      </c>
      <c r="P368">
        <f>IF(INVENTARIO!AC368="","",INVENTARIO!AC368)</f>
        <v/>
      </c>
      <c r="Q368">
        <f>IF(AND(K368="",N368="",L368=""),"",IF(AND((K368="ALTA"),OR(LEFT(N368,2)="L0",LEFT(N368,2)="L1",L368="No Iniciado")),"CRÍTICO - Incumplimiento Normativo SEPS",IF(AND(OR(LEFT(N368,2)="L4",LEFT(N368,2)="L5"),AND(P368&lt;&gt;"",P368&lt;&gt;"N/A")),"CONFORME - Control Efectivo ISO 27001","OBSERVACIÓN - Revisar Controles")))</f>
        <v/>
      </c>
    </row>
    <row r="369">
      <c r="A369">
        <f>IF(INVENTARIO!A369="","",INVENTARIO!A369)</f>
        <v/>
      </c>
      <c r="B369">
        <f>IF(INVENTARIO!E369="","",INVENTARIO!E369)</f>
        <v/>
      </c>
      <c r="C369">
        <f>IF(INVENTARIO!F369="","",INVENTARIO!F369)</f>
        <v/>
      </c>
      <c r="D369">
        <f>IF(INVENTARIO!H369="","",INVENTARIO!H369)</f>
        <v/>
      </c>
      <c r="E369">
        <f>IF(INVENTARIO!I369="","",INVENTARIO!I369)</f>
        <v/>
      </c>
      <c r="F369">
        <f>IF(INVENTARIO!N369="","",INVENTARIO!N369)</f>
        <v/>
      </c>
      <c r="G369">
        <f>IF(INVENTARIO!P369="","",INVENTARIO!P369)</f>
        <v/>
      </c>
      <c r="H369">
        <f>IF(INVENTARIO!Q369="","",INVENTARIO!Q369)</f>
        <v/>
      </c>
      <c r="I369">
        <f>IF(INVENTARIO!R369="","",INVENTARIO!R369)</f>
        <v/>
      </c>
      <c r="J369">
        <f>IF(G369="PUBLICA(1)",1,IF(G369="USO INTERNO(2)",2,IF(G369="RESTRINGIDO(3)",3,0)))+IF(H369="BAJA(1)",1,IF(H369="MEDIA(2)",2,IF(H369="ALTA(3)",3,0)))+IF(I369="BAJA(1)",1,IF(I369="MEDIA(2)",2,IF(I369="ALTA(3)",3,0)))</f>
        <v/>
      </c>
      <c r="K369">
        <f>IF(J369="", "", IF(J369&gt;=8,"ALTA",IF(J369&gt;=6,"MEDIA","BAJA")))</f>
        <v/>
      </c>
      <c r="L369">
        <f>IF(INVENTARIO!Y369="","",INVENTARIO!Y369)</f>
        <v/>
      </c>
      <c r="M369">
        <f>IF(INVENTARIO!Z369="","",INVENTARIO!Z369)</f>
        <v/>
      </c>
      <c r="N369">
        <f>IF(INVENTARIO!AA369="","",INVENTARIO!AA369)</f>
        <v/>
      </c>
      <c r="O369">
        <f>IF(INVENTARIO!AB369="","",INVENTARIO!AB369)</f>
        <v/>
      </c>
      <c r="P369">
        <f>IF(INVENTARIO!AC369="","",INVENTARIO!AC369)</f>
        <v/>
      </c>
      <c r="Q369">
        <f>IF(AND(K369="",N369="",L369=""),"",IF(AND((K369="ALTA"),OR(LEFT(N369,2)="L0",LEFT(N369,2)="L1",L369="No Iniciado")),"CRÍTICO - Incumplimiento Normativo SEPS",IF(AND(OR(LEFT(N369,2)="L4",LEFT(N369,2)="L5"),AND(P369&lt;&gt;"",P369&lt;&gt;"N/A")),"CONFORME - Control Efectivo ISO 27001","OBSERVACIÓN - Revisar Controles")))</f>
        <v/>
      </c>
    </row>
    <row r="370">
      <c r="A370">
        <f>IF(INVENTARIO!A370="","",INVENTARIO!A370)</f>
        <v/>
      </c>
      <c r="B370">
        <f>IF(INVENTARIO!E370="","",INVENTARIO!E370)</f>
        <v/>
      </c>
      <c r="C370">
        <f>IF(INVENTARIO!F370="","",INVENTARIO!F370)</f>
        <v/>
      </c>
      <c r="D370">
        <f>IF(INVENTARIO!H370="","",INVENTARIO!H370)</f>
        <v/>
      </c>
      <c r="E370">
        <f>IF(INVENTARIO!I370="","",INVENTARIO!I370)</f>
        <v/>
      </c>
      <c r="F370">
        <f>IF(INVENTARIO!N370="","",INVENTARIO!N370)</f>
        <v/>
      </c>
      <c r="G370">
        <f>IF(INVENTARIO!P370="","",INVENTARIO!P370)</f>
        <v/>
      </c>
      <c r="H370">
        <f>IF(INVENTARIO!Q370="","",INVENTARIO!Q370)</f>
        <v/>
      </c>
      <c r="I370">
        <f>IF(INVENTARIO!R370="","",INVENTARIO!R370)</f>
        <v/>
      </c>
      <c r="J370">
        <f>IF(G370="PUBLICA(1)",1,IF(G370="USO INTERNO(2)",2,IF(G370="RESTRINGIDO(3)",3,0)))+IF(H370="BAJA(1)",1,IF(H370="MEDIA(2)",2,IF(H370="ALTA(3)",3,0)))+IF(I370="BAJA(1)",1,IF(I370="MEDIA(2)",2,IF(I370="ALTA(3)",3,0)))</f>
        <v/>
      </c>
      <c r="K370">
        <f>IF(J370="", "", IF(J370&gt;=8,"ALTA",IF(J370&gt;=6,"MEDIA","BAJA")))</f>
        <v/>
      </c>
      <c r="L370">
        <f>IF(INVENTARIO!Y370="","",INVENTARIO!Y370)</f>
        <v/>
      </c>
      <c r="M370">
        <f>IF(INVENTARIO!Z370="","",INVENTARIO!Z370)</f>
        <v/>
      </c>
      <c r="N370">
        <f>IF(INVENTARIO!AA370="","",INVENTARIO!AA370)</f>
        <v/>
      </c>
      <c r="O370">
        <f>IF(INVENTARIO!AB370="","",INVENTARIO!AB370)</f>
        <v/>
      </c>
      <c r="P370">
        <f>IF(INVENTARIO!AC370="","",INVENTARIO!AC370)</f>
        <v/>
      </c>
      <c r="Q370">
        <f>IF(AND(K370="",N370="",L370=""),"",IF(AND((K370="ALTA"),OR(LEFT(N370,2)="L0",LEFT(N370,2)="L1",L370="No Iniciado")),"CRÍTICO - Incumplimiento Normativo SEPS",IF(AND(OR(LEFT(N370,2)="L4",LEFT(N370,2)="L5"),AND(P370&lt;&gt;"",P370&lt;&gt;"N/A")),"CONFORME - Control Efectivo ISO 27001","OBSERVACIÓN - Revisar Controles")))</f>
        <v/>
      </c>
    </row>
    <row r="371">
      <c r="A371">
        <f>IF(INVENTARIO!A371="","",INVENTARIO!A371)</f>
        <v/>
      </c>
      <c r="B371">
        <f>IF(INVENTARIO!E371="","",INVENTARIO!E371)</f>
        <v/>
      </c>
      <c r="C371">
        <f>IF(INVENTARIO!F371="","",INVENTARIO!F371)</f>
        <v/>
      </c>
      <c r="D371">
        <f>IF(INVENTARIO!H371="","",INVENTARIO!H371)</f>
        <v/>
      </c>
      <c r="E371">
        <f>IF(INVENTARIO!I371="","",INVENTARIO!I371)</f>
        <v/>
      </c>
      <c r="F371">
        <f>IF(INVENTARIO!N371="","",INVENTARIO!N371)</f>
        <v/>
      </c>
      <c r="G371">
        <f>IF(INVENTARIO!P371="","",INVENTARIO!P371)</f>
        <v/>
      </c>
      <c r="H371">
        <f>IF(INVENTARIO!Q371="","",INVENTARIO!Q371)</f>
        <v/>
      </c>
      <c r="I371">
        <f>IF(INVENTARIO!R371="","",INVENTARIO!R371)</f>
        <v/>
      </c>
      <c r="J371">
        <f>IF(G371="PUBLICA(1)",1,IF(G371="USO INTERNO(2)",2,IF(G371="RESTRINGIDO(3)",3,0)))+IF(H371="BAJA(1)",1,IF(H371="MEDIA(2)",2,IF(H371="ALTA(3)",3,0)))+IF(I371="BAJA(1)",1,IF(I371="MEDIA(2)",2,IF(I371="ALTA(3)",3,0)))</f>
        <v/>
      </c>
      <c r="K371">
        <f>IF(J371="", "", IF(J371&gt;=8,"ALTA",IF(J371&gt;=6,"MEDIA","BAJA")))</f>
        <v/>
      </c>
      <c r="L371">
        <f>IF(INVENTARIO!Y371="","",INVENTARIO!Y371)</f>
        <v/>
      </c>
      <c r="M371">
        <f>IF(INVENTARIO!Z371="","",INVENTARIO!Z371)</f>
        <v/>
      </c>
      <c r="N371">
        <f>IF(INVENTARIO!AA371="","",INVENTARIO!AA371)</f>
        <v/>
      </c>
      <c r="O371">
        <f>IF(INVENTARIO!AB371="","",INVENTARIO!AB371)</f>
        <v/>
      </c>
      <c r="P371">
        <f>IF(INVENTARIO!AC371="","",INVENTARIO!AC371)</f>
        <v/>
      </c>
      <c r="Q371">
        <f>IF(AND(K371="",N371="",L371=""),"",IF(AND((K371="ALTA"),OR(LEFT(N371,2)="L0",LEFT(N371,2)="L1",L371="No Iniciado")),"CRÍTICO - Incumplimiento Normativo SEPS",IF(AND(OR(LEFT(N371,2)="L4",LEFT(N371,2)="L5"),AND(P371&lt;&gt;"",P371&lt;&gt;"N/A")),"CONFORME - Control Efectivo ISO 27001","OBSERVACIÓN - Revisar Controles")))</f>
        <v/>
      </c>
    </row>
    <row r="372">
      <c r="A372">
        <f>IF(INVENTARIO!A372="","",INVENTARIO!A372)</f>
        <v/>
      </c>
      <c r="B372">
        <f>IF(INVENTARIO!E372="","",INVENTARIO!E372)</f>
        <v/>
      </c>
      <c r="C372">
        <f>IF(INVENTARIO!F372="","",INVENTARIO!F372)</f>
        <v/>
      </c>
      <c r="D372">
        <f>IF(INVENTARIO!H372="","",INVENTARIO!H372)</f>
        <v/>
      </c>
      <c r="E372">
        <f>IF(INVENTARIO!I372="","",INVENTARIO!I372)</f>
        <v/>
      </c>
      <c r="F372">
        <f>IF(INVENTARIO!N372="","",INVENTARIO!N372)</f>
        <v/>
      </c>
      <c r="G372">
        <f>IF(INVENTARIO!P372="","",INVENTARIO!P372)</f>
        <v/>
      </c>
      <c r="H372">
        <f>IF(INVENTARIO!Q372="","",INVENTARIO!Q372)</f>
        <v/>
      </c>
      <c r="I372">
        <f>IF(INVENTARIO!R372="","",INVENTARIO!R372)</f>
        <v/>
      </c>
      <c r="J372">
        <f>IF(G372="PUBLICA(1)",1,IF(G372="USO INTERNO(2)",2,IF(G372="RESTRINGIDO(3)",3,0)))+IF(H372="BAJA(1)",1,IF(H372="MEDIA(2)",2,IF(H372="ALTA(3)",3,0)))+IF(I372="BAJA(1)",1,IF(I372="MEDIA(2)",2,IF(I372="ALTA(3)",3,0)))</f>
        <v/>
      </c>
      <c r="K372">
        <f>IF(J372="", "", IF(J372&gt;=8,"ALTA",IF(J372&gt;=6,"MEDIA","BAJA")))</f>
        <v/>
      </c>
      <c r="L372">
        <f>IF(INVENTARIO!Y372="","",INVENTARIO!Y372)</f>
        <v/>
      </c>
      <c r="M372">
        <f>IF(INVENTARIO!Z372="","",INVENTARIO!Z372)</f>
        <v/>
      </c>
      <c r="N372">
        <f>IF(INVENTARIO!AA372="","",INVENTARIO!AA372)</f>
        <v/>
      </c>
      <c r="O372">
        <f>IF(INVENTARIO!AB372="","",INVENTARIO!AB372)</f>
        <v/>
      </c>
      <c r="P372">
        <f>IF(INVENTARIO!AC372="","",INVENTARIO!AC372)</f>
        <v/>
      </c>
      <c r="Q372">
        <f>IF(AND(K372="",N372="",L372=""),"",IF(AND((K372="ALTA"),OR(LEFT(N372,2)="L0",LEFT(N372,2)="L1",L372="No Iniciado")),"CRÍTICO - Incumplimiento Normativo SEPS",IF(AND(OR(LEFT(N372,2)="L4",LEFT(N372,2)="L5"),AND(P372&lt;&gt;"",P372&lt;&gt;"N/A")),"CONFORME - Control Efectivo ISO 27001","OBSERVACIÓN - Revisar Controles")))</f>
        <v/>
      </c>
    </row>
    <row r="373">
      <c r="A373">
        <f>IF(INVENTARIO!A373="","",INVENTARIO!A373)</f>
        <v/>
      </c>
      <c r="B373">
        <f>IF(INVENTARIO!E373="","",INVENTARIO!E373)</f>
        <v/>
      </c>
      <c r="C373">
        <f>IF(INVENTARIO!F373="","",INVENTARIO!F373)</f>
        <v/>
      </c>
      <c r="D373">
        <f>IF(INVENTARIO!H373="","",INVENTARIO!H373)</f>
        <v/>
      </c>
      <c r="E373">
        <f>IF(INVENTARIO!I373="","",INVENTARIO!I373)</f>
        <v/>
      </c>
      <c r="F373">
        <f>IF(INVENTARIO!N373="","",INVENTARIO!N373)</f>
        <v/>
      </c>
      <c r="G373">
        <f>IF(INVENTARIO!P373="","",INVENTARIO!P373)</f>
        <v/>
      </c>
      <c r="H373">
        <f>IF(INVENTARIO!Q373="","",INVENTARIO!Q373)</f>
        <v/>
      </c>
      <c r="I373">
        <f>IF(INVENTARIO!R373="","",INVENTARIO!R373)</f>
        <v/>
      </c>
      <c r="J373">
        <f>IF(G373="PUBLICA(1)",1,IF(G373="USO INTERNO(2)",2,IF(G373="RESTRINGIDO(3)",3,0)))+IF(H373="BAJA(1)",1,IF(H373="MEDIA(2)",2,IF(H373="ALTA(3)",3,0)))+IF(I373="BAJA(1)",1,IF(I373="MEDIA(2)",2,IF(I373="ALTA(3)",3,0)))</f>
        <v/>
      </c>
      <c r="K373">
        <f>IF(J373="", "", IF(J373&gt;=8,"ALTA",IF(J373&gt;=6,"MEDIA","BAJA")))</f>
        <v/>
      </c>
      <c r="L373">
        <f>IF(INVENTARIO!Y373="","",INVENTARIO!Y373)</f>
        <v/>
      </c>
      <c r="M373">
        <f>IF(INVENTARIO!Z373="","",INVENTARIO!Z373)</f>
        <v/>
      </c>
      <c r="N373">
        <f>IF(INVENTARIO!AA373="","",INVENTARIO!AA373)</f>
        <v/>
      </c>
      <c r="O373">
        <f>IF(INVENTARIO!AB373="","",INVENTARIO!AB373)</f>
        <v/>
      </c>
      <c r="P373">
        <f>IF(INVENTARIO!AC373="","",INVENTARIO!AC373)</f>
        <v/>
      </c>
      <c r="Q373">
        <f>IF(AND(K373="",N373="",L373=""),"",IF(AND((K373="ALTA"),OR(LEFT(N373,2)="L0",LEFT(N373,2)="L1",L373="No Iniciado")),"CRÍTICO - Incumplimiento Normativo SEPS",IF(AND(OR(LEFT(N373,2)="L4",LEFT(N373,2)="L5"),AND(P373&lt;&gt;"",P373&lt;&gt;"N/A")),"CONFORME - Control Efectivo ISO 27001","OBSERVACIÓN - Revisar Controles")))</f>
        <v/>
      </c>
    </row>
    <row r="374">
      <c r="A374">
        <f>IF(INVENTARIO!A374="","",INVENTARIO!A374)</f>
        <v/>
      </c>
      <c r="B374">
        <f>IF(INVENTARIO!E374="","",INVENTARIO!E374)</f>
        <v/>
      </c>
      <c r="C374">
        <f>IF(INVENTARIO!F374="","",INVENTARIO!F374)</f>
        <v/>
      </c>
      <c r="D374">
        <f>IF(INVENTARIO!H374="","",INVENTARIO!H374)</f>
        <v/>
      </c>
      <c r="E374">
        <f>IF(INVENTARIO!I374="","",INVENTARIO!I374)</f>
        <v/>
      </c>
      <c r="F374">
        <f>IF(INVENTARIO!N374="","",INVENTARIO!N374)</f>
        <v/>
      </c>
      <c r="G374">
        <f>IF(INVENTARIO!P374="","",INVENTARIO!P374)</f>
        <v/>
      </c>
      <c r="H374">
        <f>IF(INVENTARIO!Q374="","",INVENTARIO!Q374)</f>
        <v/>
      </c>
      <c r="I374">
        <f>IF(INVENTARIO!R374="","",INVENTARIO!R374)</f>
        <v/>
      </c>
      <c r="J374">
        <f>IF(G374="PUBLICA(1)",1,IF(G374="USO INTERNO(2)",2,IF(G374="RESTRINGIDO(3)",3,0)))+IF(H374="BAJA(1)",1,IF(H374="MEDIA(2)",2,IF(H374="ALTA(3)",3,0)))+IF(I374="BAJA(1)",1,IF(I374="MEDIA(2)",2,IF(I374="ALTA(3)",3,0)))</f>
        <v/>
      </c>
      <c r="K374">
        <f>IF(J374="", "", IF(J374&gt;=8,"ALTA",IF(J374&gt;=6,"MEDIA","BAJA")))</f>
        <v/>
      </c>
      <c r="L374">
        <f>IF(INVENTARIO!Y374="","",INVENTARIO!Y374)</f>
        <v/>
      </c>
      <c r="M374">
        <f>IF(INVENTARIO!Z374="","",INVENTARIO!Z374)</f>
        <v/>
      </c>
      <c r="N374">
        <f>IF(INVENTARIO!AA374="","",INVENTARIO!AA374)</f>
        <v/>
      </c>
      <c r="O374">
        <f>IF(INVENTARIO!AB374="","",INVENTARIO!AB374)</f>
        <v/>
      </c>
      <c r="P374">
        <f>IF(INVENTARIO!AC374="","",INVENTARIO!AC374)</f>
        <v/>
      </c>
      <c r="Q374">
        <f>IF(AND(K374="",N374="",L374=""),"",IF(AND((K374="ALTA"),OR(LEFT(N374,2)="L0",LEFT(N374,2)="L1",L374="No Iniciado")),"CRÍTICO - Incumplimiento Normativo SEPS",IF(AND(OR(LEFT(N374,2)="L4",LEFT(N374,2)="L5"),AND(P374&lt;&gt;"",P374&lt;&gt;"N/A")),"CONFORME - Control Efectivo ISO 27001","OBSERVACIÓN - Revisar Controles")))</f>
        <v/>
      </c>
    </row>
    <row r="375">
      <c r="A375">
        <f>IF(INVENTARIO!A375="","",INVENTARIO!A375)</f>
        <v/>
      </c>
      <c r="B375">
        <f>IF(INVENTARIO!E375="","",INVENTARIO!E375)</f>
        <v/>
      </c>
      <c r="C375">
        <f>IF(INVENTARIO!F375="","",INVENTARIO!F375)</f>
        <v/>
      </c>
      <c r="D375">
        <f>IF(INVENTARIO!H375="","",INVENTARIO!H375)</f>
        <v/>
      </c>
      <c r="E375">
        <f>IF(INVENTARIO!I375="","",INVENTARIO!I375)</f>
        <v/>
      </c>
      <c r="F375">
        <f>IF(INVENTARIO!N375="","",INVENTARIO!N375)</f>
        <v/>
      </c>
      <c r="G375">
        <f>IF(INVENTARIO!P375="","",INVENTARIO!P375)</f>
        <v/>
      </c>
      <c r="H375">
        <f>IF(INVENTARIO!Q375="","",INVENTARIO!Q375)</f>
        <v/>
      </c>
      <c r="I375">
        <f>IF(INVENTARIO!R375="","",INVENTARIO!R375)</f>
        <v/>
      </c>
      <c r="J375">
        <f>IF(G375="PUBLICA(1)",1,IF(G375="USO INTERNO(2)",2,IF(G375="RESTRINGIDO(3)",3,0)))+IF(H375="BAJA(1)",1,IF(H375="MEDIA(2)",2,IF(H375="ALTA(3)",3,0)))+IF(I375="BAJA(1)",1,IF(I375="MEDIA(2)",2,IF(I375="ALTA(3)",3,0)))</f>
        <v/>
      </c>
      <c r="K375">
        <f>IF(J375="", "", IF(J375&gt;=8,"ALTA",IF(J375&gt;=6,"MEDIA","BAJA")))</f>
        <v/>
      </c>
      <c r="L375">
        <f>IF(INVENTARIO!Y375="","",INVENTARIO!Y375)</f>
        <v/>
      </c>
      <c r="M375">
        <f>IF(INVENTARIO!Z375="","",INVENTARIO!Z375)</f>
        <v/>
      </c>
      <c r="N375">
        <f>IF(INVENTARIO!AA375="","",INVENTARIO!AA375)</f>
        <v/>
      </c>
      <c r="O375">
        <f>IF(INVENTARIO!AB375="","",INVENTARIO!AB375)</f>
        <v/>
      </c>
      <c r="P375">
        <f>IF(INVENTARIO!AC375="","",INVENTARIO!AC375)</f>
        <v/>
      </c>
      <c r="Q375">
        <f>IF(AND(K375="",N375="",L375=""),"",IF(AND((K375="ALTA"),OR(LEFT(N375,2)="L0",LEFT(N375,2)="L1",L375="No Iniciado")),"CRÍTICO - Incumplimiento Normativo SEPS",IF(AND(OR(LEFT(N375,2)="L4",LEFT(N375,2)="L5"),AND(P375&lt;&gt;"",P375&lt;&gt;"N/A")),"CONFORME - Control Efectivo ISO 27001","OBSERVACIÓN - Revisar Controles")))</f>
        <v/>
      </c>
    </row>
    <row r="376">
      <c r="A376">
        <f>IF(INVENTARIO!A376="","",INVENTARIO!A376)</f>
        <v/>
      </c>
      <c r="B376">
        <f>IF(INVENTARIO!E376="","",INVENTARIO!E376)</f>
        <v/>
      </c>
      <c r="C376">
        <f>IF(INVENTARIO!F376="","",INVENTARIO!F376)</f>
        <v/>
      </c>
      <c r="D376">
        <f>IF(INVENTARIO!H376="","",INVENTARIO!H376)</f>
        <v/>
      </c>
      <c r="E376">
        <f>IF(INVENTARIO!I376="","",INVENTARIO!I376)</f>
        <v/>
      </c>
      <c r="F376">
        <f>IF(INVENTARIO!N376="","",INVENTARIO!N376)</f>
        <v/>
      </c>
      <c r="G376">
        <f>IF(INVENTARIO!P376="","",INVENTARIO!P376)</f>
        <v/>
      </c>
      <c r="H376">
        <f>IF(INVENTARIO!Q376="","",INVENTARIO!Q376)</f>
        <v/>
      </c>
      <c r="I376">
        <f>IF(INVENTARIO!R376="","",INVENTARIO!R376)</f>
        <v/>
      </c>
      <c r="J376">
        <f>IF(G376="PUBLICA(1)",1,IF(G376="USO INTERNO(2)",2,IF(G376="RESTRINGIDO(3)",3,0)))+IF(H376="BAJA(1)",1,IF(H376="MEDIA(2)",2,IF(H376="ALTA(3)",3,0)))+IF(I376="BAJA(1)",1,IF(I376="MEDIA(2)",2,IF(I376="ALTA(3)",3,0)))</f>
        <v/>
      </c>
      <c r="K376">
        <f>IF(J376="", "", IF(J376&gt;=8,"ALTA",IF(J376&gt;=6,"MEDIA","BAJA")))</f>
        <v/>
      </c>
      <c r="L376">
        <f>IF(INVENTARIO!Y376="","",INVENTARIO!Y376)</f>
        <v/>
      </c>
      <c r="M376">
        <f>IF(INVENTARIO!Z376="","",INVENTARIO!Z376)</f>
        <v/>
      </c>
      <c r="N376">
        <f>IF(INVENTARIO!AA376="","",INVENTARIO!AA376)</f>
        <v/>
      </c>
      <c r="O376">
        <f>IF(INVENTARIO!AB376="","",INVENTARIO!AB376)</f>
        <v/>
      </c>
      <c r="P376">
        <f>IF(INVENTARIO!AC376="","",INVENTARIO!AC376)</f>
        <v/>
      </c>
      <c r="Q376">
        <f>IF(AND(K376="",N376="",L376=""),"",IF(AND((K376="ALTA"),OR(LEFT(N376,2)="L0",LEFT(N376,2)="L1",L376="No Iniciado")),"CRÍTICO - Incumplimiento Normativo SEPS",IF(AND(OR(LEFT(N376,2)="L4",LEFT(N376,2)="L5"),AND(P376&lt;&gt;"",P376&lt;&gt;"N/A")),"CONFORME - Control Efectivo ISO 27001","OBSERVACIÓN - Revisar Controles")))</f>
        <v/>
      </c>
    </row>
    <row r="377">
      <c r="A377">
        <f>IF(INVENTARIO!A377="","",INVENTARIO!A377)</f>
        <v/>
      </c>
      <c r="B377">
        <f>IF(INVENTARIO!E377="","",INVENTARIO!E377)</f>
        <v/>
      </c>
      <c r="C377">
        <f>IF(INVENTARIO!F377="","",INVENTARIO!F377)</f>
        <v/>
      </c>
      <c r="D377">
        <f>IF(INVENTARIO!H377="","",INVENTARIO!H377)</f>
        <v/>
      </c>
      <c r="E377">
        <f>IF(INVENTARIO!I377="","",INVENTARIO!I377)</f>
        <v/>
      </c>
      <c r="F377">
        <f>IF(INVENTARIO!N377="","",INVENTARIO!N377)</f>
        <v/>
      </c>
      <c r="G377">
        <f>IF(INVENTARIO!P377="","",INVENTARIO!P377)</f>
        <v/>
      </c>
      <c r="H377">
        <f>IF(INVENTARIO!Q377="","",INVENTARIO!Q377)</f>
        <v/>
      </c>
      <c r="I377">
        <f>IF(INVENTARIO!R377="","",INVENTARIO!R377)</f>
        <v/>
      </c>
      <c r="J377">
        <f>IF(G377="PUBLICA(1)",1,IF(G377="USO INTERNO(2)",2,IF(G377="RESTRINGIDO(3)",3,0)))+IF(H377="BAJA(1)",1,IF(H377="MEDIA(2)",2,IF(H377="ALTA(3)",3,0)))+IF(I377="BAJA(1)",1,IF(I377="MEDIA(2)",2,IF(I377="ALTA(3)",3,0)))</f>
        <v/>
      </c>
      <c r="K377">
        <f>IF(J377="", "", IF(J377&gt;=8,"ALTA",IF(J377&gt;=6,"MEDIA","BAJA")))</f>
        <v/>
      </c>
      <c r="L377">
        <f>IF(INVENTARIO!Y377="","",INVENTARIO!Y377)</f>
        <v/>
      </c>
      <c r="M377">
        <f>IF(INVENTARIO!Z377="","",INVENTARIO!Z377)</f>
        <v/>
      </c>
      <c r="N377">
        <f>IF(INVENTARIO!AA377="","",INVENTARIO!AA377)</f>
        <v/>
      </c>
      <c r="O377">
        <f>IF(INVENTARIO!AB377="","",INVENTARIO!AB377)</f>
        <v/>
      </c>
      <c r="P377">
        <f>IF(INVENTARIO!AC377="","",INVENTARIO!AC377)</f>
        <v/>
      </c>
      <c r="Q377">
        <f>IF(AND(K377="",N377="",L377=""),"",IF(AND((K377="ALTA"),OR(LEFT(N377,2)="L0",LEFT(N377,2)="L1",L377="No Iniciado")),"CRÍTICO - Incumplimiento Normativo SEPS",IF(AND(OR(LEFT(N377,2)="L4",LEFT(N377,2)="L5"),AND(P377&lt;&gt;"",P377&lt;&gt;"N/A")),"CONFORME - Control Efectivo ISO 27001","OBSERVACIÓN - Revisar Controles")))</f>
        <v/>
      </c>
    </row>
    <row r="378">
      <c r="A378">
        <f>IF(INVENTARIO!A378="","",INVENTARIO!A378)</f>
        <v/>
      </c>
      <c r="B378">
        <f>IF(INVENTARIO!E378="","",INVENTARIO!E378)</f>
        <v/>
      </c>
      <c r="C378">
        <f>IF(INVENTARIO!F378="","",INVENTARIO!F378)</f>
        <v/>
      </c>
      <c r="D378">
        <f>IF(INVENTARIO!H378="","",INVENTARIO!H378)</f>
        <v/>
      </c>
      <c r="E378">
        <f>IF(INVENTARIO!I378="","",INVENTARIO!I378)</f>
        <v/>
      </c>
      <c r="F378">
        <f>IF(INVENTARIO!N378="","",INVENTARIO!N378)</f>
        <v/>
      </c>
      <c r="G378">
        <f>IF(INVENTARIO!P378="","",INVENTARIO!P378)</f>
        <v/>
      </c>
      <c r="H378">
        <f>IF(INVENTARIO!Q378="","",INVENTARIO!Q378)</f>
        <v/>
      </c>
      <c r="I378">
        <f>IF(INVENTARIO!R378="","",INVENTARIO!R378)</f>
        <v/>
      </c>
      <c r="J378">
        <f>IF(G378="PUBLICA(1)",1,IF(G378="USO INTERNO(2)",2,IF(G378="RESTRINGIDO(3)",3,0)))+IF(H378="BAJA(1)",1,IF(H378="MEDIA(2)",2,IF(H378="ALTA(3)",3,0)))+IF(I378="BAJA(1)",1,IF(I378="MEDIA(2)",2,IF(I378="ALTA(3)",3,0)))</f>
        <v/>
      </c>
      <c r="K378">
        <f>IF(J378="", "", IF(J378&gt;=8,"ALTA",IF(J378&gt;=6,"MEDIA","BAJA")))</f>
        <v/>
      </c>
      <c r="L378">
        <f>IF(INVENTARIO!Y378="","",INVENTARIO!Y378)</f>
        <v/>
      </c>
      <c r="M378">
        <f>IF(INVENTARIO!Z378="","",INVENTARIO!Z378)</f>
        <v/>
      </c>
      <c r="N378">
        <f>IF(INVENTARIO!AA378="","",INVENTARIO!AA378)</f>
        <v/>
      </c>
      <c r="O378">
        <f>IF(INVENTARIO!AB378="","",INVENTARIO!AB378)</f>
        <v/>
      </c>
      <c r="P378">
        <f>IF(INVENTARIO!AC378="","",INVENTARIO!AC378)</f>
        <v/>
      </c>
      <c r="Q378">
        <f>IF(AND(K378="",N378="",L378=""),"",IF(AND((K378="ALTA"),OR(LEFT(N378,2)="L0",LEFT(N378,2)="L1",L378="No Iniciado")),"CRÍTICO - Incumplimiento Normativo SEPS",IF(AND(OR(LEFT(N378,2)="L4",LEFT(N378,2)="L5"),AND(P378&lt;&gt;"",P378&lt;&gt;"N/A")),"CONFORME - Control Efectivo ISO 27001","OBSERVACIÓN - Revisar Controles")))</f>
        <v/>
      </c>
    </row>
    <row r="379">
      <c r="A379">
        <f>IF(INVENTARIO!A379="","",INVENTARIO!A379)</f>
        <v/>
      </c>
      <c r="B379">
        <f>IF(INVENTARIO!E379="","",INVENTARIO!E379)</f>
        <v/>
      </c>
      <c r="C379">
        <f>IF(INVENTARIO!F379="","",INVENTARIO!F379)</f>
        <v/>
      </c>
      <c r="D379">
        <f>IF(INVENTARIO!H379="","",INVENTARIO!H379)</f>
        <v/>
      </c>
      <c r="E379">
        <f>IF(INVENTARIO!I379="","",INVENTARIO!I379)</f>
        <v/>
      </c>
      <c r="F379">
        <f>IF(INVENTARIO!N379="","",INVENTARIO!N379)</f>
        <v/>
      </c>
      <c r="G379">
        <f>IF(INVENTARIO!P379="","",INVENTARIO!P379)</f>
        <v/>
      </c>
      <c r="H379">
        <f>IF(INVENTARIO!Q379="","",INVENTARIO!Q379)</f>
        <v/>
      </c>
      <c r="I379">
        <f>IF(INVENTARIO!R379="","",INVENTARIO!R379)</f>
        <v/>
      </c>
      <c r="J379">
        <f>IF(G379="PUBLICA(1)",1,IF(G379="USO INTERNO(2)",2,IF(G379="RESTRINGIDO(3)",3,0)))+IF(H379="BAJA(1)",1,IF(H379="MEDIA(2)",2,IF(H379="ALTA(3)",3,0)))+IF(I379="BAJA(1)",1,IF(I379="MEDIA(2)",2,IF(I379="ALTA(3)",3,0)))</f>
        <v/>
      </c>
      <c r="K379">
        <f>IF(J379="", "", IF(J379&gt;=8,"ALTA",IF(J379&gt;=6,"MEDIA","BAJA")))</f>
        <v/>
      </c>
      <c r="L379">
        <f>IF(INVENTARIO!Y379="","",INVENTARIO!Y379)</f>
        <v/>
      </c>
      <c r="M379">
        <f>IF(INVENTARIO!Z379="","",INVENTARIO!Z379)</f>
        <v/>
      </c>
      <c r="N379">
        <f>IF(INVENTARIO!AA379="","",INVENTARIO!AA379)</f>
        <v/>
      </c>
      <c r="O379">
        <f>IF(INVENTARIO!AB379="","",INVENTARIO!AB379)</f>
        <v/>
      </c>
      <c r="P379">
        <f>IF(INVENTARIO!AC379="","",INVENTARIO!AC379)</f>
        <v/>
      </c>
      <c r="Q379">
        <f>IF(AND(K379="",N379="",L379=""),"",IF(AND((K379="ALTA"),OR(LEFT(N379,2)="L0",LEFT(N379,2)="L1",L379="No Iniciado")),"CRÍTICO - Incumplimiento Normativo SEPS",IF(AND(OR(LEFT(N379,2)="L4",LEFT(N379,2)="L5"),AND(P379&lt;&gt;"",P379&lt;&gt;"N/A")),"CONFORME - Control Efectivo ISO 27001","OBSERVACIÓN - Revisar Controles")))</f>
        <v/>
      </c>
    </row>
    <row r="380">
      <c r="A380">
        <f>IF(INVENTARIO!A380="","",INVENTARIO!A380)</f>
        <v/>
      </c>
      <c r="B380">
        <f>IF(INVENTARIO!E380="","",INVENTARIO!E380)</f>
        <v/>
      </c>
      <c r="C380">
        <f>IF(INVENTARIO!F380="","",INVENTARIO!F380)</f>
        <v/>
      </c>
      <c r="D380">
        <f>IF(INVENTARIO!H380="","",INVENTARIO!H380)</f>
        <v/>
      </c>
      <c r="E380">
        <f>IF(INVENTARIO!I380="","",INVENTARIO!I380)</f>
        <v/>
      </c>
      <c r="F380">
        <f>IF(INVENTARIO!N380="","",INVENTARIO!N380)</f>
        <v/>
      </c>
      <c r="G380">
        <f>IF(INVENTARIO!P380="","",INVENTARIO!P380)</f>
        <v/>
      </c>
      <c r="H380">
        <f>IF(INVENTARIO!Q380="","",INVENTARIO!Q380)</f>
        <v/>
      </c>
      <c r="I380">
        <f>IF(INVENTARIO!R380="","",INVENTARIO!R380)</f>
        <v/>
      </c>
      <c r="J380">
        <f>IF(G380="PUBLICA(1)",1,IF(G380="USO INTERNO(2)",2,IF(G380="RESTRINGIDO(3)",3,0)))+IF(H380="BAJA(1)",1,IF(H380="MEDIA(2)",2,IF(H380="ALTA(3)",3,0)))+IF(I380="BAJA(1)",1,IF(I380="MEDIA(2)",2,IF(I380="ALTA(3)",3,0)))</f>
        <v/>
      </c>
      <c r="K380">
        <f>IF(J380="", "", IF(J380&gt;=8,"ALTA",IF(J380&gt;=6,"MEDIA","BAJA")))</f>
        <v/>
      </c>
      <c r="L380">
        <f>IF(INVENTARIO!Y380="","",INVENTARIO!Y380)</f>
        <v/>
      </c>
      <c r="M380">
        <f>IF(INVENTARIO!Z380="","",INVENTARIO!Z380)</f>
        <v/>
      </c>
      <c r="N380">
        <f>IF(INVENTARIO!AA380="","",INVENTARIO!AA380)</f>
        <v/>
      </c>
      <c r="O380">
        <f>IF(INVENTARIO!AB380="","",INVENTARIO!AB380)</f>
        <v/>
      </c>
      <c r="P380">
        <f>IF(INVENTARIO!AC380="","",INVENTARIO!AC380)</f>
        <v/>
      </c>
      <c r="Q380">
        <f>IF(AND(K380="",N380="",L380=""),"",IF(AND((K380="ALTA"),OR(LEFT(N380,2)="L0",LEFT(N380,2)="L1",L380="No Iniciado")),"CRÍTICO - Incumplimiento Normativo SEPS",IF(AND(OR(LEFT(N380,2)="L4",LEFT(N380,2)="L5"),AND(P380&lt;&gt;"",P380&lt;&gt;"N/A")),"CONFORME - Control Efectivo ISO 27001","OBSERVACIÓN - Revisar Controles")))</f>
        <v/>
      </c>
    </row>
    <row r="381">
      <c r="A381">
        <f>IF(INVENTARIO!A381="","",INVENTARIO!A381)</f>
        <v/>
      </c>
      <c r="B381">
        <f>IF(INVENTARIO!E381="","",INVENTARIO!E381)</f>
        <v/>
      </c>
      <c r="C381">
        <f>IF(INVENTARIO!F381="","",INVENTARIO!F381)</f>
        <v/>
      </c>
      <c r="D381">
        <f>IF(INVENTARIO!H381="","",INVENTARIO!H381)</f>
        <v/>
      </c>
      <c r="E381">
        <f>IF(INVENTARIO!I381="","",INVENTARIO!I381)</f>
        <v/>
      </c>
      <c r="F381">
        <f>IF(INVENTARIO!N381="","",INVENTARIO!N381)</f>
        <v/>
      </c>
      <c r="G381">
        <f>IF(INVENTARIO!P381="","",INVENTARIO!P381)</f>
        <v/>
      </c>
      <c r="H381">
        <f>IF(INVENTARIO!Q381="","",INVENTARIO!Q381)</f>
        <v/>
      </c>
      <c r="I381">
        <f>IF(INVENTARIO!R381="","",INVENTARIO!R381)</f>
        <v/>
      </c>
      <c r="J381">
        <f>IF(G381="PUBLICA(1)",1,IF(G381="USO INTERNO(2)",2,IF(G381="RESTRINGIDO(3)",3,0)))+IF(H381="BAJA(1)",1,IF(H381="MEDIA(2)",2,IF(H381="ALTA(3)",3,0)))+IF(I381="BAJA(1)",1,IF(I381="MEDIA(2)",2,IF(I381="ALTA(3)",3,0)))</f>
        <v/>
      </c>
      <c r="K381">
        <f>IF(J381="", "", IF(J381&gt;=8,"ALTA",IF(J381&gt;=6,"MEDIA","BAJA")))</f>
        <v/>
      </c>
      <c r="L381">
        <f>IF(INVENTARIO!Y381="","",INVENTARIO!Y381)</f>
        <v/>
      </c>
      <c r="M381">
        <f>IF(INVENTARIO!Z381="","",INVENTARIO!Z381)</f>
        <v/>
      </c>
      <c r="N381">
        <f>IF(INVENTARIO!AA381="","",INVENTARIO!AA381)</f>
        <v/>
      </c>
      <c r="O381">
        <f>IF(INVENTARIO!AB381="","",INVENTARIO!AB381)</f>
        <v/>
      </c>
      <c r="P381">
        <f>IF(INVENTARIO!AC381="","",INVENTARIO!AC381)</f>
        <v/>
      </c>
      <c r="Q381">
        <f>IF(AND(K381="",N381="",L381=""),"",IF(AND((K381="ALTA"),OR(LEFT(N381,2)="L0",LEFT(N381,2)="L1",L381="No Iniciado")),"CRÍTICO - Incumplimiento Normativo SEPS",IF(AND(OR(LEFT(N381,2)="L4",LEFT(N381,2)="L5"),AND(P381&lt;&gt;"",P381&lt;&gt;"N/A")),"CONFORME - Control Efectivo ISO 27001","OBSERVACIÓN - Revisar Controles")))</f>
        <v/>
      </c>
    </row>
    <row r="382">
      <c r="A382">
        <f>IF(INVENTARIO!A382="","",INVENTARIO!A382)</f>
        <v/>
      </c>
      <c r="B382">
        <f>IF(INVENTARIO!E382="","",INVENTARIO!E382)</f>
        <v/>
      </c>
      <c r="C382">
        <f>IF(INVENTARIO!F382="","",INVENTARIO!F382)</f>
        <v/>
      </c>
      <c r="D382">
        <f>IF(INVENTARIO!H382="","",INVENTARIO!H382)</f>
        <v/>
      </c>
      <c r="E382">
        <f>IF(INVENTARIO!I382="","",INVENTARIO!I382)</f>
        <v/>
      </c>
      <c r="F382">
        <f>IF(INVENTARIO!N382="","",INVENTARIO!N382)</f>
        <v/>
      </c>
      <c r="G382">
        <f>IF(INVENTARIO!P382="","",INVENTARIO!P382)</f>
        <v/>
      </c>
      <c r="H382">
        <f>IF(INVENTARIO!Q382="","",INVENTARIO!Q382)</f>
        <v/>
      </c>
      <c r="I382">
        <f>IF(INVENTARIO!R382="","",INVENTARIO!R382)</f>
        <v/>
      </c>
      <c r="J382">
        <f>IF(G382="PUBLICA(1)",1,IF(G382="USO INTERNO(2)",2,IF(G382="RESTRINGIDO(3)",3,0)))+IF(H382="BAJA(1)",1,IF(H382="MEDIA(2)",2,IF(H382="ALTA(3)",3,0)))+IF(I382="BAJA(1)",1,IF(I382="MEDIA(2)",2,IF(I382="ALTA(3)",3,0)))</f>
        <v/>
      </c>
      <c r="K382">
        <f>IF(J382="", "", IF(J382&gt;=8,"ALTA",IF(J382&gt;=6,"MEDIA","BAJA")))</f>
        <v/>
      </c>
      <c r="L382">
        <f>IF(INVENTARIO!Y382="","",INVENTARIO!Y382)</f>
        <v/>
      </c>
      <c r="M382">
        <f>IF(INVENTARIO!Z382="","",INVENTARIO!Z382)</f>
        <v/>
      </c>
      <c r="N382">
        <f>IF(INVENTARIO!AA382="","",INVENTARIO!AA382)</f>
        <v/>
      </c>
      <c r="O382">
        <f>IF(INVENTARIO!AB382="","",INVENTARIO!AB382)</f>
        <v/>
      </c>
      <c r="P382">
        <f>IF(INVENTARIO!AC382="","",INVENTARIO!AC382)</f>
        <v/>
      </c>
      <c r="Q382">
        <f>IF(AND(K382="",N382="",L382=""),"",IF(AND((K382="ALTA"),OR(LEFT(N382,2)="L0",LEFT(N382,2)="L1",L382="No Iniciado")),"CRÍTICO - Incumplimiento Normativo SEPS",IF(AND(OR(LEFT(N382,2)="L4",LEFT(N382,2)="L5"),AND(P382&lt;&gt;"",P382&lt;&gt;"N/A")),"CONFORME - Control Efectivo ISO 27001","OBSERVACIÓN - Revisar Controles")))</f>
        <v/>
      </c>
    </row>
    <row r="383">
      <c r="A383">
        <f>IF(INVENTARIO!A383="","",INVENTARIO!A383)</f>
        <v/>
      </c>
      <c r="B383">
        <f>IF(INVENTARIO!E383="","",INVENTARIO!E383)</f>
        <v/>
      </c>
      <c r="C383">
        <f>IF(INVENTARIO!F383="","",INVENTARIO!F383)</f>
        <v/>
      </c>
      <c r="D383">
        <f>IF(INVENTARIO!H383="","",INVENTARIO!H383)</f>
        <v/>
      </c>
      <c r="E383">
        <f>IF(INVENTARIO!I383="","",INVENTARIO!I383)</f>
        <v/>
      </c>
      <c r="F383">
        <f>IF(INVENTARIO!N383="","",INVENTARIO!N383)</f>
        <v/>
      </c>
      <c r="G383">
        <f>IF(INVENTARIO!P383="","",INVENTARIO!P383)</f>
        <v/>
      </c>
      <c r="H383">
        <f>IF(INVENTARIO!Q383="","",INVENTARIO!Q383)</f>
        <v/>
      </c>
      <c r="I383">
        <f>IF(INVENTARIO!R383="","",INVENTARIO!R383)</f>
        <v/>
      </c>
      <c r="J383">
        <f>IF(G383="PUBLICA(1)",1,IF(G383="USO INTERNO(2)",2,IF(G383="RESTRINGIDO(3)",3,0)))+IF(H383="BAJA(1)",1,IF(H383="MEDIA(2)",2,IF(H383="ALTA(3)",3,0)))+IF(I383="BAJA(1)",1,IF(I383="MEDIA(2)",2,IF(I383="ALTA(3)",3,0)))</f>
        <v/>
      </c>
      <c r="K383">
        <f>IF(J383="", "", IF(J383&gt;=8,"ALTA",IF(J383&gt;=6,"MEDIA","BAJA")))</f>
        <v/>
      </c>
      <c r="L383">
        <f>IF(INVENTARIO!Y383="","",INVENTARIO!Y383)</f>
        <v/>
      </c>
      <c r="M383">
        <f>IF(INVENTARIO!Z383="","",INVENTARIO!Z383)</f>
        <v/>
      </c>
      <c r="N383">
        <f>IF(INVENTARIO!AA383="","",INVENTARIO!AA383)</f>
        <v/>
      </c>
      <c r="O383">
        <f>IF(INVENTARIO!AB383="","",INVENTARIO!AB383)</f>
        <v/>
      </c>
      <c r="P383">
        <f>IF(INVENTARIO!AC383="","",INVENTARIO!AC383)</f>
        <v/>
      </c>
      <c r="Q383">
        <f>IF(AND(K383="",N383="",L383=""),"",IF(AND((K383="ALTA"),OR(LEFT(N383,2)="L0",LEFT(N383,2)="L1",L383="No Iniciado")),"CRÍTICO - Incumplimiento Normativo SEPS",IF(AND(OR(LEFT(N383,2)="L4",LEFT(N383,2)="L5"),AND(P383&lt;&gt;"",P383&lt;&gt;"N/A")),"CONFORME - Control Efectivo ISO 27001","OBSERVACIÓN - Revisar Controles")))</f>
        <v/>
      </c>
    </row>
    <row r="384">
      <c r="A384">
        <f>IF(INVENTARIO!A384="","",INVENTARIO!A384)</f>
        <v/>
      </c>
      <c r="B384">
        <f>IF(INVENTARIO!E384="","",INVENTARIO!E384)</f>
        <v/>
      </c>
      <c r="C384">
        <f>IF(INVENTARIO!F384="","",INVENTARIO!F384)</f>
        <v/>
      </c>
      <c r="D384">
        <f>IF(INVENTARIO!H384="","",INVENTARIO!H384)</f>
        <v/>
      </c>
      <c r="E384">
        <f>IF(INVENTARIO!I384="","",INVENTARIO!I384)</f>
        <v/>
      </c>
      <c r="F384">
        <f>IF(INVENTARIO!N384="","",INVENTARIO!N384)</f>
        <v/>
      </c>
      <c r="G384">
        <f>IF(INVENTARIO!P384="","",INVENTARIO!P384)</f>
        <v/>
      </c>
      <c r="H384">
        <f>IF(INVENTARIO!Q384="","",INVENTARIO!Q384)</f>
        <v/>
      </c>
      <c r="I384">
        <f>IF(INVENTARIO!R384="","",INVENTARIO!R384)</f>
        <v/>
      </c>
      <c r="J384">
        <f>IF(G384="PUBLICA(1)",1,IF(G384="USO INTERNO(2)",2,IF(G384="RESTRINGIDO(3)",3,0)))+IF(H384="BAJA(1)",1,IF(H384="MEDIA(2)",2,IF(H384="ALTA(3)",3,0)))+IF(I384="BAJA(1)",1,IF(I384="MEDIA(2)",2,IF(I384="ALTA(3)",3,0)))</f>
        <v/>
      </c>
      <c r="K384">
        <f>IF(J384="", "", IF(J384&gt;=8,"ALTA",IF(J384&gt;=6,"MEDIA","BAJA")))</f>
        <v/>
      </c>
      <c r="L384">
        <f>IF(INVENTARIO!Y384="","",INVENTARIO!Y384)</f>
        <v/>
      </c>
      <c r="M384">
        <f>IF(INVENTARIO!Z384="","",INVENTARIO!Z384)</f>
        <v/>
      </c>
      <c r="N384">
        <f>IF(INVENTARIO!AA384="","",INVENTARIO!AA384)</f>
        <v/>
      </c>
      <c r="O384">
        <f>IF(INVENTARIO!AB384="","",INVENTARIO!AB384)</f>
        <v/>
      </c>
      <c r="P384">
        <f>IF(INVENTARIO!AC384="","",INVENTARIO!AC384)</f>
        <v/>
      </c>
      <c r="Q384">
        <f>IF(AND(K384="",N384="",L384=""),"",IF(AND((K384="ALTA"),OR(LEFT(N384,2)="L0",LEFT(N384,2)="L1",L384="No Iniciado")),"CRÍTICO - Incumplimiento Normativo SEPS",IF(AND(OR(LEFT(N384,2)="L4",LEFT(N384,2)="L5"),AND(P384&lt;&gt;"",P384&lt;&gt;"N/A")),"CONFORME - Control Efectivo ISO 27001","OBSERVACIÓN - Revisar Controles")))</f>
        <v/>
      </c>
    </row>
    <row r="385">
      <c r="A385">
        <f>IF(INVENTARIO!A385="","",INVENTARIO!A385)</f>
        <v/>
      </c>
      <c r="B385">
        <f>IF(INVENTARIO!E385="","",INVENTARIO!E385)</f>
        <v/>
      </c>
      <c r="C385">
        <f>IF(INVENTARIO!F385="","",INVENTARIO!F385)</f>
        <v/>
      </c>
      <c r="D385">
        <f>IF(INVENTARIO!H385="","",INVENTARIO!H385)</f>
        <v/>
      </c>
      <c r="E385">
        <f>IF(INVENTARIO!I385="","",INVENTARIO!I385)</f>
        <v/>
      </c>
      <c r="F385">
        <f>IF(INVENTARIO!N385="","",INVENTARIO!N385)</f>
        <v/>
      </c>
      <c r="G385">
        <f>IF(INVENTARIO!P385="","",INVENTARIO!P385)</f>
        <v/>
      </c>
      <c r="H385">
        <f>IF(INVENTARIO!Q385="","",INVENTARIO!Q385)</f>
        <v/>
      </c>
      <c r="I385">
        <f>IF(INVENTARIO!R385="","",INVENTARIO!R385)</f>
        <v/>
      </c>
      <c r="J385">
        <f>IF(G385="PUBLICA(1)",1,IF(G385="USO INTERNO(2)",2,IF(G385="RESTRINGIDO(3)",3,0)))+IF(H385="BAJA(1)",1,IF(H385="MEDIA(2)",2,IF(H385="ALTA(3)",3,0)))+IF(I385="BAJA(1)",1,IF(I385="MEDIA(2)",2,IF(I385="ALTA(3)",3,0)))</f>
        <v/>
      </c>
      <c r="K385">
        <f>IF(J385="", "", IF(J385&gt;=8,"ALTA",IF(J385&gt;=6,"MEDIA","BAJA")))</f>
        <v/>
      </c>
      <c r="L385">
        <f>IF(INVENTARIO!Y385="","",INVENTARIO!Y385)</f>
        <v/>
      </c>
      <c r="M385">
        <f>IF(INVENTARIO!Z385="","",INVENTARIO!Z385)</f>
        <v/>
      </c>
      <c r="N385">
        <f>IF(INVENTARIO!AA385="","",INVENTARIO!AA385)</f>
        <v/>
      </c>
      <c r="O385">
        <f>IF(INVENTARIO!AB385="","",INVENTARIO!AB385)</f>
        <v/>
      </c>
      <c r="P385">
        <f>IF(INVENTARIO!AC385="","",INVENTARIO!AC385)</f>
        <v/>
      </c>
      <c r="Q385">
        <f>IF(AND(K385="",N385="",L385=""),"",IF(AND((K385="ALTA"),OR(LEFT(N385,2)="L0",LEFT(N385,2)="L1",L385="No Iniciado")),"CRÍTICO - Incumplimiento Normativo SEPS",IF(AND(OR(LEFT(N385,2)="L4",LEFT(N385,2)="L5"),AND(P385&lt;&gt;"",P385&lt;&gt;"N/A")),"CONFORME - Control Efectivo ISO 27001","OBSERVACIÓN - Revisar Controles")))</f>
        <v/>
      </c>
    </row>
    <row r="386">
      <c r="A386">
        <f>IF(INVENTARIO!A386="","",INVENTARIO!A386)</f>
        <v/>
      </c>
      <c r="B386">
        <f>IF(INVENTARIO!E386="","",INVENTARIO!E386)</f>
        <v/>
      </c>
      <c r="C386">
        <f>IF(INVENTARIO!F386="","",INVENTARIO!F386)</f>
        <v/>
      </c>
      <c r="D386">
        <f>IF(INVENTARIO!H386="","",INVENTARIO!H386)</f>
        <v/>
      </c>
      <c r="E386">
        <f>IF(INVENTARIO!I386="","",INVENTARIO!I386)</f>
        <v/>
      </c>
      <c r="F386">
        <f>IF(INVENTARIO!N386="","",INVENTARIO!N386)</f>
        <v/>
      </c>
      <c r="G386">
        <f>IF(INVENTARIO!P386="","",INVENTARIO!P386)</f>
        <v/>
      </c>
      <c r="H386">
        <f>IF(INVENTARIO!Q386="","",INVENTARIO!Q386)</f>
        <v/>
      </c>
      <c r="I386">
        <f>IF(INVENTARIO!R386="","",INVENTARIO!R386)</f>
        <v/>
      </c>
      <c r="J386">
        <f>IF(G386="PUBLICA(1)",1,IF(G386="USO INTERNO(2)",2,IF(G386="RESTRINGIDO(3)",3,0)))+IF(H386="BAJA(1)",1,IF(H386="MEDIA(2)",2,IF(H386="ALTA(3)",3,0)))+IF(I386="BAJA(1)",1,IF(I386="MEDIA(2)",2,IF(I386="ALTA(3)",3,0)))</f>
        <v/>
      </c>
      <c r="K386">
        <f>IF(J386="", "", IF(J386&gt;=8,"ALTA",IF(J386&gt;=6,"MEDIA","BAJA")))</f>
        <v/>
      </c>
      <c r="L386">
        <f>IF(INVENTARIO!Y386="","",INVENTARIO!Y386)</f>
        <v/>
      </c>
      <c r="M386">
        <f>IF(INVENTARIO!Z386="","",INVENTARIO!Z386)</f>
        <v/>
      </c>
      <c r="N386">
        <f>IF(INVENTARIO!AA386="","",INVENTARIO!AA386)</f>
        <v/>
      </c>
      <c r="O386">
        <f>IF(INVENTARIO!AB386="","",INVENTARIO!AB386)</f>
        <v/>
      </c>
      <c r="P386">
        <f>IF(INVENTARIO!AC386="","",INVENTARIO!AC386)</f>
        <v/>
      </c>
      <c r="Q386">
        <f>IF(AND(K386="",N386="",L386=""),"",IF(AND((K386="ALTA"),OR(LEFT(N386,2)="L0",LEFT(N386,2)="L1",L386="No Iniciado")),"CRÍTICO - Incumplimiento Normativo SEPS",IF(AND(OR(LEFT(N386,2)="L4",LEFT(N386,2)="L5"),AND(P386&lt;&gt;"",P386&lt;&gt;"N/A")),"CONFORME - Control Efectivo ISO 27001","OBSERVACIÓN - Revisar Controles")))</f>
        <v/>
      </c>
    </row>
    <row r="387">
      <c r="A387">
        <f>IF(INVENTARIO!A387="","",INVENTARIO!A387)</f>
        <v/>
      </c>
      <c r="B387">
        <f>IF(INVENTARIO!E387="","",INVENTARIO!E387)</f>
        <v/>
      </c>
      <c r="C387">
        <f>IF(INVENTARIO!F387="","",INVENTARIO!F387)</f>
        <v/>
      </c>
      <c r="D387">
        <f>IF(INVENTARIO!H387="","",INVENTARIO!H387)</f>
        <v/>
      </c>
      <c r="E387">
        <f>IF(INVENTARIO!I387="","",INVENTARIO!I387)</f>
        <v/>
      </c>
      <c r="F387">
        <f>IF(INVENTARIO!N387="","",INVENTARIO!N387)</f>
        <v/>
      </c>
      <c r="G387">
        <f>IF(INVENTARIO!P387="","",INVENTARIO!P387)</f>
        <v/>
      </c>
      <c r="H387">
        <f>IF(INVENTARIO!Q387="","",INVENTARIO!Q387)</f>
        <v/>
      </c>
      <c r="I387">
        <f>IF(INVENTARIO!R387="","",INVENTARIO!R387)</f>
        <v/>
      </c>
      <c r="J387">
        <f>IF(G387="PUBLICA(1)",1,IF(G387="USO INTERNO(2)",2,IF(G387="RESTRINGIDO(3)",3,0)))+IF(H387="BAJA(1)",1,IF(H387="MEDIA(2)",2,IF(H387="ALTA(3)",3,0)))+IF(I387="BAJA(1)",1,IF(I387="MEDIA(2)",2,IF(I387="ALTA(3)",3,0)))</f>
        <v/>
      </c>
      <c r="K387">
        <f>IF(J387="", "", IF(J387&gt;=8,"ALTA",IF(J387&gt;=6,"MEDIA","BAJA")))</f>
        <v/>
      </c>
      <c r="L387">
        <f>IF(INVENTARIO!Y387="","",INVENTARIO!Y387)</f>
        <v/>
      </c>
      <c r="M387">
        <f>IF(INVENTARIO!Z387="","",INVENTARIO!Z387)</f>
        <v/>
      </c>
      <c r="N387">
        <f>IF(INVENTARIO!AA387="","",INVENTARIO!AA387)</f>
        <v/>
      </c>
      <c r="O387">
        <f>IF(INVENTARIO!AB387="","",INVENTARIO!AB387)</f>
        <v/>
      </c>
      <c r="P387">
        <f>IF(INVENTARIO!AC387="","",INVENTARIO!AC387)</f>
        <v/>
      </c>
      <c r="Q387">
        <f>IF(AND(K387="",N387="",L387=""),"",IF(AND((K387="ALTA"),OR(LEFT(N387,2)="L0",LEFT(N387,2)="L1",L387="No Iniciado")),"CRÍTICO - Incumplimiento Normativo SEPS",IF(AND(OR(LEFT(N387,2)="L4",LEFT(N387,2)="L5"),AND(P387&lt;&gt;"",P387&lt;&gt;"N/A")),"CONFORME - Control Efectivo ISO 27001","OBSERVACIÓN - Revisar Controles")))</f>
        <v/>
      </c>
    </row>
    <row r="388">
      <c r="A388">
        <f>IF(INVENTARIO!A388="","",INVENTARIO!A388)</f>
        <v/>
      </c>
      <c r="B388">
        <f>IF(INVENTARIO!E388="","",INVENTARIO!E388)</f>
        <v/>
      </c>
      <c r="C388">
        <f>IF(INVENTARIO!F388="","",INVENTARIO!F388)</f>
        <v/>
      </c>
      <c r="D388">
        <f>IF(INVENTARIO!H388="","",INVENTARIO!H388)</f>
        <v/>
      </c>
      <c r="E388">
        <f>IF(INVENTARIO!I388="","",INVENTARIO!I388)</f>
        <v/>
      </c>
      <c r="F388">
        <f>IF(INVENTARIO!N388="","",INVENTARIO!N388)</f>
        <v/>
      </c>
      <c r="G388">
        <f>IF(INVENTARIO!P388="","",INVENTARIO!P388)</f>
        <v/>
      </c>
      <c r="H388">
        <f>IF(INVENTARIO!Q388="","",INVENTARIO!Q388)</f>
        <v/>
      </c>
      <c r="I388">
        <f>IF(INVENTARIO!R388="","",INVENTARIO!R388)</f>
        <v/>
      </c>
      <c r="J388">
        <f>IF(G388="PUBLICA(1)",1,IF(G388="USO INTERNO(2)",2,IF(G388="RESTRINGIDO(3)",3,0)))+IF(H388="BAJA(1)",1,IF(H388="MEDIA(2)",2,IF(H388="ALTA(3)",3,0)))+IF(I388="BAJA(1)",1,IF(I388="MEDIA(2)",2,IF(I388="ALTA(3)",3,0)))</f>
        <v/>
      </c>
      <c r="K388">
        <f>IF(J388="", "", IF(J388&gt;=8,"ALTA",IF(J388&gt;=6,"MEDIA","BAJA")))</f>
        <v/>
      </c>
      <c r="L388">
        <f>IF(INVENTARIO!Y388="","",INVENTARIO!Y388)</f>
        <v/>
      </c>
      <c r="M388">
        <f>IF(INVENTARIO!Z388="","",INVENTARIO!Z388)</f>
        <v/>
      </c>
      <c r="N388">
        <f>IF(INVENTARIO!AA388="","",INVENTARIO!AA388)</f>
        <v/>
      </c>
      <c r="O388">
        <f>IF(INVENTARIO!AB388="","",INVENTARIO!AB388)</f>
        <v/>
      </c>
      <c r="P388">
        <f>IF(INVENTARIO!AC388="","",INVENTARIO!AC388)</f>
        <v/>
      </c>
      <c r="Q388">
        <f>IF(AND(K388="",N388="",L388=""),"",IF(AND((K388="ALTA"),OR(LEFT(N388,2)="L0",LEFT(N388,2)="L1",L388="No Iniciado")),"CRÍTICO - Incumplimiento Normativo SEPS",IF(AND(OR(LEFT(N388,2)="L4",LEFT(N388,2)="L5"),AND(P388&lt;&gt;"",P388&lt;&gt;"N/A")),"CONFORME - Control Efectivo ISO 27001","OBSERVACIÓN - Revisar Controles")))</f>
        <v/>
      </c>
    </row>
    <row r="389">
      <c r="A389">
        <f>IF(INVENTARIO!A389="","",INVENTARIO!A389)</f>
        <v/>
      </c>
      <c r="B389">
        <f>IF(INVENTARIO!E389="","",INVENTARIO!E389)</f>
        <v/>
      </c>
      <c r="C389">
        <f>IF(INVENTARIO!F389="","",INVENTARIO!F389)</f>
        <v/>
      </c>
      <c r="D389">
        <f>IF(INVENTARIO!H389="","",INVENTARIO!H389)</f>
        <v/>
      </c>
      <c r="E389">
        <f>IF(INVENTARIO!I389="","",INVENTARIO!I389)</f>
        <v/>
      </c>
      <c r="F389">
        <f>IF(INVENTARIO!N389="","",INVENTARIO!N389)</f>
        <v/>
      </c>
      <c r="G389">
        <f>IF(INVENTARIO!P389="","",INVENTARIO!P389)</f>
        <v/>
      </c>
      <c r="H389">
        <f>IF(INVENTARIO!Q389="","",INVENTARIO!Q389)</f>
        <v/>
      </c>
      <c r="I389">
        <f>IF(INVENTARIO!R389="","",INVENTARIO!R389)</f>
        <v/>
      </c>
      <c r="J389">
        <f>IF(G389="PUBLICA(1)",1,IF(G389="USO INTERNO(2)",2,IF(G389="RESTRINGIDO(3)",3,0)))+IF(H389="BAJA(1)",1,IF(H389="MEDIA(2)",2,IF(H389="ALTA(3)",3,0)))+IF(I389="BAJA(1)",1,IF(I389="MEDIA(2)",2,IF(I389="ALTA(3)",3,0)))</f>
        <v/>
      </c>
      <c r="K389">
        <f>IF(J389="", "", IF(J389&gt;=8,"ALTA",IF(J389&gt;=6,"MEDIA","BAJA")))</f>
        <v/>
      </c>
      <c r="L389">
        <f>IF(INVENTARIO!Y389="","",INVENTARIO!Y389)</f>
        <v/>
      </c>
      <c r="M389">
        <f>IF(INVENTARIO!Z389="","",INVENTARIO!Z389)</f>
        <v/>
      </c>
      <c r="N389">
        <f>IF(INVENTARIO!AA389="","",INVENTARIO!AA389)</f>
        <v/>
      </c>
      <c r="O389">
        <f>IF(INVENTARIO!AB389="","",INVENTARIO!AB389)</f>
        <v/>
      </c>
      <c r="P389">
        <f>IF(INVENTARIO!AC389="","",INVENTARIO!AC389)</f>
        <v/>
      </c>
      <c r="Q389">
        <f>IF(AND(K389="",N389="",L389=""),"",IF(AND((K389="ALTA"),OR(LEFT(N389,2)="L0",LEFT(N389,2)="L1",L389="No Iniciado")),"CRÍTICO - Incumplimiento Normativo SEPS",IF(AND(OR(LEFT(N389,2)="L4",LEFT(N389,2)="L5"),AND(P389&lt;&gt;"",P389&lt;&gt;"N/A")),"CONFORME - Control Efectivo ISO 27001","OBSERVACIÓN - Revisar Controles")))</f>
        <v/>
      </c>
    </row>
    <row r="390">
      <c r="A390">
        <f>IF(INVENTARIO!A390="","",INVENTARIO!A390)</f>
        <v/>
      </c>
      <c r="B390">
        <f>IF(INVENTARIO!E390="","",INVENTARIO!E390)</f>
        <v/>
      </c>
      <c r="C390">
        <f>IF(INVENTARIO!F390="","",INVENTARIO!F390)</f>
        <v/>
      </c>
      <c r="D390">
        <f>IF(INVENTARIO!H390="","",INVENTARIO!H390)</f>
        <v/>
      </c>
      <c r="E390">
        <f>IF(INVENTARIO!I390="","",INVENTARIO!I390)</f>
        <v/>
      </c>
      <c r="F390">
        <f>IF(INVENTARIO!N390="","",INVENTARIO!N390)</f>
        <v/>
      </c>
      <c r="G390">
        <f>IF(INVENTARIO!P390="","",INVENTARIO!P390)</f>
        <v/>
      </c>
      <c r="H390">
        <f>IF(INVENTARIO!Q390="","",INVENTARIO!Q390)</f>
        <v/>
      </c>
      <c r="I390">
        <f>IF(INVENTARIO!R390="","",INVENTARIO!R390)</f>
        <v/>
      </c>
      <c r="J390">
        <f>IF(G390="PUBLICA(1)",1,IF(G390="USO INTERNO(2)",2,IF(G390="RESTRINGIDO(3)",3,0)))+IF(H390="BAJA(1)",1,IF(H390="MEDIA(2)",2,IF(H390="ALTA(3)",3,0)))+IF(I390="BAJA(1)",1,IF(I390="MEDIA(2)",2,IF(I390="ALTA(3)",3,0)))</f>
        <v/>
      </c>
      <c r="K390">
        <f>IF(J390="", "", IF(J390&gt;=8,"ALTA",IF(J390&gt;=6,"MEDIA","BAJA")))</f>
        <v/>
      </c>
      <c r="L390">
        <f>IF(INVENTARIO!Y390="","",INVENTARIO!Y390)</f>
        <v/>
      </c>
      <c r="M390">
        <f>IF(INVENTARIO!Z390="","",INVENTARIO!Z390)</f>
        <v/>
      </c>
      <c r="N390">
        <f>IF(INVENTARIO!AA390="","",INVENTARIO!AA390)</f>
        <v/>
      </c>
      <c r="O390">
        <f>IF(INVENTARIO!AB390="","",INVENTARIO!AB390)</f>
        <v/>
      </c>
      <c r="P390">
        <f>IF(INVENTARIO!AC390="","",INVENTARIO!AC390)</f>
        <v/>
      </c>
      <c r="Q390">
        <f>IF(AND(K390="",N390="",L390=""),"",IF(AND((K390="ALTA"),OR(LEFT(N390,2)="L0",LEFT(N390,2)="L1",L390="No Iniciado")),"CRÍTICO - Incumplimiento Normativo SEPS",IF(AND(OR(LEFT(N390,2)="L4",LEFT(N390,2)="L5"),AND(P390&lt;&gt;"",P390&lt;&gt;"N/A")),"CONFORME - Control Efectivo ISO 27001","OBSERVACIÓN - Revisar Controles")))</f>
        <v/>
      </c>
    </row>
    <row r="391">
      <c r="A391">
        <f>IF(INVENTARIO!A391="","",INVENTARIO!A391)</f>
        <v/>
      </c>
      <c r="B391">
        <f>IF(INVENTARIO!E391="","",INVENTARIO!E391)</f>
        <v/>
      </c>
      <c r="C391">
        <f>IF(INVENTARIO!F391="","",INVENTARIO!F391)</f>
        <v/>
      </c>
      <c r="D391">
        <f>IF(INVENTARIO!H391="","",INVENTARIO!H391)</f>
        <v/>
      </c>
      <c r="E391">
        <f>IF(INVENTARIO!I391="","",INVENTARIO!I391)</f>
        <v/>
      </c>
      <c r="F391">
        <f>IF(INVENTARIO!N391="","",INVENTARIO!N391)</f>
        <v/>
      </c>
      <c r="G391">
        <f>IF(INVENTARIO!P391="","",INVENTARIO!P391)</f>
        <v/>
      </c>
      <c r="H391">
        <f>IF(INVENTARIO!Q391="","",INVENTARIO!Q391)</f>
        <v/>
      </c>
      <c r="I391">
        <f>IF(INVENTARIO!R391="","",INVENTARIO!R391)</f>
        <v/>
      </c>
      <c r="J391">
        <f>IF(G391="PUBLICA(1)",1,IF(G391="USO INTERNO(2)",2,IF(G391="RESTRINGIDO(3)",3,0)))+IF(H391="BAJA(1)",1,IF(H391="MEDIA(2)",2,IF(H391="ALTA(3)",3,0)))+IF(I391="BAJA(1)",1,IF(I391="MEDIA(2)",2,IF(I391="ALTA(3)",3,0)))</f>
        <v/>
      </c>
      <c r="K391">
        <f>IF(J391="", "", IF(J391&gt;=8,"ALTA",IF(J391&gt;=6,"MEDIA","BAJA")))</f>
        <v/>
      </c>
      <c r="L391">
        <f>IF(INVENTARIO!Y391="","",INVENTARIO!Y391)</f>
        <v/>
      </c>
      <c r="M391">
        <f>IF(INVENTARIO!Z391="","",INVENTARIO!Z391)</f>
        <v/>
      </c>
      <c r="N391">
        <f>IF(INVENTARIO!AA391="","",INVENTARIO!AA391)</f>
        <v/>
      </c>
      <c r="O391">
        <f>IF(INVENTARIO!AB391="","",INVENTARIO!AB391)</f>
        <v/>
      </c>
      <c r="P391">
        <f>IF(INVENTARIO!AC391="","",INVENTARIO!AC391)</f>
        <v/>
      </c>
      <c r="Q391">
        <f>IF(AND(K391="",N391="",L391=""),"",IF(AND((K391="ALTA"),OR(LEFT(N391,2)="L0",LEFT(N391,2)="L1",L391="No Iniciado")),"CRÍTICO - Incumplimiento Normativo SEPS",IF(AND(OR(LEFT(N391,2)="L4",LEFT(N391,2)="L5"),AND(P391&lt;&gt;"",P391&lt;&gt;"N/A")),"CONFORME - Control Efectivo ISO 27001","OBSERVACIÓN - Revisar Controles")))</f>
        <v/>
      </c>
    </row>
    <row r="392">
      <c r="A392">
        <f>IF(INVENTARIO!A392="","",INVENTARIO!A392)</f>
        <v/>
      </c>
      <c r="B392">
        <f>IF(INVENTARIO!E392="","",INVENTARIO!E392)</f>
        <v/>
      </c>
      <c r="C392">
        <f>IF(INVENTARIO!F392="","",INVENTARIO!F392)</f>
        <v/>
      </c>
      <c r="D392">
        <f>IF(INVENTARIO!H392="","",INVENTARIO!H392)</f>
        <v/>
      </c>
      <c r="E392">
        <f>IF(INVENTARIO!I392="","",INVENTARIO!I392)</f>
        <v/>
      </c>
      <c r="F392">
        <f>IF(INVENTARIO!N392="","",INVENTARIO!N392)</f>
        <v/>
      </c>
      <c r="G392">
        <f>IF(INVENTARIO!P392="","",INVENTARIO!P392)</f>
        <v/>
      </c>
      <c r="H392">
        <f>IF(INVENTARIO!Q392="","",INVENTARIO!Q392)</f>
        <v/>
      </c>
      <c r="I392">
        <f>IF(INVENTARIO!R392="","",INVENTARIO!R392)</f>
        <v/>
      </c>
      <c r="J392">
        <f>IF(G392="PUBLICA(1)",1,IF(G392="USO INTERNO(2)",2,IF(G392="RESTRINGIDO(3)",3,0)))+IF(H392="BAJA(1)",1,IF(H392="MEDIA(2)",2,IF(H392="ALTA(3)",3,0)))+IF(I392="BAJA(1)",1,IF(I392="MEDIA(2)",2,IF(I392="ALTA(3)",3,0)))</f>
        <v/>
      </c>
      <c r="K392">
        <f>IF(J392="", "", IF(J392&gt;=8,"ALTA",IF(J392&gt;=6,"MEDIA","BAJA")))</f>
        <v/>
      </c>
      <c r="L392">
        <f>IF(INVENTARIO!Y392="","",INVENTARIO!Y392)</f>
        <v/>
      </c>
      <c r="M392">
        <f>IF(INVENTARIO!Z392="","",INVENTARIO!Z392)</f>
        <v/>
      </c>
      <c r="N392">
        <f>IF(INVENTARIO!AA392="","",INVENTARIO!AA392)</f>
        <v/>
      </c>
      <c r="O392">
        <f>IF(INVENTARIO!AB392="","",INVENTARIO!AB392)</f>
        <v/>
      </c>
      <c r="P392">
        <f>IF(INVENTARIO!AC392="","",INVENTARIO!AC392)</f>
        <v/>
      </c>
      <c r="Q392">
        <f>IF(AND(K392="",N392="",L392=""),"",IF(AND((K392="ALTA"),OR(LEFT(N392,2)="L0",LEFT(N392,2)="L1",L392="No Iniciado")),"CRÍTICO - Incumplimiento Normativo SEPS",IF(AND(OR(LEFT(N392,2)="L4",LEFT(N392,2)="L5"),AND(P392&lt;&gt;"",P392&lt;&gt;"N/A")),"CONFORME - Control Efectivo ISO 27001","OBSERVACIÓN - Revisar Controles")))</f>
        <v/>
      </c>
    </row>
    <row r="393">
      <c r="A393">
        <f>IF(INVENTARIO!A393="","",INVENTARIO!A393)</f>
        <v/>
      </c>
      <c r="B393">
        <f>IF(INVENTARIO!E393="","",INVENTARIO!E393)</f>
        <v/>
      </c>
      <c r="C393">
        <f>IF(INVENTARIO!F393="","",INVENTARIO!F393)</f>
        <v/>
      </c>
      <c r="D393">
        <f>IF(INVENTARIO!H393="","",INVENTARIO!H393)</f>
        <v/>
      </c>
      <c r="E393">
        <f>IF(INVENTARIO!I393="","",INVENTARIO!I393)</f>
        <v/>
      </c>
      <c r="F393">
        <f>IF(INVENTARIO!N393="","",INVENTARIO!N393)</f>
        <v/>
      </c>
      <c r="G393">
        <f>IF(INVENTARIO!P393="","",INVENTARIO!P393)</f>
        <v/>
      </c>
      <c r="H393">
        <f>IF(INVENTARIO!Q393="","",INVENTARIO!Q393)</f>
        <v/>
      </c>
      <c r="I393">
        <f>IF(INVENTARIO!R393="","",INVENTARIO!R393)</f>
        <v/>
      </c>
      <c r="J393">
        <f>IF(G393="PUBLICA(1)",1,IF(G393="USO INTERNO(2)",2,IF(G393="RESTRINGIDO(3)",3,0)))+IF(H393="BAJA(1)",1,IF(H393="MEDIA(2)",2,IF(H393="ALTA(3)",3,0)))+IF(I393="BAJA(1)",1,IF(I393="MEDIA(2)",2,IF(I393="ALTA(3)",3,0)))</f>
        <v/>
      </c>
      <c r="K393">
        <f>IF(J393="", "", IF(J393&gt;=8,"ALTA",IF(J393&gt;=6,"MEDIA","BAJA")))</f>
        <v/>
      </c>
      <c r="L393">
        <f>IF(INVENTARIO!Y393="","",INVENTARIO!Y393)</f>
        <v/>
      </c>
      <c r="M393">
        <f>IF(INVENTARIO!Z393="","",INVENTARIO!Z393)</f>
        <v/>
      </c>
      <c r="N393">
        <f>IF(INVENTARIO!AA393="","",INVENTARIO!AA393)</f>
        <v/>
      </c>
      <c r="O393">
        <f>IF(INVENTARIO!AB393="","",INVENTARIO!AB393)</f>
        <v/>
      </c>
      <c r="P393">
        <f>IF(INVENTARIO!AC393="","",INVENTARIO!AC393)</f>
        <v/>
      </c>
      <c r="Q393">
        <f>IF(AND(K393="",N393="",L393=""),"",IF(AND((K393="ALTA"),OR(LEFT(N393,2)="L0",LEFT(N393,2)="L1",L393="No Iniciado")),"CRÍTICO - Incumplimiento Normativo SEPS",IF(AND(OR(LEFT(N393,2)="L4",LEFT(N393,2)="L5"),AND(P393&lt;&gt;"",P393&lt;&gt;"N/A")),"CONFORME - Control Efectivo ISO 27001","OBSERVACIÓN - Revisar Controles")))</f>
        <v/>
      </c>
    </row>
    <row r="394">
      <c r="A394">
        <f>IF(INVENTARIO!A394="","",INVENTARIO!A394)</f>
        <v/>
      </c>
      <c r="B394">
        <f>IF(INVENTARIO!E394="","",INVENTARIO!E394)</f>
        <v/>
      </c>
      <c r="C394">
        <f>IF(INVENTARIO!F394="","",INVENTARIO!F394)</f>
        <v/>
      </c>
      <c r="D394">
        <f>IF(INVENTARIO!H394="","",INVENTARIO!H394)</f>
        <v/>
      </c>
      <c r="E394">
        <f>IF(INVENTARIO!I394="","",INVENTARIO!I394)</f>
        <v/>
      </c>
      <c r="F394">
        <f>IF(INVENTARIO!N394="","",INVENTARIO!N394)</f>
        <v/>
      </c>
      <c r="G394">
        <f>IF(INVENTARIO!P394="","",INVENTARIO!P394)</f>
        <v/>
      </c>
      <c r="H394">
        <f>IF(INVENTARIO!Q394="","",INVENTARIO!Q394)</f>
        <v/>
      </c>
      <c r="I394">
        <f>IF(INVENTARIO!R394="","",INVENTARIO!R394)</f>
        <v/>
      </c>
      <c r="J394">
        <f>IF(G394="PUBLICA(1)",1,IF(G394="USO INTERNO(2)",2,IF(G394="RESTRINGIDO(3)",3,0)))+IF(H394="BAJA(1)",1,IF(H394="MEDIA(2)",2,IF(H394="ALTA(3)",3,0)))+IF(I394="BAJA(1)",1,IF(I394="MEDIA(2)",2,IF(I394="ALTA(3)",3,0)))</f>
        <v/>
      </c>
      <c r="K394">
        <f>IF(J394="", "", IF(J394&gt;=8,"ALTA",IF(J394&gt;=6,"MEDIA","BAJA")))</f>
        <v/>
      </c>
      <c r="L394">
        <f>IF(INVENTARIO!Y394="","",INVENTARIO!Y394)</f>
        <v/>
      </c>
      <c r="M394">
        <f>IF(INVENTARIO!Z394="","",INVENTARIO!Z394)</f>
        <v/>
      </c>
      <c r="N394">
        <f>IF(INVENTARIO!AA394="","",INVENTARIO!AA394)</f>
        <v/>
      </c>
      <c r="O394">
        <f>IF(INVENTARIO!AB394="","",INVENTARIO!AB394)</f>
        <v/>
      </c>
      <c r="P394">
        <f>IF(INVENTARIO!AC394="","",INVENTARIO!AC394)</f>
        <v/>
      </c>
      <c r="Q394">
        <f>IF(AND(K394="",N394="",L394=""),"",IF(AND((K394="ALTA"),OR(LEFT(N394,2)="L0",LEFT(N394,2)="L1",L394="No Iniciado")),"CRÍTICO - Incumplimiento Normativo SEPS",IF(AND(OR(LEFT(N394,2)="L4",LEFT(N394,2)="L5"),AND(P394&lt;&gt;"",P394&lt;&gt;"N/A")),"CONFORME - Control Efectivo ISO 27001","OBSERVACIÓN - Revisar Controles")))</f>
        <v/>
      </c>
    </row>
    <row r="395">
      <c r="A395">
        <f>IF(INVENTARIO!A395="","",INVENTARIO!A395)</f>
        <v/>
      </c>
      <c r="B395">
        <f>IF(INVENTARIO!E395="","",INVENTARIO!E395)</f>
        <v/>
      </c>
      <c r="C395">
        <f>IF(INVENTARIO!F395="","",INVENTARIO!F395)</f>
        <v/>
      </c>
      <c r="D395">
        <f>IF(INVENTARIO!H395="","",INVENTARIO!H395)</f>
        <v/>
      </c>
      <c r="E395">
        <f>IF(INVENTARIO!I395="","",INVENTARIO!I395)</f>
        <v/>
      </c>
      <c r="F395">
        <f>IF(INVENTARIO!N395="","",INVENTARIO!N395)</f>
        <v/>
      </c>
      <c r="G395">
        <f>IF(INVENTARIO!P395="","",INVENTARIO!P395)</f>
        <v/>
      </c>
      <c r="H395">
        <f>IF(INVENTARIO!Q395="","",INVENTARIO!Q395)</f>
        <v/>
      </c>
      <c r="I395">
        <f>IF(INVENTARIO!R395="","",INVENTARIO!R395)</f>
        <v/>
      </c>
      <c r="J395">
        <f>IF(G395="PUBLICA(1)",1,IF(G395="USO INTERNO(2)",2,IF(G395="RESTRINGIDO(3)",3,0)))+IF(H395="BAJA(1)",1,IF(H395="MEDIA(2)",2,IF(H395="ALTA(3)",3,0)))+IF(I395="BAJA(1)",1,IF(I395="MEDIA(2)",2,IF(I395="ALTA(3)",3,0)))</f>
        <v/>
      </c>
      <c r="K395">
        <f>IF(J395="", "", IF(J395&gt;=8,"ALTA",IF(J395&gt;=6,"MEDIA","BAJA")))</f>
        <v/>
      </c>
      <c r="L395">
        <f>IF(INVENTARIO!Y395="","",INVENTARIO!Y395)</f>
        <v/>
      </c>
      <c r="M395">
        <f>IF(INVENTARIO!Z395="","",INVENTARIO!Z395)</f>
        <v/>
      </c>
      <c r="N395">
        <f>IF(INVENTARIO!AA395="","",INVENTARIO!AA395)</f>
        <v/>
      </c>
      <c r="O395">
        <f>IF(INVENTARIO!AB395="","",INVENTARIO!AB395)</f>
        <v/>
      </c>
      <c r="P395">
        <f>IF(INVENTARIO!AC395="","",INVENTARIO!AC395)</f>
        <v/>
      </c>
      <c r="Q395">
        <f>IF(AND(K395="",N395="",L395=""),"",IF(AND((K395="ALTA"),OR(LEFT(N395,2)="L0",LEFT(N395,2)="L1",L395="No Iniciado")),"CRÍTICO - Incumplimiento Normativo SEPS",IF(AND(OR(LEFT(N395,2)="L4",LEFT(N395,2)="L5"),AND(P395&lt;&gt;"",P395&lt;&gt;"N/A")),"CONFORME - Control Efectivo ISO 27001","OBSERVACIÓN - Revisar Controles")))</f>
        <v/>
      </c>
    </row>
    <row r="396">
      <c r="A396">
        <f>IF(INVENTARIO!A396="","",INVENTARIO!A396)</f>
        <v/>
      </c>
      <c r="B396">
        <f>IF(INVENTARIO!E396="","",INVENTARIO!E396)</f>
        <v/>
      </c>
      <c r="C396">
        <f>IF(INVENTARIO!F396="","",INVENTARIO!F396)</f>
        <v/>
      </c>
      <c r="D396">
        <f>IF(INVENTARIO!H396="","",INVENTARIO!H396)</f>
        <v/>
      </c>
      <c r="E396">
        <f>IF(INVENTARIO!I396="","",INVENTARIO!I396)</f>
        <v/>
      </c>
      <c r="F396">
        <f>IF(INVENTARIO!N396="","",INVENTARIO!N396)</f>
        <v/>
      </c>
      <c r="G396">
        <f>IF(INVENTARIO!P396="","",INVENTARIO!P396)</f>
        <v/>
      </c>
      <c r="H396">
        <f>IF(INVENTARIO!Q396="","",INVENTARIO!Q396)</f>
        <v/>
      </c>
      <c r="I396">
        <f>IF(INVENTARIO!R396="","",INVENTARIO!R396)</f>
        <v/>
      </c>
      <c r="J396">
        <f>IF(G396="PUBLICA(1)",1,IF(G396="USO INTERNO(2)",2,IF(G396="RESTRINGIDO(3)",3,0)))+IF(H396="BAJA(1)",1,IF(H396="MEDIA(2)",2,IF(H396="ALTA(3)",3,0)))+IF(I396="BAJA(1)",1,IF(I396="MEDIA(2)",2,IF(I396="ALTA(3)",3,0)))</f>
        <v/>
      </c>
      <c r="K396">
        <f>IF(J396="", "", IF(J396&gt;=8,"ALTA",IF(J396&gt;=6,"MEDIA","BAJA")))</f>
        <v/>
      </c>
      <c r="L396">
        <f>IF(INVENTARIO!Y396="","",INVENTARIO!Y396)</f>
        <v/>
      </c>
      <c r="M396">
        <f>IF(INVENTARIO!Z396="","",INVENTARIO!Z396)</f>
        <v/>
      </c>
      <c r="N396">
        <f>IF(INVENTARIO!AA396="","",INVENTARIO!AA396)</f>
        <v/>
      </c>
      <c r="O396">
        <f>IF(INVENTARIO!AB396="","",INVENTARIO!AB396)</f>
        <v/>
      </c>
      <c r="P396">
        <f>IF(INVENTARIO!AC396="","",INVENTARIO!AC396)</f>
        <v/>
      </c>
      <c r="Q396">
        <f>IF(AND(K396="",N396="",L396=""),"",IF(AND((K396="ALTA"),OR(LEFT(N396,2)="L0",LEFT(N396,2)="L1",L396="No Iniciado")),"CRÍTICO - Incumplimiento Normativo SEPS",IF(AND(OR(LEFT(N396,2)="L4",LEFT(N396,2)="L5"),AND(P396&lt;&gt;"",P396&lt;&gt;"N/A")),"CONFORME - Control Efectivo ISO 27001","OBSERVACIÓN - Revisar Controles")))</f>
        <v/>
      </c>
    </row>
    <row r="397">
      <c r="A397">
        <f>IF(INVENTARIO!A397="","",INVENTARIO!A397)</f>
        <v/>
      </c>
      <c r="B397">
        <f>IF(INVENTARIO!E397="","",INVENTARIO!E397)</f>
        <v/>
      </c>
      <c r="C397">
        <f>IF(INVENTARIO!F397="","",INVENTARIO!F397)</f>
        <v/>
      </c>
      <c r="D397">
        <f>IF(INVENTARIO!H397="","",INVENTARIO!H397)</f>
        <v/>
      </c>
      <c r="E397">
        <f>IF(INVENTARIO!I397="","",INVENTARIO!I397)</f>
        <v/>
      </c>
      <c r="F397">
        <f>IF(INVENTARIO!N397="","",INVENTARIO!N397)</f>
        <v/>
      </c>
      <c r="G397">
        <f>IF(INVENTARIO!P397="","",INVENTARIO!P397)</f>
        <v/>
      </c>
      <c r="H397">
        <f>IF(INVENTARIO!Q397="","",INVENTARIO!Q397)</f>
        <v/>
      </c>
      <c r="I397">
        <f>IF(INVENTARIO!R397="","",INVENTARIO!R397)</f>
        <v/>
      </c>
      <c r="J397">
        <f>IF(G397="PUBLICA(1)",1,IF(G397="USO INTERNO(2)",2,IF(G397="RESTRINGIDO(3)",3,0)))+IF(H397="BAJA(1)",1,IF(H397="MEDIA(2)",2,IF(H397="ALTA(3)",3,0)))+IF(I397="BAJA(1)",1,IF(I397="MEDIA(2)",2,IF(I397="ALTA(3)",3,0)))</f>
        <v/>
      </c>
      <c r="K397">
        <f>IF(J397="", "", IF(J397&gt;=8,"ALTA",IF(J397&gt;=6,"MEDIA","BAJA")))</f>
        <v/>
      </c>
      <c r="L397">
        <f>IF(INVENTARIO!Y397="","",INVENTARIO!Y397)</f>
        <v/>
      </c>
      <c r="M397">
        <f>IF(INVENTARIO!Z397="","",INVENTARIO!Z397)</f>
        <v/>
      </c>
      <c r="N397">
        <f>IF(INVENTARIO!AA397="","",INVENTARIO!AA397)</f>
        <v/>
      </c>
      <c r="O397">
        <f>IF(INVENTARIO!AB397="","",INVENTARIO!AB397)</f>
        <v/>
      </c>
      <c r="P397">
        <f>IF(INVENTARIO!AC397="","",INVENTARIO!AC397)</f>
        <v/>
      </c>
      <c r="Q397">
        <f>IF(AND(K397="",N397="",L397=""),"",IF(AND((K397="ALTA"),OR(LEFT(N397,2)="L0",LEFT(N397,2)="L1",L397="No Iniciado")),"CRÍTICO - Incumplimiento Normativo SEPS",IF(AND(OR(LEFT(N397,2)="L4",LEFT(N397,2)="L5"),AND(P397&lt;&gt;"",P397&lt;&gt;"N/A")),"CONFORME - Control Efectivo ISO 27001","OBSERVACIÓN - Revisar Controles")))</f>
        <v/>
      </c>
    </row>
    <row r="398">
      <c r="A398">
        <f>IF(INVENTARIO!A398="","",INVENTARIO!A398)</f>
        <v/>
      </c>
      <c r="B398">
        <f>IF(INVENTARIO!E398="","",INVENTARIO!E398)</f>
        <v/>
      </c>
      <c r="C398">
        <f>IF(INVENTARIO!F398="","",INVENTARIO!F398)</f>
        <v/>
      </c>
      <c r="D398">
        <f>IF(INVENTARIO!H398="","",INVENTARIO!H398)</f>
        <v/>
      </c>
      <c r="E398">
        <f>IF(INVENTARIO!I398="","",INVENTARIO!I398)</f>
        <v/>
      </c>
      <c r="F398">
        <f>IF(INVENTARIO!N398="","",INVENTARIO!N398)</f>
        <v/>
      </c>
      <c r="G398">
        <f>IF(INVENTARIO!P398="","",INVENTARIO!P398)</f>
        <v/>
      </c>
      <c r="H398">
        <f>IF(INVENTARIO!Q398="","",INVENTARIO!Q398)</f>
        <v/>
      </c>
      <c r="I398">
        <f>IF(INVENTARIO!R398="","",INVENTARIO!R398)</f>
        <v/>
      </c>
      <c r="J398">
        <f>IF(G398="PUBLICA(1)",1,IF(G398="USO INTERNO(2)",2,IF(G398="RESTRINGIDO(3)",3,0)))+IF(H398="BAJA(1)",1,IF(H398="MEDIA(2)",2,IF(H398="ALTA(3)",3,0)))+IF(I398="BAJA(1)",1,IF(I398="MEDIA(2)",2,IF(I398="ALTA(3)",3,0)))</f>
        <v/>
      </c>
      <c r="K398">
        <f>IF(J398="", "", IF(J398&gt;=8,"ALTA",IF(J398&gt;=6,"MEDIA","BAJA")))</f>
        <v/>
      </c>
      <c r="L398">
        <f>IF(INVENTARIO!Y398="","",INVENTARIO!Y398)</f>
        <v/>
      </c>
      <c r="M398">
        <f>IF(INVENTARIO!Z398="","",INVENTARIO!Z398)</f>
        <v/>
      </c>
      <c r="N398">
        <f>IF(INVENTARIO!AA398="","",INVENTARIO!AA398)</f>
        <v/>
      </c>
      <c r="O398">
        <f>IF(INVENTARIO!AB398="","",INVENTARIO!AB398)</f>
        <v/>
      </c>
      <c r="P398">
        <f>IF(INVENTARIO!AC398="","",INVENTARIO!AC398)</f>
        <v/>
      </c>
      <c r="Q398">
        <f>IF(AND(K398="",N398="",L398=""),"",IF(AND((K398="ALTA"),OR(LEFT(N398,2)="L0",LEFT(N398,2)="L1",L398="No Iniciado")),"CRÍTICO - Incumplimiento Normativo SEPS",IF(AND(OR(LEFT(N398,2)="L4",LEFT(N398,2)="L5"),AND(P398&lt;&gt;"",P398&lt;&gt;"N/A")),"CONFORME - Control Efectivo ISO 27001","OBSERVACIÓN - Revisar Controles")))</f>
        <v/>
      </c>
    </row>
    <row r="399">
      <c r="A399">
        <f>IF(INVENTARIO!A399="","",INVENTARIO!A399)</f>
        <v/>
      </c>
      <c r="B399">
        <f>IF(INVENTARIO!E399="","",INVENTARIO!E399)</f>
        <v/>
      </c>
      <c r="C399">
        <f>IF(INVENTARIO!F399="","",INVENTARIO!F399)</f>
        <v/>
      </c>
      <c r="D399">
        <f>IF(INVENTARIO!H399="","",INVENTARIO!H399)</f>
        <v/>
      </c>
      <c r="E399">
        <f>IF(INVENTARIO!I399="","",INVENTARIO!I399)</f>
        <v/>
      </c>
      <c r="F399">
        <f>IF(INVENTARIO!N399="","",INVENTARIO!N399)</f>
        <v/>
      </c>
      <c r="G399">
        <f>IF(INVENTARIO!P399="","",INVENTARIO!P399)</f>
        <v/>
      </c>
      <c r="H399">
        <f>IF(INVENTARIO!Q399="","",INVENTARIO!Q399)</f>
        <v/>
      </c>
      <c r="I399">
        <f>IF(INVENTARIO!R399="","",INVENTARIO!R399)</f>
        <v/>
      </c>
      <c r="J399">
        <f>IF(G399="PUBLICA(1)",1,IF(G399="USO INTERNO(2)",2,IF(G399="RESTRINGIDO(3)",3,0)))+IF(H399="BAJA(1)",1,IF(H399="MEDIA(2)",2,IF(H399="ALTA(3)",3,0)))+IF(I399="BAJA(1)",1,IF(I399="MEDIA(2)",2,IF(I399="ALTA(3)",3,0)))</f>
        <v/>
      </c>
      <c r="K399">
        <f>IF(J399="", "", IF(J399&gt;=8,"ALTA",IF(J399&gt;=6,"MEDIA","BAJA")))</f>
        <v/>
      </c>
      <c r="L399">
        <f>IF(INVENTARIO!Y399="","",INVENTARIO!Y399)</f>
        <v/>
      </c>
      <c r="M399">
        <f>IF(INVENTARIO!Z399="","",INVENTARIO!Z399)</f>
        <v/>
      </c>
      <c r="N399">
        <f>IF(INVENTARIO!AA399="","",INVENTARIO!AA399)</f>
        <v/>
      </c>
      <c r="O399">
        <f>IF(INVENTARIO!AB399="","",INVENTARIO!AB399)</f>
        <v/>
      </c>
      <c r="P399">
        <f>IF(INVENTARIO!AC399="","",INVENTARIO!AC399)</f>
        <v/>
      </c>
      <c r="Q399">
        <f>IF(AND(K399="",N399="",L399=""),"",IF(AND((K399="ALTA"),OR(LEFT(N399,2)="L0",LEFT(N399,2)="L1",L399="No Iniciado")),"CRÍTICO - Incumplimiento Normativo SEPS",IF(AND(OR(LEFT(N399,2)="L4",LEFT(N399,2)="L5"),AND(P399&lt;&gt;"",P399&lt;&gt;"N/A")),"CONFORME - Control Efectivo ISO 27001","OBSERVACIÓN - Revisar Controles")))</f>
        <v/>
      </c>
    </row>
    <row r="400">
      <c r="A400">
        <f>IF(INVENTARIO!A400="","",INVENTARIO!A400)</f>
        <v/>
      </c>
      <c r="B400">
        <f>IF(INVENTARIO!E400="","",INVENTARIO!E400)</f>
        <v/>
      </c>
      <c r="C400">
        <f>IF(INVENTARIO!F400="","",INVENTARIO!F400)</f>
        <v/>
      </c>
      <c r="D400">
        <f>IF(INVENTARIO!H400="","",INVENTARIO!H400)</f>
        <v/>
      </c>
      <c r="E400">
        <f>IF(INVENTARIO!I400="","",INVENTARIO!I400)</f>
        <v/>
      </c>
      <c r="F400">
        <f>IF(INVENTARIO!N400="","",INVENTARIO!N400)</f>
        <v/>
      </c>
      <c r="G400">
        <f>IF(INVENTARIO!P400="","",INVENTARIO!P400)</f>
        <v/>
      </c>
      <c r="H400">
        <f>IF(INVENTARIO!Q400="","",INVENTARIO!Q400)</f>
        <v/>
      </c>
      <c r="I400">
        <f>IF(INVENTARIO!R400="","",INVENTARIO!R400)</f>
        <v/>
      </c>
      <c r="J400">
        <f>IF(G400="PUBLICA(1)",1,IF(G400="USO INTERNO(2)",2,IF(G400="RESTRINGIDO(3)",3,0)))+IF(H400="BAJA(1)",1,IF(H400="MEDIA(2)",2,IF(H400="ALTA(3)",3,0)))+IF(I400="BAJA(1)",1,IF(I400="MEDIA(2)",2,IF(I400="ALTA(3)",3,0)))</f>
        <v/>
      </c>
      <c r="K400">
        <f>IF(J400="", "", IF(J400&gt;=8,"ALTA",IF(J400&gt;=6,"MEDIA","BAJA")))</f>
        <v/>
      </c>
      <c r="L400">
        <f>IF(INVENTARIO!Y400="","",INVENTARIO!Y400)</f>
        <v/>
      </c>
      <c r="M400">
        <f>IF(INVENTARIO!Z400="","",INVENTARIO!Z400)</f>
        <v/>
      </c>
      <c r="N400">
        <f>IF(INVENTARIO!AA400="","",INVENTARIO!AA400)</f>
        <v/>
      </c>
      <c r="O400">
        <f>IF(INVENTARIO!AB400="","",INVENTARIO!AB400)</f>
        <v/>
      </c>
      <c r="P400">
        <f>IF(INVENTARIO!AC400="","",INVENTARIO!AC400)</f>
        <v/>
      </c>
      <c r="Q400">
        <f>IF(AND(K400="",N400="",L400=""),"",IF(AND((K400="ALTA"),OR(LEFT(N400,2)="L0",LEFT(N400,2)="L1",L400="No Iniciado")),"CRÍTICO - Incumplimiento Normativo SEPS",IF(AND(OR(LEFT(N400,2)="L4",LEFT(N400,2)="L5"),AND(P400&lt;&gt;"",P400&lt;&gt;"N/A")),"CONFORME - Control Efectivo ISO 27001","OBSERVACIÓN - Revisar Controles")))</f>
        <v/>
      </c>
    </row>
    <row r="401">
      <c r="A401">
        <f>IF(INVENTARIO!A401="","",INVENTARIO!A401)</f>
        <v/>
      </c>
      <c r="B401">
        <f>IF(INVENTARIO!E401="","",INVENTARIO!E401)</f>
        <v/>
      </c>
      <c r="C401">
        <f>IF(INVENTARIO!F401="","",INVENTARIO!F401)</f>
        <v/>
      </c>
      <c r="D401">
        <f>IF(INVENTARIO!H401="","",INVENTARIO!H401)</f>
        <v/>
      </c>
      <c r="E401">
        <f>IF(INVENTARIO!I401="","",INVENTARIO!I401)</f>
        <v/>
      </c>
      <c r="F401">
        <f>IF(INVENTARIO!N401="","",INVENTARIO!N401)</f>
        <v/>
      </c>
      <c r="G401">
        <f>IF(INVENTARIO!P401="","",INVENTARIO!P401)</f>
        <v/>
      </c>
      <c r="H401">
        <f>IF(INVENTARIO!Q401="","",INVENTARIO!Q401)</f>
        <v/>
      </c>
      <c r="I401">
        <f>IF(INVENTARIO!R401="","",INVENTARIO!R401)</f>
        <v/>
      </c>
      <c r="J401">
        <f>IF(G401="PUBLICA(1)",1,IF(G401="USO INTERNO(2)",2,IF(G401="RESTRINGIDO(3)",3,0)))+IF(H401="BAJA(1)",1,IF(H401="MEDIA(2)",2,IF(H401="ALTA(3)",3,0)))+IF(I401="BAJA(1)",1,IF(I401="MEDIA(2)",2,IF(I401="ALTA(3)",3,0)))</f>
        <v/>
      </c>
      <c r="K401">
        <f>IF(J401="", "", IF(J401&gt;=8,"ALTA",IF(J401&gt;=6,"MEDIA","BAJA")))</f>
        <v/>
      </c>
      <c r="L401">
        <f>IF(INVENTARIO!Y401="","",INVENTARIO!Y401)</f>
        <v/>
      </c>
      <c r="M401">
        <f>IF(INVENTARIO!Z401="","",INVENTARIO!Z401)</f>
        <v/>
      </c>
      <c r="N401">
        <f>IF(INVENTARIO!AA401="","",INVENTARIO!AA401)</f>
        <v/>
      </c>
      <c r="O401">
        <f>IF(INVENTARIO!AB401="","",INVENTARIO!AB401)</f>
        <v/>
      </c>
      <c r="P401">
        <f>IF(INVENTARIO!AC401="","",INVENTARIO!AC401)</f>
        <v/>
      </c>
      <c r="Q401">
        <f>IF(AND(K401="",N401="",L401=""),"",IF(AND((K401="ALTA"),OR(LEFT(N401,2)="L0",LEFT(N401,2)="L1",L401="No Iniciado")),"CRÍTICO - Incumplimiento Normativo SEPS",IF(AND(OR(LEFT(N401,2)="L4",LEFT(N401,2)="L5"),AND(P401&lt;&gt;"",P401&lt;&gt;"N/A")),"CONFORME - Control Efectivo ISO 27001","OBSERVACIÓN - Revisar Controles")))</f>
        <v/>
      </c>
    </row>
    <row r="402">
      <c r="A402">
        <f>IF(INVENTARIO!A402="","",INVENTARIO!A402)</f>
        <v/>
      </c>
      <c r="B402">
        <f>IF(INVENTARIO!E402="","",INVENTARIO!E402)</f>
        <v/>
      </c>
      <c r="C402">
        <f>IF(INVENTARIO!F402="","",INVENTARIO!F402)</f>
        <v/>
      </c>
      <c r="D402">
        <f>IF(INVENTARIO!H402="","",INVENTARIO!H402)</f>
        <v/>
      </c>
      <c r="E402">
        <f>IF(INVENTARIO!I402="","",INVENTARIO!I402)</f>
        <v/>
      </c>
      <c r="F402">
        <f>IF(INVENTARIO!N402="","",INVENTARIO!N402)</f>
        <v/>
      </c>
      <c r="G402">
        <f>IF(INVENTARIO!P402="","",INVENTARIO!P402)</f>
        <v/>
      </c>
      <c r="H402">
        <f>IF(INVENTARIO!Q402="","",INVENTARIO!Q402)</f>
        <v/>
      </c>
      <c r="I402">
        <f>IF(INVENTARIO!R402="","",INVENTARIO!R402)</f>
        <v/>
      </c>
      <c r="J402">
        <f>IF(G402="PUBLICA(1)",1,IF(G402="USO INTERNO(2)",2,IF(G402="RESTRINGIDO(3)",3,0)))+IF(H402="BAJA(1)",1,IF(H402="MEDIA(2)",2,IF(H402="ALTA(3)",3,0)))+IF(I402="BAJA(1)",1,IF(I402="MEDIA(2)",2,IF(I402="ALTA(3)",3,0)))</f>
        <v/>
      </c>
      <c r="K402">
        <f>IF(J402="", "", IF(J402&gt;=8,"ALTA",IF(J402&gt;=6,"MEDIA","BAJA")))</f>
        <v/>
      </c>
      <c r="L402">
        <f>IF(INVENTARIO!Y402="","",INVENTARIO!Y402)</f>
        <v/>
      </c>
      <c r="M402">
        <f>IF(INVENTARIO!Z402="","",INVENTARIO!Z402)</f>
        <v/>
      </c>
      <c r="N402">
        <f>IF(INVENTARIO!AA402="","",INVENTARIO!AA402)</f>
        <v/>
      </c>
      <c r="O402">
        <f>IF(INVENTARIO!AB402="","",INVENTARIO!AB402)</f>
        <v/>
      </c>
      <c r="P402">
        <f>IF(INVENTARIO!AC402="","",INVENTARIO!AC402)</f>
        <v/>
      </c>
      <c r="Q402">
        <f>IF(AND(K402="",N402="",L402=""),"",IF(AND((K402="ALTA"),OR(LEFT(N402,2)="L0",LEFT(N402,2)="L1",L402="No Iniciado")),"CRÍTICO - Incumplimiento Normativo SEPS",IF(AND(OR(LEFT(N402,2)="L4",LEFT(N402,2)="L5"),AND(P402&lt;&gt;"",P402&lt;&gt;"N/A")),"CONFORME - Control Efectivo ISO 27001","OBSERVACIÓN - Revisar Controles")))</f>
        <v/>
      </c>
    </row>
    <row r="403">
      <c r="A403">
        <f>IF(INVENTARIO!A403="","",INVENTARIO!A403)</f>
        <v/>
      </c>
      <c r="B403">
        <f>IF(INVENTARIO!E403="","",INVENTARIO!E403)</f>
        <v/>
      </c>
      <c r="C403">
        <f>IF(INVENTARIO!F403="","",INVENTARIO!F403)</f>
        <v/>
      </c>
      <c r="D403">
        <f>IF(INVENTARIO!H403="","",INVENTARIO!H403)</f>
        <v/>
      </c>
      <c r="E403">
        <f>IF(INVENTARIO!I403="","",INVENTARIO!I403)</f>
        <v/>
      </c>
      <c r="F403">
        <f>IF(INVENTARIO!N403="","",INVENTARIO!N403)</f>
        <v/>
      </c>
      <c r="G403">
        <f>IF(INVENTARIO!P403="","",INVENTARIO!P403)</f>
        <v/>
      </c>
      <c r="H403">
        <f>IF(INVENTARIO!Q403="","",INVENTARIO!Q403)</f>
        <v/>
      </c>
      <c r="I403">
        <f>IF(INVENTARIO!R403="","",INVENTARIO!R403)</f>
        <v/>
      </c>
      <c r="J403">
        <f>IF(G403="PUBLICA(1)",1,IF(G403="USO INTERNO(2)",2,IF(G403="RESTRINGIDO(3)",3,0)))+IF(H403="BAJA(1)",1,IF(H403="MEDIA(2)",2,IF(H403="ALTA(3)",3,0)))+IF(I403="BAJA(1)",1,IF(I403="MEDIA(2)",2,IF(I403="ALTA(3)",3,0)))</f>
        <v/>
      </c>
      <c r="K403">
        <f>IF(J403="", "", IF(J403&gt;=8,"ALTA",IF(J403&gt;=6,"MEDIA","BAJA")))</f>
        <v/>
      </c>
      <c r="L403">
        <f>IF(INVENTARIO!Y403="","",INVENTARIO!Y403)</f>
        <v/>
      </c>
      <c r="M403">
        <f>IF(INVENTARIO!Z403="","",INVENTARIO!Z403)</f>
        <v/>
      </c>
      <c r="N403">
        <f>IF(INVENTARIO!AA403="","",INVENTARIO!AA403)</f>
        <v/>
      </c>
      <c r="O403">
        <f>IF(INVENTARIO!AB403="","",INVENTARIO!AB403)</f>
        <v/>
      </c>
      <c r="P403">
        <f>IF(INVENTARIO!AC403="","",INVENTARIO!AC403)</f>
        <v/>
      </c>
      <c r="Q403">
        <f>IF(AND(K403="",N403="",L403=""),"",IF(AND((K403="ALTA"),OR(LEFT(N403,2)="L0",LEFT(N403,2)="L1",L403="No Iniciado")),"CRÍTICO - Incumplimiento Normativo SEPS",IF(AND(OR(LEFT(N403,2)="L4",LEFT(N403,2)="L5"),AND(P403&lt;&gt;"",P403&lt;&gt;"N/A")),"CONFORME - Control Efectivo ISO 27001","OBSERVACIÓN - Revisar Controles")))</f>
        <v/>
      </c>
    </row>
    <row r="404">
      <c r="A404">
        <f>IF(INVENTARIO!A404="","",INVENTARIO!A404)</f>
        <v/>
      </c>
      <c r="B404">
        <f>IF(INVENTARIO!E404="","",INVENTARIO!E404)</f>
        <v/>
      </c>
      <c r="C404">
        <f>IF(INVENTARIO!F404="","",INVENTARIO!F404)</f>
        <v/>
      </c>
      <c r="D404">
        <f>IF(INVENTARIO!H404="","",INVENTARIO!H404)</f>
        <v/>
      </c>
      <c r="E404">
        <f>IF(INVENTARIO!I404="","",INVENTARIO!I404)</f>
        <v/>
      </c>
      <c r="F404">
        <f>IF(INVENTARIO!N404="","",INVENTARIO!N404)</f>
        <v/>
      </c>
      <c r="G404">
        <f>IF(INVENTARIO!P404="","",INVENTARIO!P404)</f>
        <v/>
      </c>
      <c r="H404">
        <f>IF(INVENTARIO!Q404="","",INVENTARIO!Q404)</f>
        <v/>
      </c>
      <c r="I404">
        <f>IF(INVENTARIO!R404="","",INVENTARIO!R404)</f>
        <v/>
      </c>
      <c r="J404">
        <f>IF(G404="PUBLICA(1)",1,IF(G404="USO INTERNO(2)",2,IF(G404="RESTRINGIDO(3)",3,0)))+IF(H404="BAJA(1)",1,IF(H404="MEDIA(2)",2,IF(H404="ALTA(3)",3,0)))+IF(I404="BAJA(1)",1,IF(I404="MEDIA(2)",2,IF(I404="ALTA(3)",3,0)))</f>
        <v/>
      </c>
      <c r="K404">
        <f>IF(J404="", "", IF(J404&gt;=8,"ALTA",IF(J404&gt;=6,"MEDIA","BAJA")))</f>
        <v/>
      </c>
      <c r="L404">
        <f>IF(INVENTARIO!Y404="","",INVENTARIO!Y404)</f>
        <v/>
      </c>
      <c r="M404">
        <f>IF(INVENTARIO!Z404="","",INVENTARIO!Z404)</f>
        <v/>
      </c>
      <c r="N404">
        <f>IF(INVENTARIO!AA404="","",INVENTARIO!AA404)</f>
        <v/>
      </c>
      <c r="O404">
        <f>IF(INVENTARIO!AB404="","",INVENTARIO!AB404)</f>
        <v/>
      </c>
      <c r="P404">
        <f>IF(INVENTARIO!AC404="","",INVENTARIO!AC404)</f>
        <v/>
      </c>
      <c r="Q404">
        <f>IF(AND(K404="",N404="",L404=""),"",IF(AND((K404="ALTA"),OR(LEFT(N404,2)="L0",LEFT(N404,2)="L1",L404="No Iniciado")),"CRÍTICO - Incumplimiento Normativo SEPS",IF(AND(OR(LEFT(N404,2)="L4",LEFT(N404,2)="L5"),AND(P404&lt;&gt;"",P404&lt;&gt;"N/A")),"CONFORME - Control Efectivo ISO 27001","OBSERVACIÓN - Revisar Controles")))</f>
        <v/>
      </c>
    </row>
    <row r="405">
      <c r="A405">
        <f>IF(INVENTARIO!A405="","",INVENTARIO!A405)</f>
        <v/>
      </c>
      <c r="B405">
        <f>IF(INVENTARIO!E405="","",INVENTARIO!E405)</f>
        <v/>
      </c>
      <c r="C405">
        <f>IF(INVENTARIO!F405="","",INVENTARIO!F405)</f>
        <v/>
      </c>
      <c r="D405">
        <f>IF(INVENTARIO!H405="","",INVENTARIO!H405)</f>
        <v/>
      </c>
      <c r="E405">
        <f>IF(INVENTARIO!I405="","",INVENTARIO!I405)</f>
        <v/>
      </c>
      <c r="F405">
        <f>IF(INVENTARIO!N405="","",INVENTARIO!N405)</f>
        <v/>
      </c>
      <c r="G405">
        <f>IF(INVENTARIO!P405="","",INVENTARIO!P405)</f>
        <v/>
      </c>
      <c r="H405">
        <f>IF(INVENTARIO!Q405="","",INVENTARIO!Q405)</f>
        <v/>
      </c>
      <c r="I405">
        <f>IF(INVENTARIO!R405="","",INVENTARIO!R405)</f>
        <v/>
      </c>
      <c r="J405">
        <f>IF(G405="PUBLICA(1)",1,IF(G405="USO INTERNO(2)",2,IF(G405="RESTRINGIDO(3)",3,0)))+IF(H405="BAJA(1)",1,IF(H405="MEDIA(2)",2,IF(H405="ALTA(3)",3,0)))+IF(I405="BAJA(1)",1,IF(I405="MEDIA(2)",2,IF(I405="ALTA(3)",3,0)))</f>
        <v/>
      </c>
      <c r="K405">
        <f>IF(J405="", "", IF(J405&gt;=8,"ALTA",IF(J405&gt;=6,"MEDIA","BAJA")))</f>
        <v/>
      </c>
      <c r="L405">
        <f>IF(INVENTARIO!Y405="","",INVENTARIO!Y405)</f>
        <v/>
      </c>
      <c r="M405">
        <f>IF(INVENTARIO!Z405="","",INVENTARIO!Z405)</f>
        <v/>
      </c>
      <c r="N405">
        <f>IF(INVENTARIO!AA405="","",INVENTARIO!AA405)</f>
        <v/>
      </c>
      <c r="O405">
        <f>IF(INVENTARIO!AB405="","",INVENTARIO!AB405)</f>
        <v/>
      </c>
      <c r="P405">
        <f>IF(INVENTARIO!AC405="","",INVENTARIO!AC405)</f>
        <v/>
      </c>
      <c r="Q405">
        <f>IF(AND(K405="",N405="",L405=""),"",IF(AND((K405="ALTA"),OR(LEFT(N405,2)="L0",LEFT(N405,2)="L1",L405="No Iniciado")),"CRÍTICO - Incumplimiento Normativo SEPS",IF(AND(OR(LEFT(N405,2)="L4",LEFT(N405,2)="L5"),AND(P405&lt;&gt;"",P405&lt;&gt;"N/A")),"CONFORME - Control Efectivo ISO 27001","OBSERVACIÓN - Revisar Controles")))</f>
        <v/>
      </c>
    </row>
    <row r="406">
      <c r="A406">
        <f>IF(INVENTARIO!A406="","",INVENTARIO!A406)</f>
        <v/>
      </c>
      <c r="B406">
        <f>IF(INVENTARIO!E406="","",INVENTARIO!E406)</f>
        <v/>
      </c>
      <c r="C406">
        <f>IF(INVENTARIO!F406="","",INVENTARIO!F406)</f>
        <v/>
      </c>
      <c r="D406">
        <f>IF(INVENTARIO!H406="","",INVENTARIO!H406)</f>
        <v/>
      </c>
      <c r="E406">
        <f>IF(INVENTARIO!I406="","",INVENTARIO!I406)</f>
        <v/>
      </c>
      <c r="F406">
        <f>IF(INVENTARIO!N406="","",INVENTARIO!N406)</f>
        <v/>
      </c>
      <c r="G406">
        <f>IF(INVENTARIO!P406="","",INVENTARIO!P406)</f>
        <v/>
      </c>
      <c r="H406">
        <f>IF(INVENTARIO!Q406="","",INVENTARIO!Q406)</f>
        <v/>
      </c>
      <c r="I406">
        <f>IF(INVENTARIO!R406="","",INVENTARIO!R406)</f>
        <v/>
      </c>
      <c r="J406">
        <f>IF(G406="PUBLICA(1)",1,IF(G406="USO INTERNO(2)",2,IF(G406="RESTRINGIDO(3)",3,0)))+IF(H406="BAJA(1)",1,IF(H406="MEDIA(2)",2,IF(H406="ALTA(3)",3,0)))+IF(I406="BAJA(1)",1,IF(I406="MEDIA(2)",2,IF(I406="ALTA(3)",3,0)))</f>
        <v/>
      </c>
      <c r="K406">
        <f>IF(J406="", "", IF(J406&gt;=8,"ALTA",IF(J406&gt;=6,"MEDIA","BAJA")))</f>
        <v/>
      </c>
      <c r="L406">
        <f>IF(INVENTARIO!Y406="","",INVENTARIO!Y406)</f>
        <v/>
      </c>
      <c r="M406">
        <f>IF(INVENTARIO!Z406="","",INVENTARIO!Z406)</f>
        <v/>
      </c>
      <c r="N406">
        <f>IF(INVENTARIO!AA406="","",INVENTARIO!AA406)</f>
        <v/>
      </c>
      <c r="O406">
        <f>IF(INVENTARIO!AB406="","",INVENTARIO!AB406)</f>
        <v/>
      </c>
      <c r="P406">
        <f>IF(INVENTARIO!AC406="","",INVENTARIO!AC406)</f>
        <v/>
      </c>
      <c r="Q406">
        <f>IF(AND(K406="",N406="",L406=""),"",IF(AND((K406="ALTA"),OR(LEFT(N406,2)="L0",LEFT(N406,2)="L1",L406="No Iniciado")),"CRÍTICO - Incumplimiento Normativo SEPS",IF(AND(OR(LEFT(N406,2)="L4",LEFT(N406,2)="L5"),AND(P406&lt;&gt;"",P406&lt;&gt;"N/A")),"CONFORME - Control Efectivo ISO 27001","OBSERVACIÓN - Revisar Controles")))</f>
        <v/>
      </c>
    </row>
    <row r="407">
      <c r="A407">
        <f>IF(INVENTARIO!A407="","",INVENTARIO!A407)</f>
        <v/>
      </c>
      <c r="B407">
        <f>IF(INVENTARIO!E407="","",INVENTARIO!E407)</f>
        <v/>
      </c>
      <c r="C407">
        <f>IF(INVENTARIO!F407="","",INVENTARIO!F407)</f>
        <v/>
      </c>
      <c r="D407">
        <f>IF(INVENTARIO!H407="","",INVENTARIO!H407)</f>
        <v/>
      </c>
      <c r="E407">
        <f>IF(INVENTARIO!I407="","",INVENTARIO!I407)</f>
        <v/>
      </c>
      <c r="F407">
        <f>IF(INVENTARIO!N407="","",INVENTARIO!N407)</f>
        <v/>
      </c>
      <c r="G407">
        <f>IF(INVENTARIO!P407="","",INVENTARIO!P407)</f>
        <v/>
      </c>
      <c r="H407">
        <f>IF(INVENTARIO!Q407="","",INVENTARIO!Q407)</f>
        <v/>
      </c>
      <c r="I407">
        <f>IF(INVENTARIO!R407="","",INVENTARIO!R407)</f>
        <v/>
      </c>
      <c r="J407">
        <f>IF(G407="PUBLICA(1)",1,IF(G407="USO INTERNO(2)",2,IF(G407="RESTRINGIDO(3)",3,0)))+IF(H407="BAJA(1)",1,IF(H407="MEDIA(2)",2,IF(H407="ALTA(3)",3,0)))+IF(I407="BAJA(1)",1,IF(I407="MEDIA(2)",2,IF(I407="ALTA(3)",3,0)))</f>
        <v/>
      </c>
      <c r="K407">
        <f>IF(J407="", "", IF(J407&gt;=8,"ALTA",IF(J407&gt;=6,"MEDIA","BAJA")))</f>
        <v/>
      </c>
      <c r="L407">
        <f>IF(INVENTARIO!Y407="","",INVENTARIO!Y407)</f>
        <v/>
      </c>
      <c r="M407">
        <f>IF(INVENTARIO!Z407="","",INVENTARIO!Z407)</f>
        <v/>
      </c>
      <c r="N407">
        <f>IF(INVENTARIO!AA407="","",INVENTARIO!AA407)</f>
        <v/>
      </c>
      <c r="O407">
        <f>IF(INVENTARIO!AB407="","",INVENTARIO!AB407)</f>
        <v/>
      </c>
      <c r="P407">
        <f>IF(INVENTARIO!AC407="","",INVENTARIO!AC407)</f>
        <v/>
      </c>
      <c r="Q407">
        <f>IF(AND(K407="",N407="",L407=""),"",IF(AND((K407="ALTA"),OR(LEFT(N407,2)="L0",LEFT(N407,2)="L1",L407="No Iniciado")),"CRÍTICO - Incumplimiento Normativo SEPS",IF(AND(OR(LEFT(N407,2)="L4",LEFT(N407,2)="L5"),AND(P407&lt;&gt;"",P407&lt;&gt;"N/A")),"CONFORME - Control Efectivo ISO 27001","OBSERVACIÓN - Revisar Controles")))</f>
        <v/>
      </c>
    </row>
    <row r="408">
      <c r="A408">
        <f>IF(INVENTARIO!A408="","",INVENTARIO!A408)</f>
        <v/>
      </c>
      <c r="B408">
        <f>IF(INVENTARIO!E408="","",INVENTARIO!E408)</f>
        <v/>
      </c>
      <c r="C408">
        <f>IF(INVENTARIO!F408="","",INVENTARIO!F408)</f>
        <v/>
      </c>
      <c r="D408">
        <f>IF(INVENTARIO!H408="","",INVENTARIO!H408)</f>
        <v/>
      </c>
      <c r="E408">
        <f>IF(INVENTARIO!I408="","",INVENTARIO!I408)</f>
        <v/>
      </c>
      <c r="F408">
        <f>IF(INVENTARIO!N408="","",INVENTARIO!N408)</f>
        <v/>
      </c>
      <c r="G408">
        <f>IF(INVENTARIO!P408="","",INVENTARIO!P408)</f>
        <v/>
      </c>
      <c r="H408">
        <f>IF(INVENTARIO!Q408="","",INVENTARIO!Q408)</f>
        <v/>
      </c>
      <c r="I408">
        <f>IF(INVENTARIO!R408="","",INVENTARIO!R408)</f>
        <v/>
      </c>
      <c r="J408">
        <f>IF(G408="PUBLICA(1)",1,IF(G408="USO INTERNO(2)",2,IF(G408="RESTRINGIDO(3)",3,0)))+IF(H408="BAJA(1)",1,IF(H408="MEDIA(2)",2,IF(H408="ALTA(3)",3,0)))+IF(I408="BAJA(1)",1,IF(I408="MEDIA(2)",2,IF(I408="ALTA(3)",3,0)))</f>
        <v/>
      </c>
      <c r="K408">
        <f>IF(J408="", "", IF(J408&gt;=8,"ALTA",IF(J408&gt;=6,"MEDIA","BAJA")))</f>
        <v/>
      </c>
      <c r="L408">
        <f>IF(INVENTARIO!Y408="","",INVENTARIO!Y408)</f>
        <v/>
      </c>
      <c r="M408">
        <f>IF(INVENTARIO!Z408="","",INVENTARIO!Z408)</f>
        <v/>
      </c>
      <c r="N408">
        <f>IF(INVENTARIO!AA408="","",INVENTARIO!AA408)</f>
        <v/>
      </c>
      <c r="O408">
        <f>IF(INVENTARIO!AB408="","",INVENTARIO!AB408)</f>
        <v/>
      </c>
      <c r="P408">
        <f>IF(INVENTARIO!AC408="","",INVENTARIO!AC408)</f>
        <v/>
      </c>
      <c r="Q408">
        <f>IF(AND(K408="",N408="",L408=""),"",IF(AND((K408="ALTA"),OR(LEFT(N408,2)="L0",LEFT(N408,2)="L1",L408="No Iniciado")),"CRÍTICO - Incumplimiento Normativo SEPS",IF(AND(OR(LEFT(N408,2)="L4",LEFT(N408,2)="L5"),AND(P408&lt;&gt;"",P408&lt;&gt;"N/A")),"CONFORME - Control Efectivo ISO 27001","OBSERVACIÓN - Revisar Controles")))</f>
        <v/>
      </c>
    </row>
    <row r="409">
      <c r="A409">
        <f>IF(INVENTARIO!A409="","",INVENTARIO!A409)</f>
        <v/>
      </c>
      <c r="B409">
        <f>IF(INVENTARIO!E409="","",INVENTARIO!E409)</f>
        <v/>
      </c>
      <c r="C409">
        <f>IF(INVENTARIO!F409="","",INVENTARIO!F409)</f>
        <v/>
      </c>
      <c r="D409">
        <f>IF(INVENTARIO!H409="","",INVENTARIO!H409)</f>
        <v/>
      </c>
      <c r="E409">
        <f>IF(INVENTARIO!I409="","",INVENTARIO!I409)</f>
        <v/>
      </c>
      <c r="F409">
        <f>IF(INVENTARIO!N409="","",INVENTARIO!N409)</f>
        <v/>
      </c>
      <c r="G409">
        <f>IF(INVENTARIO!P409="","",INVENTARIO!P409)</f>
        <v/>
      </c>
      <c r="H409">
        <f>IF(INVENTARIO!Q409="","",INVENTARIO!Q409)</f>
        <v/>
      </c>
      <c r="I409">
        <f>IF(INVENTARIO!R409="","",INVENTARIO!R409)</f>
        <v/>
      </c>
      <c r="J409">
        <f>IF(G409="PUBLICA(1)",1,IF(G409="USO INTERNO(2)",2,IF(G409="RESTRINGIDO(3)",3,0)))+IF(H409="BAJA(1)",1,IF(H409="MEDIA(2)",2,IF(H409="ALTA(3)",3,0)))+IF(I409="BAJA(1)",1,IF(I409="MEDIA(2)",2,IF(I409="ALTA(3)",3,0)))</f>
        <v/>
      </c>
      <c r="K409">
        <f>IF(J409="", "", IF(J409&gt;=8,"ALTA",IF(J409&gt;=6,"MEDIA","BAJA")))</f>
        <v/>
      </c>
      <c r="L409">
        <f>IF(INVENTARIO!Y409="","",INVENTARIO!Y409)</f>
        <v/>
      </c>
      <c r="M409">
        <f>IF(INVENTARIO!Z409="","",INVENTARIO!Z409)</f>
        <v/>
      </c>
      <c r="N409">
        <f>IF(INVENTARIO!AA409="","",INVENTARIO!AA409)</f>
        <v/>
      </c>
      <c r="O409">
        <f>IF(INVENTARIO!AB409="","",INVENTARIO!AB409)</f>
        <v/>
      </c>
      <c r="P409">
        <f>IF(INVENTARIO!AC409="","",INVENTARIO!AC409)</f>
        <v/>
      </c>
      <c r="Q409">
        <f>IF(AND(K409="",N409="",L409=""),"",IF(AND((K409="ALTA"),OR(LEFT(N409,2)="L0",LEFT(N409,2)="L1",L409="No Iniciado")),"CRÍTICO - Incumplimiento Normativo SEPS",IF(AND(OR(LEFT(N409,2)="L4",LEFT(N409,2)="L5"),AND(P409&lt;&gt;"",P409&lt;&gt;"N/A")),"CONFORME - Control Efectivo ISO 27001","OBSERVACIÓN - Revisar Controles")))</f>
        <v/>
      </c>
    </row>
    <row r="410">
      <c r="A410">
        <f>IF(INVENTARIO!A410="","",INVENTARIO!A410)</f>
        <v/>
      </c>
      <c r="B410">
        <f>IF(INVENTARIO!E410="","",INVENTARIO!E410)</f>
        <v/>
      </c>
      <c r="C410">
        <f>IF(INVENTARIO!F410="","",INVENTARIO!F410)</f>
        <v/>
      </c>
      <c r="D410">
        <f>IF(INVENTARIO!H410="","",INVENTARIO!H410)</f>
        <v/>
      </c>
      <c r="E410">
        <f>IF(INVENTARIO!I410="","",INVENTARIO!I410)</f>
        <v/>
      </c>
      <c r="F410">
        <f>IF(INVENTARIO!N410="","",INVENTARIO!N410)</f>
        <v/>
      </c>
      <c r="G410">
        <f>IF(INVENTARIO!P410="","",INVENTARIO!P410)</f>
        <v/>
      </c>
      <c r="H410">
        <f>IF(INVENTARIO!Q410="","",INVENTARIO!Q410)</f>
        <v/>
      </c>
      <c r="I410">
        <f>IF(INVENTARIO!R410="","",INVENTARIO!R410)</f>
        <v/>
      </c>
      <c r="J410">
        <f>IF(G410="PUBLICA(1)",1,IF(G410="USO INTERNO(2)",2,IF(G410="RESTRINGIDO(3)",3,0)))+IF(H410="BAJA(1)",1,IF(H410="MEDIA(2)",2,IF(H410="ALTA(3)",3,0)))+IF(I410="BAJA(1)",1,IF(I410="MEDIA(2)",2,IF(I410="ALTA(3)",3,0)))</f>
        <v/>
      </c>
      <c r="K410">
        <f>IF(J410="", "", IF(J410&gt;=8,"ALTA",IF(J410&gt;=6,"MEDIA","BAJA")))</f>
        <v/>
      </c>
      <c r="L410">
        <f>IF(INVENTARIO!Y410="","",INVENTARIO!Y410)</f>
        <v/>
      </c>
      <c r="M410">
        <f>IF(INVENTARIO!Z410="","",INVENTARIO!Z410)</f>
        <v/>
      </c>
      <c r="N410">
        <f>IF(INVENTARIO!AA410="","",INVENTARIO!AA410)</f>
        <v/>
      </c>
      <c r="O410">
        <f>IF(INVENTARIO!AB410="","",INVENTARIO!AB410)</f>
        <v/>
      </c>
      <c r="P410">
        <f>IF(INVENTARIO!AC410="","",INVENTARIO!AC410)</f>
        <v/>
      </c>
      <c r="Q410">
        <f>IF(AND(K410="",N410="",L410=""),"",IF(AND((K410="ALTA"),OR(LEFT(N410,2)="L0",LEFT(N410,2)="L1",L410="No Iniciado")),"CRÍTICO - Incumplimiento Normativo SEPS",IF(AND(OR(LEFT(N410,2)="L4",LEFT(N410,2)="L5"),AND(P410&lt;&gt;"",P410&lt;&gt;"N/A")),"CONFORME - Control Efectivo ISO 27001","OBSERVACIÓN - Revisar Controles")))</f>
        <v/>
      </c>
    </row>
    <row r="411">
      <c r="A411">
        <f>IF(INVENTARIO!A411="","",INVENTARIO!A411)</f>
        <v/>
      </c>
      <c r="B411">
        <f>IF(INVENTARIO!E411="","",INVENTARIO!E411)</f>
        <v/>
      </c>
      <c r="C411">
        <f>IF(INVENTARIO!F411="","",INVENTARIO!F411)</f>
        <v/>
      </c>
      <c r="D411">
        <f>IF(INVENTARIO!H411="","",INVENTARIO!H411)</f>
        <v/>
      </c>
      <c r="E411">
        <f>IF(INVENTARIO!I411="","",INVENTARIO!I411)</f>
        <v/>
      </c>
      <c r="F411">
        <f>IF(INVENTARIO!N411="","",INVENTARIO!N411)</f>
        <v/>
      </c>
      <c r="G411">
        <f>IF(INVENTARIO!P411="","",INVENTARIO!P411)</f>
        <v/>
      </c>
      <c r="H411">
        <f>IF(INVENTARIO!Q411="","",INVENTARIO!Q411)</f>
        <v/>
      </c>
      <c r="I411">
        <f>IF(INVENTARIO!R411="","",INVENTARIO!R411)</f>
        <v/>
      </c>
      <c r="J411">
        <f>IF(G411="PUBLICA(1)",1,IF(G411="USO INTERNO(2)",2,IF(G411="RESTRINGIDO(3)",3,0)))+IF(H411="BAJA(1)",1,IF(H411="MEDIA(2)",2,IF(H411="ALTA(3)",3,0)))+IF(I411="BAJA(1)",1,IF(I411="MEDIA(2)",2,IF(I411="ALTA(3)",3,0)))</f>
        <v/>
      </c>
      <c r="K411">
        <f>IF(J411="", "", IF(J411&gt;=8,"ALTA",IF(J411&gt;=6,"MEDIA","BAJA")))</f>
        <v/>
      </c>
      <c r="L411">
        <f>IF(INVENTARIO!Y411="","",INVENTARIO!Y411)</f>
        <v/>
      </c>
      <c r="M411">
        <f>IF(INVENTARIO!Z411="","",INVENTARIO!Z411)</f>
        <v/>
      </c>
      <c r="N411">
        <f>IF(INVENTARIO!AA411="","",INVENTARIO!AA411)</f>
        <v/>
      </c>
      <c r="O411">
        <f>IF(INVENTARIO!AB411="","",INVENTARIO!AB411)</f>
        <v/>
      </c>
      <c r="P411">
        <f>IF(INVENTARIO!AC411="","",INVENTARIO!AC411)</f>
        <v/>
      </c>
      <c r="Q411">
        <f>IF(AND(K411="",N411="",L411=""),"",IF(AND((K411="ALTA"),OR(LEFT(N411,2)="L0",LEFT(N411,2)="L1",L411="No Iniciado")),"CRÍTICO - Incumplimiento Normativo SEPS",IF(AND(OR(LEFT(N411,2)="L4",LEFT(N411,2)="L5"),AND(P411&lt;&gt;"",P411&lt;&gt;"N/A")),"CONFORME - Control Efectivo ISO 27001","OBSERVACIÓN - Revisar Controles")))</f>
        <v/>
      </c>
    </row>
    <row r="412">
      <c r="A412">
        <f>IF(INVENTARIO!A412="","",INVENTARIO!A412)</f>
        <v/>
      </c>
      <c r="B412">
        <f>IF(INVENTARIO!E412="","",INVENTARIO!E412)</f>
        <v/>
      </c>
      <c r="C412">
        <f>IF(INVENTARIO!F412="","",INVENTARIO!F412)</f>
        <v/>
      </c>
      <c r="D412">
        <f>IF(INVENTARIO!H412="","",INVENTARIO!H412)</f>
        <v/>
      </c>
      <c r="E412">
        <f>IF(INVENTARIO!I412="","",INVENTARIO!I412)</f>
        <v/>
      </c>
      <c r="F412">
        <f>IF(INVENTARIO!N412="","",INVENTARIO!N412)</f>
        <v/>
      </c>
      <c r="G412">
        <f>IF(INVENTARIO!P412="","",INVENTARIO!P412)</f>
        <v/>
      </c>
      <c r="H412">
        <f>IF(INVENTARIO!Q412="","",INVENTARIO!Q412)</f>
        <v/>
      </c>
      <c r="I412">
        <f>IF(INVENTARIO!R412="","",INVENTARIO!R412)</f>
        <v/>
      </c>
      <c r="J412">
        <f>IF(G412="PUBLICA(1)",1,IF(G412="USO INTERNO(2)",2,IF(G412="RESTRINGIDO(3)",3,0)))+IF(H412="BAJA(1)",1,IF(H412="MEDIA(2)",2,IF(H412="ALTA(3)",3,0)))+IF(I412="BAJA(1)",1,IF(I412="MEDIA(2)",2,IF(I412="ALTA(3)",3,0)))</f>
        <v/>
      </c>
      <c r="K412">
        <f>IF(J412="", "", IF(J412&gt;=8,"ALTA",IF(J412&gt;=6,"MEDIA","BAJA")))</f>
        <v/>
      </c>
      <c r="L412">
        <f>IF(INVENTARIO!Y412="","",INVENTARIO!Y412)</f>
        <v/>
      </c>
      <c r="M412">
        <f>IF(INVENTARIO!Z412="","",INVENTARIO!Z412)</f>
        <v/>
      </c>
      <c r="N412">
        <f>IF(INVENTARIO!AA412="","",INVENTARIO!AA412)</f>
        <v/>
      </c>
      <c r="O412">
        <f>IF(INVENTARIO!AB412="","",INVENTARIO!AB412)</f>
        <v/>
      </c>
      <c r="P412">
        <f>IF(INVENTARIO!AC412="","",INVENTARIO!AC412)</f>
        <v/>
      </c>
      <c r="Q412">
        <f>IF(AND(K412="",N412="",L412=""),"",IF(AND((K412="ALTA"),OR(LEFT(N412,2)="L0",LEFT(N412,2)="L1",L412="No Iniciado")),"CRÍTICO - Incumplimiento Normativo SEPS",IF(AND(OR(LEFT(N412,2)="L4",LEFT(N412,2)="L5"),AND(P412&lt;&gt;"",P412&lt;&gt;"N/A")),"CONFORME - Control Efectivo ISO 27001","OBSERVACIÓN - Revisar Controles")))</f>
        <v/>
      </c>
    </row>
    <row r="413">
      <c r="A413">
        <f>IF(INVENTARIO!A413="","",INVENTARIO!A413)</f>
        <v/>
      </c>
      <c r="B413">
        <f>IF(INVENTARIO!E413="","",INVENTARIO!E413)</f>
        <v/>
      </c>
      <c r="C413">
        <f>IF(INVENTARIO!F413="","",INVENTARIO!F413)</f>
        <v/>
      </c>
      <c r="D413">
        <f>IF(INVENTARIO!H413="","",INVENTARIO!H413)</f>
        <v/>
      </c>
      <c r="E413">
        <f>IF(INVENTARIO!I413="","",INVENTARIO!I413)</f>
        <v/>
      </c>
      <c r="F413">
        <f>IF(INVENTARIO!N413="","",INVENTARIO!N413)</f>
        <v/>
      </c>
      <c r="G413">
        <f>IF(INVENTARIO!P413="","",INVENTARIO!P413)</f>
        <v/>
      </c>
      <c r="H413">
        <f>IF(INVENTARIO!Q413="","",INVENTARIO!Q413)</f>
        <v/>
      </c>
      <c r="I413">
        <f>IF(INVENTARIO!R413="","",INVENTARIO!R413)</f>
        <v/>
      </c>
      <c r="J413">
        <f>IF(G413="PUBLICA(1)",1,IF(G413="USO INTERNO(2)",2,IF(G413="RESTRINGIDO(3)",3,0)))+IF(H413="BAJA(1)",1,IF(H413="MEDIA(2)",2,IF(H413="ALTA(3)",3,0)))+IF(I413="BAJA(1)",1,IF(I413="MEDIA(2)",2,IF(I413="ALTA(3)",3,0)))</f>
        <v/>
      </c>
      <c r="K413">
        <f>IF(J413="", "", IF(J413&gt;=8,"ALTA",IF(J413&gt;=6,"MEDIA","BAJA")))</f>
        <v/>
      </c>
      <c r="L413">
        <f>IF(INVENTARIO!Y413="","",INVENTARIO!Y413)</f>
        <v/>
      </c>
      <c r="M413">
        <f>IF(INVENTARIO!Z413="","",INVENTARIO!Z413)</f>
        <v/>
      </c>
      <c r="N413">
        <f>IF(INVENTARIO!AA413="","",INVENTARIO!AA413)</f>
        <v/>
      </c>
      <c r="O413">
        <f>IF(INVENTARIO!AB413="","",INVENTARIO!AB413)</f>
        <v/>
      </c>
      <c r="P413">
        <f>IF(INVENTARIO!AC413="","",INVENTARIO!AC413)</f>
        <v/>
      </c>
      <c r="Q413">
        <f>IF(AND(K413="",N413="",L413=""),"",IF(AND((K413="ALTA"),OR(LEFT(N413,2)="L0",LEFT(N413,2)="L1",L413="No Iniciado")),"CRÍTICO - Incumplimiento Normativo SEPS",IF(AND(OR(LEFT(N413,2)="L4",LEFT(N413,2)="L5"),AND(P413&lt;&gt;"",P413&lt;&gt;"N/A")),"CONFORME - Control Efectivo ISO 27001","OBSERVACIÓN - Revisar Controles")))</f>
        <v/>
      </c>
    </row>
    <row r="414">
      <c r="A414">
        <f>IF(INVENTARIO!A414="","",INVENTARIO!A414)</f>
        <v/>
      </c>
      <c r="B414">
        <f>IF(INVENTARIO!E414="","",INVENTARIO!E414)</f>
        <v/>
      </c>
      <c r="C414">
        <f>IF(INVENTARIO!F414="","",INVENTARIO!F414)</f>
        <v/>
      </c>
      <c r="D414">
        <f>IF(INVENTARIO!H414="","",INVENTARIO!H414)</f>
        <v/>
      </c>
      <c r="E414">
        <f>IF(INVENTARIO!I414="","",INVENTARIO!I414)</f>
        <v/>
      </c>
      <c r="F414">
        <f>IF(INVENTARIO!N414="","",INVENTARIO!N414)</f>
        <v/>
      </c>
      <c r="G414">
        <f>IF(INVENTARIO!P414="","",INVENTARIO!P414)</f>
        <v/>
      </c>
      <c r="H414">
        <f>IF(INVENTARIO!Q414="","",INVENTARIO!Q414)</f>
        <v/>
      </c>
      <c r="I414">
        <f>IF(INVENTARIO!R414="","",INVENTARIO!R414)</f>
        <v/>
      </c>
      <c r="J414">
        <f>IF(G414="PUBLICA(1)",1,IF(G414="USO INTERNO(2)",2,IF(G414="RESTRINGIDO(3)",3,0)))+IF(H414="BAJA(1)",1,IF(H414="MEDIA(2)",2,IF(H414="ALTA(3)",3,0)))+IF(I414="BAJA(1)",1,IF(I414="MEDIA(2)",2,IF(I414="ALTA(3)",3,0)))</f>
        <v/>
      </c>
      <c r="K414">
        <f>IF(J414="", "", IF(J414&gt;=8,"ALTA",IF(J414&gt;=6,"MEDIA","BAJA")))</f>
        <v/>
      </c>
      <c r="L414">
        <f>IF(INVENTARIO!Y414="","",INVENTARIO!Y414)</f>
        <v/>
      </c>
      <c r="M414">
        <f>IF(INVENTARIO!Z414="","",INVENTARIO!Z414)</f>
        <v/>
      </c>
      <c r="N414">
        <f>IF(INVENTARIO!AA414="","",INVENTARIO!AA414)</f>
        <v/>
      </c>
      <c r="O414">
        <f>IF(INVENTARIO!AB414="","",INVENTARIO!AB414)</f>
        <v/>
      </c>
      <c r="P414">
        <f>IF(INVENTARIO!AC414="","",INVENTARIO!AC414)</f>
        <v/>
      </c>
      <c r="Q414">
        <f>IF(AND(K414="",N414="",L414=""),"",IF(AND((K414="ALTA"),OR(LEFT(N414,2)="L0",LEFT(N414,2)="L1",L414="No Iniciado")),"CRÍTICO - Incumplimiento Normativo SEPS",IF(AND(OR(LEFT(N414,2)="L4",LEFT(N414,2)="L5"),AND(P414&lt;&gt;"",P414&lt;&gt;"N/A")),"CONFORME - Control Efectivo ISO 27001","OBSERVACIÓN - Revisar Controles")))</f>
        <v/>
      </c>
    </row>
    <row r="415">
      <c r="A415">
        <f>IF(INVENTARIO!A415="","",INVENTARIO!A415)</f>
        <v/>
      </c>
      <c r="B415">
        <f>IF(INVENTARIO!E415="","",INVENTARIO!E415)</f>
        <v/>
      </c>
      <c r="C415">
        <f>IF(INVENTARIO!F415="","",INVENTARIO!F415)</f>
        <v/>
      </c>
      <c r="D415">
        <f>IF(INVENTARIO!H415="","",INVENTARIO!H415)</f>
        <v/>
      </c>
      <c r="E415">
        <f>IF(INVENTARIO!I415="","",INVENTARIO!I415)</f>
        <v/>
      </c>
      <c r="F415">
        <f>IF(INVENTARIO!N415="","",INVENTARIO!N415)</f>
        <v/>
      </c>
      <c r="G415">
        <f>IF(INVENTARIO!P415="","",INVENTARIO!P415)</f>
        <v/>
      </c>
      <c r="H415">
        <f>IF(INVENTARIO!Q415="","",INVENTARIO!Q415)</f>
        <v/>
      </c>
      <c r="I415">
        <f>IF(INVENTARIO!R415="","",INVENTARIO!R415)</f>
        <v/>
      </c>
      <c r="J415">
        <f>IF(G415="PUBLICA(1)",1,IF(G415="USO INTERNO(2)",2,IF(G415="RESTRINGIDO(3)",3,0)))+IF(H415="BAJA(1)",1,IF(H415="MEDIA(2)",2,IF(H415="ALTA(3)",3,0)))+IF(I415="BAJA(1)",1,IF(I415="MEDIA(2)",2,IF(I415="ALTA(3)",3,0)))</f>
        <v/>
      </c>
      <c r="K415">
        <f>IF(J415="", "", IF(J415&gt;=8,"ALTA",IF(J415&gt;=6,"MEDIA","BAJA")))</f>
        <v/>
      </c>
      <c r="L415">
        <f>IF(INVENTARIO!Y415="","",INVENTARIO!Y415)</f>
        <v/>
      </c>
      <c r="M415">
        <f>IF(INVENTARIO!Z415="","",INVENTARIO!Z415)</f>
        <v/>
      </c>
      <c r="N415">
        <f>IF(INVENTARIO!AA415="","",INVENTARIO!AA415)</f>
        <v/>
      </c>
      <c r="O415">
        <f>IF(INVENTARIO!AB415="","",INVENTARIO!AB415)</f>
        <v/>
      </c>
      <c r="P415">
        <f>IF(INVENTARIO!AC415="","",INVENTARIO!AC415)</f>
        <v/>
      </c>
      <c r="Q415">
        <f>IF(AND(K415="",N415="",L415=""),"",IF(AND((K415="ALTA"),OR(LEFT(N415,2)="L0",LEFT(N415,2)="L1",L415="No Iniciado")),"CRÍTICO - Incumplimiento Normativo SEPS",IF(AND(OR(LEFT(N415,2)="L4",LEFT(N415,2)="L5"),AND(P415&lt;&gt;"",P415&lt;&gt;"N/A")),"CONFORME - Control Efectivo ISO 27001","OBSERVACIÓN - Revisar Controles")))</f>
        <v/>
      </c>
    </row>
    <row r="416">
      <c r="A416">
        <f>IF(INVENTARIO!A416="","",INVENTARIO!A416)</f>
        <v/>
      </c>
      <c r="B416">
        <f>IF(INVENTARIO!E416="","",INVENTARIO!E416)</f>
        <v/>
      </c>
      <c r="C416">
        <f>IF(INVENTARIO!F416="","",INVENTARIO!F416)</f>
        <v/>
      </c>
      <c r="D416">
        <f>IF(INVENTARIO!H416="","",INVENTARIO!H416)</f>
        <v/>
      </c>
      <c r="E416">
        <f>IF(INVENTARIO!I416="","",INVENTARIO!I416)</f>
        <v/>
      </c>
      <c r="F416">
        <f>IF(INVENTARIO!N416="","",INVENTARIO!N416)</f>
        <v/>
      </c>
      <c r="G416">
        <f>IF(INVENTARIO!P416="","",INVENTARIO!P416)</f>
        <v/>
      </c>
      <c r="H416">
        <f>IF(INVENTARIO!Q416="","",INVENTARIO!Q416)</f>
        <v/>
      </c>
      <c r="I416">
        <f>IF(INVENTARIO!R416="","",INVENTARIO!R416)</f>
        <v/>
      </c>
      <c r="J416">
        <f>IF(G416="PUBLICA(1)",1,IF(G416="USO INTERNO(2)",2,IF(G416="RESTRINGIDO(3)",3,0)))+IF(H416="BAJA(1)",1,IF(H416="MEDIA(2)",2,IF(H416="ALTA(3)",3,0)))+IF(I416="BAJA(1)",1,IF(I416="MEDIA(2)",2,IF(I416="ALTA(3)",3,0)))</f>
        <v/>
      </c>
      <c r="K416">
        <f>IF(J416="", "", IF(J416&gt;=8,"ALTA",IF(J416&gt;=6,"MEDIA","BAJA")))</f>
        <v/>
      </c>
      <c r="L416">
        <f>IF(INVENTARIO!Y416="","",INVENTARIO!Y416)</f>
        <v/>
      </c>
      <c r="M416">
        <f>IF(INVENTARIO!Z416="","",INVENTARIO!Z416)</f>
        <v/>
      </c>
      <c r="N416">
        <f>IF(INVENTARIO!AA416="","",INVENTARIO!AA416)</f>
        <v/>
      </c>
      <c r="O416">
        <f>IF(INVENTARIO!AB416="","",INVENTARIO!AB416)</f>
        <v/>
      </c>
      <c r="P416">
        <f>IF(INVENTARIO!AC416="","",INVENTARIO!AC416)</f>
        <v/>
      </c>
      <c r="Q416">
        <f>IF(AND(K416="",N416="",L416=""),"",IF(AND((K416="ALTA"),OR(LEFT(N416,2)="L0",LEFT(N416,2)="L1",L416="No Iniciado")),"CRÍTICO - Incumplimiento Normativo SEPS",IF(AND(OR(LEFT(N416,2)="L4",LEFT(N416,2)="L5"),AND(P416&lt;&gt;"",P416&lt;&gt;"N/A")),"CONFORME - Control Efectivo ISO 27001","OBSERVACIÓN - Revisar Controles")))</f>
        <v/>
      </c>
    </row>
    <row r="417">
      <c r="A417">
        <f>IF(INVENTARIO!A417="","",INVENTARIO!A417)</f>
        <v/>
      </c>
      <c r="B417">
        <f>IF(INVENTARIO!E417="","",INVENTARIO!E417)</f>
        <v/>
      </c>
      <c r="C417">
        <f>IF(INVENTARIO!F417="","",INVENTARIO!F417)</f>
        <v/>
      </c>
      <c r="D417">
        <f>IF(INVENTARIO!H417="","",INVENTARIO!H417)</f>
        <v/>
      </c>
      <c r="E417">
        <f>IF(INVENTARIO!I417="","",INVENTARIO!I417)</f>
        <v/>
      </c>
      <c r="F417">
        <f>IF(INVENTARIO!N417="","",INVENTARIO!N417)</f>
        <v/>
      </c>
      <c r="G417">
        <f>IF(INVENTARIO!P417="","",INVENTARIO!P417)</f>
        <v/>
      </c>
      <c r="H417">
        <f>IF(INVENTARIO!Q417="","",INVENTARIO!Q417)</f>
        <v/>
      </c>
      <c r="I417">
        <f>IF(INVENTARIO!R417="","",INVENTARIO!R417)</f>
        <v/>
      </c>
      <c r="J417">
        <f>IF(G417="PUBLICA(1)",1,IF(G417="USO INTERNO(2)",2,IF(G417="RESTRINGIDO(3)",3,0)))+IF(H417="BAJA(1)",1,IF(H417="MEDIA(2)",2,IF(H417="ALTA(3)",3,0)))+IF(I417="BAJA(1)",1,IF(I417="MEDIA(2)",2,IF(I417="ALTA(3)",3,0)))</f>
        <v/>
      </c>
      <c r="K417">
        <f>IF(J417="", "", IF(J417&gt;=8,"ALTA",IF(J417&gt;=6,"MEDIA","BAJA")))</f>
        <v/>
      </c>
      <c r="L417">
        <f>IF(INVENTARIO!Y417="","",INVENTARIO!Y417)</f>
        <v/>
      </c>
      <c r="M417">
        <f>IF(INVENTARIO!Z417="","",INVENTARIO!Z417)</f>
        <v/>
      </c>
      <c r="N417">
        <f>IF(INVENTARIO!AA417="","",INVENTARIO!AA417)</f>
        <v/>
      </c>
      <c r="O417">
        <f>IF(INVENTARIO!AB417="","",INVENTARIO!AB417)</f>
        <v/>
      </c>
      <c r="P417">
        <f>IF(INVENTARIO!AC417="","",INVENTARIO!AC417)</f>
        <v/>
      </c>
      <c r="Q417">
        <f>IF(AND(K417="",N417="",L417=""),"",IF(AND((K417="ALTA"),OR(LEFT(N417,2)="L0",LEFT(N417,2)="L1",L417="No Iniciado")),"CRÍTICO - Incumplimiento Normativo SEPS",IF(AND(OR(LEFT(N417,2)="L4",LEFT(N417,2)="L5"),AND(P417&lt;&gt;"",P417&lt;&gt;"N/A")),"CONFORME - Control Efectivo ISO 27001","OBSERVACIÓN - Revisar Controles")))</f>
        <v/>
      </c>
    </row>
    <row r="418">
      <c r="A418">
        <f>IF(INVENTARIO!A418="","",INVENTARIO!A418)</f>
        <v/>
      </c>
      <c r="B418">
        <f>IF(INVENTARIO!E418="","",INVENTARIO!E418)</f>
        <v/>
      </c>
      <c r="C418">
        <f>IF(INVENTARIO!F418="","",INVENTARIO!F418)</f>
        <v/>
      </c>
      <c r="D418">
        <f>IF(INVENTARIO!H418="","",INVENTARIO!H418)</f>
        <v/>
      </c>
      <c r="E418">
        <f>IF(INVENTARIO!I418="","",INVENTARIO!I418)</f>
        <v/>
      </c>
      <c r="F418">
        <f>IF(INVENTARIO!N418="","",INVENTARIO!N418)</f>
        <v/>
      </c>
      <c r="G418">
        <f>IF(INVENTARIO!P418="","",INVENTARIO!P418)</f>
        <v/>
      </c>
      <c r="H418">
        <f>IF(INVENTARIO!Q418="","",INVENTARIO!Q418)</f>
        <v/>
      </c>
      <c r="I418">
        <f>IF(INVENTARIO!R418="","",INVENTARIO!R418)</f>
        <v/>
      </c>
      <c r="J418">
        <f>IF(G418="PUBLICA(1)",1,IF(G418="USO INTERNO(2)",2,IF(G418="RESTRINGIDO(3)",3,0)))+IF(H418="BAJA(1)",1,IF(H418="MEDIA(2)",2,IF(H418="ALTA(3)",3,0)))+IF(I418="BAJA(1)",1,IF(I418="MEDIA(2)",2,IF(I418="ALTA(3)",3,0)))</f>
        <v/>
      </c>
      <c r="K418">
        <f>IF(J418="", "", IF(J418&gt;=8,"ALTA",IF(J418&gt;=6,"MEDIA","BAJA")))</f>
        <v/>
      </c>
      <c r="L418">
        <f>IF(INVENTARIO!Y418="","",INVENTARIO!Y418)</f>
        <v/>
      </c>
      <c r="M418">
        <f>IF(INVENTARIO!Z418="","",INVENTARIO!Z418)</f>
        <v/>
      </c>
      <c r="N418">
        <f>IF(INVENTARIO!AA418="","",INVENTARIO!AA418)</f>
        <v/>
      </c>
      <c r="O418">
        <f>IF(INVENTARIO!AB418="","",INVENTARIO!AB418)</f>
        <v/>
      </c>
      <c r="P418">
        <f>IF(INVENTARIO!AC418="","",INVENTARIO!AC418)</f>
        <v/>
      </c>
      <c r="Q418">
        <f>IF(AND(K418="",N418="",L418=""),"",IF(AND((K418="ALTA"),OR(LEFT(N418,2)="L0",LEFT(N418,2)="L1",L418="No Iniciado")),"CRÍTICO - Incumplimiento Normativo SEPS",IF(AND(OR(LEFT(N418,2)="L4",LEFT(N418,2)="L5"),AND(P418&lt;&gt;"",P418&lt;&gt;"N/A")),"CONFORME - Control Efectivo ISO 27001","OBSERVACIÓN - Revisar Controles")))</f>
        <v/>
      </c>
    </row>
    <row r="419">
      <c r="A419">
        <f>IF(INVENTARIO!A419="","",INVENTARIO!A419)</f>
        <v/>
      </c>
      <c r="B419">
        <f>IF(INVENTARIO!E419="","",INVENTARIO!E419)</f>
        <v/>
      </c>
      <c r="C419">
        <f>IF(INVENTARIO!F419="","",INVENTARIO!F419)</f>
        <v/>
      </c>
      <c r="D419">
        <f>IF(INVENTARIO!H419="","",INVENTARIO!H419)</f>
        <v/>
      </c>
      <c r="E419">
        <f>IF(INVENTARIO!I419="","",INVENTARIO!I419)</f>
        <v/>
      </c>
      <c r="F419">
        <f>IF(INVENTARIO!N419="","",INVENTARIO!N419)</f>
        <v/>
      </c>
      <c r="G419">
        <f>IF(INVENTARIO!P419="","",INVENTARIO!P419)</f>
        <v/>
      </c>
      <c r="H419">
        <f>IF(INVENTARIO!Q419="","",INVENTARIO!Q419)</f>
        <v/>
      </c>
      <c r="I419">
        <f>IF(INVENTARIO!R419="","",INVENTARIO!R419)</f>
        <v/>
      </c>
      <c r="J419">
        <f>IF(G419="PUBLICA(1)",1,IF(G419="USO INTERNO(2)",2,IF(G419="RESTRINGIDO(3)",3,0)))+IF(H419="BAJA(1)",1,IF(H419="MEDIA(2)",2,IF(H419="ALTA(3)",3,0)))+IF(I419="BAJA(1)",1,IF(I419="MEDIA(2)",2,IF(I419="ALTA(3)",3,0)))</f>
        <v/>
      </c>
      <c r="K419">
        <f>IF(J419="", "", IF(J419&gt;=8,"ALTA",IF(J419&gt;=6,"MEDIA","BAJA")))</f>
        <v/>
      </c>
      <c r="L419">
        <f>IF(INVENTARIO!Y419="","",INVENTARIO!Y419)</f>
        <v/>
      </c>
      <c r="M419">
        <f>IF(INVENTARIO!Z419="","",INVENTARIO!Z419)</f>
        <v/>
      </c>
      <c r="N419">
        <f>IF(INVENTARIO!AA419="","",INVENTARIO!AA419)</f>
        <v/>
      </c>
      <c r="O419">
        <f>IF(INVENTARIO!AB419="","",INVENTARIO!AB419)</f>
        <v/>
      </c>
      <c r="P419">
        <f>IF(INVENTARIO!AC419="","",INVENTARIO!AC419)</f>
        <v/>
      </c>
      <c r="Q419">
        <f>IF(AND(K419="",N419="",L419=""),"",IF(AND((K419="ALTA"),OR(LEFT(N419,2)="L0",LEFT(N419,2)="L1",L419="No Iniciado")),"CRÍTICO - Incumplimiento Normativo SEPS",IF(AND(OR(LEFT(N419,2)="L4",LEFT(N419,2)="L5"),AND(P419&lt;&gt;"",P419&lt;&gt;"N/A")),"CONFORME - Control Efectivo ISO 27001","OBSERVACIÓN - Revisar Controles")))</f>
        <v/>
      </c>
    </row>
    <row r="420">
      <c r="A420">
        <f>IF(INVENTARIO!A420="","",INVENTARIO!A420)</f>
        <v/>
      </c>
      <c r="B420">
        <f>IF(INVENTARIO!E420="","",INVENTARIO!E420)</f>
        <v/>
      </c>
      <c r="C420">
        <f>IF(INVENTARIO!F420="","",INVENTARIO!F420)</f>
        <v/>
      </c>
      <c r="D420">
        <f>IF(INVENTARIO!H420="","",INVENTARIO!H420)</f>
        <v/>
      </c>
      <c r="E420">
        <f>IF(INVENTARIO!I420="","",INVENTARIO!I420)</f>
        <v/>
      </c>
      <c r="F420">
        <f>IF(INVENTARIO!N420="","",INVENTARIO!N420)</f>
        <v/>
      </c>
      <c r="G420">
        <f>IF(INVENTARIO!P420="","",INVENTARIO!P420)</f>
        <v/>
      </c>
      <c r="H420">
        <f>IF(INVENTARIO!Q420="","",INVENTARIO!Q420)</f>
        <v/>
      </c>
      <c r="I420">
        <f>IF(INVENTARIO!R420="","",INVENTARIO!R420)</f>
        <v/>
      </c>
      <c r="J420">
        <f>IF(G420="PUBLICA(1)",1,IF(G420="USO INTERNO(2)",2,IF(G420="RESTRINGIDO(3)",3,0)))+IF(H420="BAJA(1)",1,IF(H420="MEDIA(2)",2,IF(H420="ALTA(3)",3,0)))+IF(I420="BAJA(1)",1,IF(I420="MEDIA(2)",2,IF(I420="ALTA(3)",3,0)))</f>
        <v/>
      </c>
      <c r="K420">
        <f>IF(J420="", "", IF(J420&gt;=8,"ALTA",IF(J420&gt;=6,"MEDIA","BAJA")))</f>
        <v/>
      </c>
      <c r="L420">
        <f>IF(INVENTARIO!Y420="","",INVENTARIO!Y420)</f>
        <v/>
      </c>
      <c r="M420">
        <f>IF(INVENTARIO!Z420="","",INVENTARIO!Z420)</f>
        <v/>
      </c>
      <c r="N420">
        <f>IF(INVENTARIO!AA420="","",INVENTARIO!AA420)</f>
        <v/>
      </c>
      <c r="O420">
        <f>IF(INVENTARIO!AB420="","",INVENTARIO!AB420)</f>
        <v/>
      </c>
      <c r="P420">
        <f>IF(INVENTARIO!AC420="","",INVENTARIO!AC420)</f>
        <v/>
      </c>
      <c r="Q420">
        <f>IF(AND(K420="",N420="",L420=""),"",IF(AND((K420="ALTA"),OR(LEFT(N420,2)="L0",LEFT(N420,2)="L1",L420="No Iniciado")),"CRÍTICO - Incumplimiento Normativo SEPS",IF(AND(OR(LEFT(N420,2)="L4",LEFT(N420,2)="L5"),AND(P420&lt;&gt;"",P420&lt;&gt;"N/A")),"CONFORME - Control Efectivo ISO 27001","OBSERVACIÓN - Revisar Controles")))</f>
        <v/>
      </c>
    </row>
    <row r="421">
      <c r="A421">
        <f>IF(INVENTARIO!A421="","",INVENTARIO!A421)</f>
        <v/>
      </c>
      <c r="B421">
        <f>IF(INVENTARIO!E421="","",INVENTARIO!E421)</f>
        <v/>
      </c>
      <c r="C421">
        <f>IF(INVENTARIO!F421="","",INVENTARIO!F421)</f>
        <v/>
      </c>
      <c r="D421">
        <f>IF(INVENTARIO!H421="","",INVENTARIO!H421)</f>
        <v/>
      </c>
      <c r="E421">
        <f>IF(INVENTARIO!I421="","",INVENTARIO!I421)</f>
        <v/>
      </c>
      <c r="F421">
        <f>IF(INVENTARIO!N421="","",INVENTARIO!N421)</f>
        <v/>
      </c>
      <c r="G421">
        <f>IF(INVENTARIO!P421="","",INVENTARIO!P421)</f>
        <v/>
      </c>
      <c r="H421">
        <f>IF(INVENTARIO!Q421="","",INVENTARIO!Q421)</f>
        <v/>
      </c>
      <c r="I421">
        <f>IF(INVENTARIO!R421="","",INVENTARIO!R421)</f>
        <v/>
      </c>
      <c r="J421">
        <f>IF(G421="PUBLICA(1)",1,IF(G421="USO INTERNO(2)",2,IF(G421="RESTRINGIDO(3)",3,0)))+IF(H421="BAJA(1)",1,IF(H421="MEDIA(2)",2,IF(H421="ALTA(3)",3,0)))+IF(I421="BAJA(1)",1,IF(I421="MEDIA(2)",2,IF(I421="ALTA(3)",3,0)))</f>
        <v/>
      </c>
      <c r="K421">
        <f>IF(J421="", "", IF(J421&gt;=8,"ALTA",IF(J421&gt;=6,"MEDIA","BAJA")))</f>
        <v/>
      </c>
      <c r="L421">
        <f>IF(INVENTARIO!Y421="","",INVENTARIO!Y421)</f>
        <v/>
      </c>
      <c r="M421">
        <f>IF(INVENTARIO!Z421="","",INVENTARIO!Z421)</f>
        <v/>
      </c>
      <c r="N421">
        <f>IF(INVENTARIO!AA421="","",INVENTARIO!AA421)</f>
        <v/>
      </c>
      <c r="O421">
        <f>IF(INVENTARIO!AB421="","",INVENTARIO!AB421)</f>
        <v/>
      </c>
      <c r="P421">
        <f>IF(INVENTARIO!AC421="","",INVENTARIO!AC421)</f>
        <v/>
      </c>
      <c r="Q421">
        <f>IF(AND(K421="",N421="",L421=""),"",IF(AND((K421="ALTA"),OR(LEFT(N421,2)="L0",LEFT(N421,2)="L1",L421="No Iniciado")),"CRÍTICO - Incumplimiento Normativo SEPS",IF(AND(OR(LEFT(N421,2)="L4",LEFT(N421,2)="L5"),AND(P421&lt;&gt;"",P421&lt;&gt;"N/A")),"CONFORME - Control Efectivo ISO 27001","OBSERVACIÓN - Revisar Controles")))</f>
        <v/>
      </c>
    </row>
    <row r="422">
      <c r="A422">
        <f>IF(INVENTARIO!A422="","",INVENTARIO!A422)</f>
        <v/>
      </c>
      <c r="B422">
        <f>IF(INVENTARIO!E422="","",INVENTARIO!E422)</f>
        <v/>
      </c>
      <c r="C422">
        <f>IF(INVENTARIO!F422="","",INVENTARIO!F422)</f>
        <v/>
      </c>
      <c r="D422">
        <f>IF(INVENTARIO!H422="","",INVENTARIO!H422)</f>
        <v/>
      </c>
      <c r="E422">
        <f>IF(INVENTARIO!I422="","",INVENTARIO!I422)</f>
        <v/>
      </c>
      <c r="F422">
        <f>IF(INVENTARIO!N422="","",INVENTARIO!N422)</f>
        <v/>
      </c>
      <c r="G422">
        <f>IF(INVENTARIO!P422="","",INVENTARIO!P422)</f>
        <v/>
      </c>
      <c r="H422">
        <f>IF(INVENTARIO!Q422="","",INVENTARIO!Q422)</f>
        <v/>
      </c>
      <c r="I422">
        <f>IF(INVENTARIO!R422="","",INVENTARIO!R422)</f>
        <v/>
      </c>
      <c r="J422">
        <f>IF(G422="PUBLICA(1)",1,IF(G422="USO INTERNO(2)",2,IF(G422="RESTRINGIDO(3)",3,0)))+IF(H422="BAJA(1)",1,IF(H422="MEDIA(2)",2,IF(H422="ALTA(3)",3,0)))+IF(I422="BAJA(1)",1,IF(I422="MEDIA(2)",2,IF(I422="ALTA(3)",3,0)))</f>
        <v/>
      </c>
      <c r="K422">
        <f>IF(J422="", "", IF(J422&gt;=8,"ALTA",IF(J422&gt;=6,"MEDIA","BAJA")))</f>
        <v/>
      </c>
      <c r="L422">
        <f>IF(INVENTARIO!Y422="","",INVENTARIO!Y422)</f>
        <v/>
      </c>
      <c r="M422">
        <f>IF(INVENTARIO!Z422="","",INVENTARIO!Z422)</f>
        <v/>
      </c>
      <c r="N422">
        <f>IF(INVENTARIO!AA422="","",INVENTARIO!AA422)</f>
        <v/>
      </c>
      <c r="O422">
        <f>IF(INVENTARIO!AB422="","",INVENTARIO!AB422)</f>
        <v/>
      </c>
      <c r="P422">
        <f>IF(INVENTARIO!AC422="","",INVENTARIO!AC422)</f>
        <v/>
      </c>
      <c r="Q422">
        <f>IF(AND(K422="",N422="",L422=""),"",IF(AND((K422="ALTA"),OR(LEFT(N422,2)="L0",LEFT(N422,2)="L1",L422="No Iniciado")),"CRÍTICO - Incumplimiento Normativo SEPS",IF(AND(OR(LEFT(N422,2)="L4",LEFT(N422,2)="L5"),AND(P422&lt;&gt;"",P422&lt;&gt;"N/A")),"CONFORME - Control Efectivo ISO 27001","OBSERVACIÓN - Revisar Controles")))</f>
        <v/>
      </c>
    </row>
    <row r="423">
      <c r="A423">
        <f>IF(INVENTARIO!A423="","",INVENTARIO!A423)</f>
        <v/>
      </c>
      <c r="B423">
        <f>IF(INVENTARIO!E423="","",INVENTARIO!E423)</f>
        <v/>
      </c>
      <c r="C423">
        <f>IF(INVENTARIO!F423="","",INVENTARIO!F423)</f>
        <v/>
      </c>
      <c r="D423">
        <f>IF(INVENTARIO!H423="","",INVENTARIO!H423)</f>
        <v/>
      </c>
      <c r="E423">
        <f>IF(INVENTARIO!I423="","",INVENTARIO!I423)</f>
        <v/>
      </c>
      <c r="F423">
        <f>IF(INVENTARIO!N423="","",INVENTARIO!N423)</f>
        <v/>
      </c>
      <c r="G423">
        <f>IF(INVENTARIO!P423="","",INVENTARIO!P423)</f>
        <v/>
      </c>
      <c r="H423">
        <f>IF(INVENTARIO!Q423="","",INVENTARIO!Q423)</f>
        <v/>
      </c>
      <c r="I423">
        <f>IF(INVENTARIO!R423="","",INVENTARIO!R423)</f>
        <v/>
      </c>
      <c r="J423">
        <f>IF(G423="PUBLICA(1)",1,IF(G423="USO INTERNO(2)",2,IF(G423="RESTRINGIDO(3)",3,0)))+IF(H423="BAJA(1)",1,IF(H423="MEDIA(2)",2,IF(H423="ALTA(3)",3,0)))+IF(I423="BAJA(1)",1,IF(I423="MEDIA(2)",2,IF(I423="ALTA(3)",3,0)))</f>
        <v/>
      </c>
      <c r="K423">
        <f>IF(J423="", "", IF(J423&gt;=8,"ALTA",IF(J423&gt;=6,"MEDIA","BAJA")))</f>
        <v/>
      </c>
      <c r="L423">
        <f>IF(INVENTARIO!Y423="","",INVENTARIO!Y423)</f>
        <v/>
      </c>
      <c r="M423">
        <f>IF(INVENTARIO!Z423="","",INVENTARIO!Z423)</f>
        <v/>
      </c>
      <c r="N423">
        <f>IF(INVENTARIO!AA423="","",INVENTARIO!AA423)</f>
        <v/>
      </c>
      <c r="O423">
        <f>IF(INVENTARIO!AB423="","",INVENTARIO!AB423)</f>
        <v/>
      </c>
      <c r="P423">
        <f>IF(INVENTARIO!AC423="","",INVENTARIO!AC423)</f>
        <v/>
      </c>
      <c r="Q423">
        <f>IF(AND(K423="",N423="",L423=""),"",IF(AND((K423="ALTA"),OR(LEFT(N423,2)="L0",LEFT(N423,2)="L1",L423="No Iniciado")),"CRÍTICO - Incumplimiento Normativo SEPS",IF(AND(OR(LEFT(N423,2)="L4",LEFT(N423,2)="L5"),AND(P423&lt;&gt;"",P423&lt;&gt;"N/A")),"CONFORME - Control Efectivo ISO 27001","OBSERVACIÓN - Revisar Controles")))</f>
        <v/>
      </c>
    </row>
    <row r="424">
      <c r="A424">
        <f>IF(INVENTARIO!A424="","",INVENTARIO!A424)</f>
        <v/>
      </c>
      <c r="B424">
        <f>IF(INVENTARIO!E424="","",INVENTARIO!E424)</f>
        <v/>
      </c>
      <c r="C424">
        <f>IF(INVENTARIO!F424="","",INVENTARIO!F424)</f>
        <v/>
      </c>
      <c r="D424">
        <f>IF(INVENTARIO!H424="","",INVENTARIO!H424)</f>
        <v/>
      </c>
      <c r="E424">
        <f>IF(INVENTARIO!I424="","",INVENTARIO!I424)</f>
        <v/>
      </c>
      <c r="F424">
        <f>IF(INVENTARIO!N424="","",INVENTARIO!N424)</f>
        <v/>
      </c>
      <c r="G424">
        <f>IF(INVENTARIO!P424="","",INVENTARIO!P424)</f>
        <v/>
      </c>
      <c r="H424">
        <f>IF(INVENTARIO!Q424="","",INVENTARIO!Q424)</f>
        <v/>
      </c>
      <c r="I424">
        <f>IF(INVENTARIO!R424="","",INVENTARIO!R424)</f>
        <v/>
      </c>
      <c r="J424">
        <f>IF(G424="PUBLICA(1)",1,IF(G424="USO INTERNO(2)",2,IF(G424="RESTRINGIDO(3)",3,0)))+IF(H424="BAJA(1)",1,IF(H424="MEDIA(2)",2,IF(H424="ALTA(3)",3,0)))+IF(I424="BAJA(1)",1,IF(I424="MEDIA(2)",2,IF(I424="ALTA(3)",3,0)))</f>
        <v/>
      </c>
      <c r="K424">
        <f>IF(J424="", "", IF(J424&gt;=8,"ALTA",IF(J424&gt;=6,"MEDIA","BAJA")))</f>
        <v/>
      </c>
      <c r="L424">
        <f>IF(INVENTARIO!Y424="","",INVENTARIO!Y424)</f>
        <v/>
      </c>
      <c r="M424">
        <f>IF(INVENTARIO!Z424="","",INVENTARIO!Z424)</f>
        <v/>
      </c>
      <c r="N424">
        <f>IF(INVENTARIO!AA424="","",INVENTARIO!AA424)</f>
        <v/>
      </c>
      <c r="O424">
        <f>IF(INVENTARIO!AB424="","",INVENTARIO!AB424)</f>
        <v/>
      </c>
      <c r="P424">
        <f>IF(INVENTARIO!AC424="","",INVENTARIO!AC424)</f>
        <v/>
      </c>
      <c r="Q424">
        <f>IF(AND(K424="",N424="",L424=""),"",IF(AND((K424="ALTA"),OR(LEFT(N424,2)="L0",LEFT(N424,2)="L1",L424="No Iniciado")),"CRÍTICO - Incumplimiento Normativo SEPS",IF(AND(OR(LEFT(N424,2)="L4",LEFT(N424,2)="L5"),AND(P424&lt;&gt;"",P424&lt;&gt;"N/A")),"CONFORME - Control Efectivo ISO 27001","OBSERVACIÓN - Revisar Controles")))</f>
        <v/>
      </c>
    </row>
    <row r="425">
      <c r="A425">
        <f>IF(INVENTARIO!A425="","",INVENTARIO!A425)</f>
        <v/>
      </c>
      <c r="B425">
        <f>IF(INVENTARIO!E425="","",INVENTARIO!E425)</f>
        <v/>
      </c>
      <c r="C425">
        <f>IF(INVENTARIO!F425="","",INVENTARIO!F425)</f>
        <v/>
      </c>
      <c r="D425">
        <f>IF(INVENTARIO!H425="","",INVENTARIO!H425)</f>
        <v/>
      </c>
      <c r="E425">
        <f>IF(INVENTARIO!I425="","",INVENTARIO!I425)</f>
        <v/>
      </c>
      <c r="F425">
        <f>IF(INVENTARIO!N425="","",INVENTARIO!N425)</f>
        <v/>
      </c>
      <c r="G425">
        <f>IF(INVENTARIO!P425="","",INVENTARIO!P425)</f>
        <v/>
      </c>
      <c r="H425">
        <f>IF(INVENTARIO!Q425="","",INVENTARIO!Q425)</f>
        <v/>
      </c>
      <c r="I425">
        <f>IF(INVENTARIO!R425="","",INVENTARIO!R425)</f>
        <v/>
      </c>
      <c r="J425">
        <f>IF(G425="PUBLICA(1)",1,IF(G425="USO INTERNO(2)",2,IF(G425="RESTRINGIDO(3)",3,0)))+IF(H425="BAJA(1)",1,IF(H425="MEDIA(2)",2,IF(H425="ALTA(3)",3,0)))+IF(I425="BAJA(1)",1,IF(I425="MEDIA(2)",2,IF(I425="ALTA(3)",3,0)))</f>
        <v/>
      </c>
      <c r="K425">
        <f>IF(J425="", "", IF(J425&gt;=8,"ALTA",IF(J425&gt;=6,"MEDIA","BAJA")))</f>
        <v/>
      </c>
      <c r="L425">
        <f>IF(INVENTARIO!Y425="","",INVENTARIO!Y425)</f>
        <v/>
      </c>
      <c r="M425">
        <f>IF(INVENTARIO!Z425="","",INVENTARIO!Z425)</f>
        <v/>
      </c>
      <c r="N425">
        <f>IF(INVENTARIO!AA425="","",INVENTARIO!AA425)</f>
        <v/>
      </c>
      <c r="O425">
        <f>IF(INVENTARIO!AB425="","",INVENTARIO!AB425)</f>
        <v/>
      </c>
      <c r="P425">
        <f>IF(INVENTARIO!AC425="","",INVENTARIO!AC425)</f>
        <v/>
      </c>
      <c r="Q425">
        <f>IF(AND(K425="",N425="",L425=""),"",IF(AND((K425="ALTA"),OR(LEFT(N425,2)="L0",LEFT(N425,2)="L1",L425="No Iniciado")),"CRÍTICO - Incumplimiento Normativo SEPS",IF(AND(OR(LEFT(N425,2)="L4",LEFT(N425,2)="L5"),AND(P425&lt;&gt;"",P425&lt;&gt;"N/A")),"CONFORME - Control Efectivo ISO 27001","OBSERVACIÓN - Revisar Controles")))</f>
        <v/>
      </c>
    </row>
    <row r="426">
      <c r="A426">
        <f>IF(INVENTARIO!A426="","",INVENTARIO!A426)</f>
        <v/>
      </c>
      <c r="B426">
        <f>IF(INVENTARIO!E426="","",INVENTARIO!E426)</f>
        <v/>
      </c>
      <c r="C426">
        <f>IF(INVENTARIO!F426="","",INVENTARIO!F426)</f>
        <v/>
      </c>
      <c r="D426">
        <f>IF(INVENTARIO!H426="","",INVENTARIO!H426)</f>
        <v/>
      </c>
      <c r="E426">
        <f>IF(INVENTARIO!I426="","",INVENTARIO!I426)</f>
        <v/>
      </c>
      <c r="F426">
        <f>IF(INVENTARIO!N426="","",INVENTARIO!N426)</f>
        <v/>
      </c>
      <c r="G426">
        <f>IF(INVENTARIO!P426="","",INVENTARIO!P426)</f>
        <v/>
      </c>
      <c r="H426">
        <f>IF(INVENTARIO!Q426="","",INVENTARIO!Q426)</f>
        <v/>
      </c>
      <c r="I426">
        <f>IF(INVENTARIO!R426="","",INVENTARIO!R426)</f>
        <v/>
      </c>
      <c r="J426">
        <f>IF(G426="PUBLICA(1)",1,IF(G426="USO INTERNO(2)",2,IF(G426="RESTRINGIDO(3)",3,0)))+IF(H426="BAJA(1)",1,IF(H426="MEDIA(2)",2,IF(H426="ALTA(3)",3,0)))+IF(I426="BAJA(1)",1,IF(I426="MEDIA(2)",2,IF(I426="ALTA(3)",3,0)))</f>
        <v/>
      </c>
      <c r="K426">
        <f>IF(J426="", "", IF(J426&gt;=8,"ALTA",IF(J426&gt;=6,"MEDIA","BAJA")))</f>
        <v/>
      </c>
      <c r="L426">
        <f>IF(INVENTARIO!Y426="","",INVENTARIO!Y426)</f>
        <v/>
      </c>
      <c r="M426">
        <f>IF(INVENTARIO!Z426="","",INVENTARIO!Z426)</f>
        <v/>
      </c>
      <c r="N426">
        <f>IF(INVENTARIO!AA426="","",INVENTARIO!AA426)</f>
        <v/>
      </c>
      <c r="O426">
        <f>IF(INVENTARIO!AB426="","",INVENTARIO!AB426)</f>
        <v/>
      </c>
      <c r="P426">
        <f>IF(INVENTARIO!AC426="","",INVENTARIO!AC426)</f>
        <v/>
      </c>
      <c r="Q426">
        <f>IF(AND(K426="",N426="",L426=""),"",IF(AND((K426="ALTA"),OR(LEFT(N426,2)="L0",LEFT(N426,2)="L1",L426="No Iniciado")),"CRÍTICO - Incumplimiento Normativo SEPS",IF(AND(OR(LEFT(N426,2)="L4",LEFT(N426,2)="L5"),AND(P426&lt;&gt;"",P426&lt;&gt;"N/A")),"CONFORME - Control Efectivo ISO 27001","OBSERVACIÓN - Revisar Controles")))</f>
        <v/>
      </c>
    </row>
    <row r="427">
      <c r="A427">
        <f>IF(INVENTARIO!A427="","",INVENTARIO!A427)</f>
        <v/>
      </c>
      <c r="B427">
        <f>IF(INVENTARIO!E427="","",INVENTARIO!E427)</f>
        <v/>
      </c>
      <c r="C427">
        <f>IF(INVENTARIO!F427="","",INVENTARIO!F427)</f>
        <v/>
      </c>
      <c r="D427">
        <f>IF(INVENTARIO!H427="","",INVENTARIO!H427)</f>
        <v/>
      </c>
      <c r="E427">
        <f>IF(INVENTARIO!I427="","",INVENTARIO!I427)</f>
        <v/>
      </c>
      <c r="F427">
        <f>IF(INVENTARIO!N427="","",INVENTARIO!N427)</f>
        <v/>
      </c>
      <c r="G427">
        <f>IF(INVENTARIO!P427="","",INVENTARIO!P427)</f>
        <v/>
      </c>
      <c r="H427">
        <f>IF(INVENTARIO!Q427="","",INVENTARIO!Q427)</f>
        <v/>
      </c>
      <c r="I427">
        <f>IF(INVENTARIO!R427="","",INVENTARIO!R427)</f>
        <v/>
      </c>
      <c r="J427">
        <f>IF(G427="PUBLICA(1)",1,IF(G427="USO INTERNO(2)",2,IF(G427="RESTRINGIDO(3)",3,0)))+IF(H427="BAJA(1)",1,IF(H427="MEDIA(2)",2,IF(H427="ALTA(3)",3,0)))+IF(I427="BAJA(1)",1,IF(I427="MEDIA(2)",2,IF(I427="ALTA(3)",3,0)))</f>
        <v/>
      </c>
      <c r="K427">
        <f>IF(J427="", "", IF(J427&gt;=8,"ALTA",IF(J427&gt;=6,"MEDIA","BAJA")))</f>
        <v/>
      </c>
      <c r="L427">
        <f>IF(INVENTARIO!Y427="","",INVENTARIO!Y427)</f>
        <v/>
      </c>
      <c r="M427">
        <f>IF(INVENTARIO!Z427="","",INVENTARIO!Z427)</f>
        <v/>
      </c>
      <c r="N427">
        <f>IF(INVENTARIO!AA427="","",INVENTARIO!AA427)</f>
        <v/>
      </c>
      <c r="O427">
        <f>IF(INVENTARIO!AB427="","",INVENTARIO!AB427)</f>
        <v/>
      </c>
      <c r="P427">
        <f>IF(INVENTARIO!AC427="","",INVENTARIO!AC427)</f>
        <v/>
      </c>
      <c r="Q427">
        <f>IF(AND(K427="",N427="",L427=""),"",IF(AND((K427="ALTA"),OR(LEFT(N427,2)="L0",LEFT(N427,2)="L1",L427="No Iniciado")),"CRÍTICO - Incumplimiento Normativo SEPS",IF(AND(OR(LEFT(N427,2)="L4",LEFT(N427,2)="L5"),AND(P427&lt;&gt;"",P427&lt;&gt;"N/A")),"CONFORME - Control Efectivo ISO 27001","OBSERVACIÓN - Revisar Controles")))</f>
        <v/>
      </c>
    </row>
    <row r="428">
      <c r="A428">
        <f>IF(INVENTARIO!A428="","",INVENTARIO!A428)</f>
        <v/>
      </c>
      <c r="B428">
        <f>IF(INVENTARIO!E428="","",INVENTARIO!E428)</f>
        <v/>
      </c>
      <c r="C428">
        <f>IF(INVENTARIO!F428="","",INVENTARIO!F428)</f>
        <v/>
      </c>
      <c r="D428">
        <f>IF(INVENTARIO!H428="","",INVENTARIO!H428)</f>
        <v/>
      </c>
      <c r="E428">
        <f>IF(INVENTARIO!I428="","",INVENTARIO!I428)</f>
        <v/>
      </c>
      <c r="F428">
        <f>IF(INVENTARIO!N428="","",INVENTARIO!N428)</f>
        <v/>
      </c>
      <c r="G428">
        <f>IF(INVENTARIO!P428="","",INVENTARIO!P428)</f>
        <v/>
      </c>
      <c r="H428">
        <f>IF(INVENTARIO!Q428="","",INVENTARIO!Q428)</f>
        <v/>
      </c>
      <c r="I428">
        <f>IF(INVENTARIO!R428="","",INVENTARIO!R428)</f>
        <v/>
      </c>
      <c r="J428">
        <f>IF(G428="PUBLICA(1)",1,IF(G428="USO INTERNO(2)",2,IF(G428="RESTRINGIDO(3)",3,0)))+IF(H428="BAJA(1)",1,IF(H428="MEDIA(2)",2,IF(H428="ALTA(3)",3,0)))+IF(I428="BAJA(1)",1,IF(I428="MEDIA(2)",2,IF(I428="ALTA(3)",3,0)))</f>
        <v/>
      </c>
      <c r="K428">
        <f>IF(J428="", "", IF(J428&gt;=8,"ALTA",IF(J428&gt;=6,"MEDIA","BAJA")))</f>
        <v/>
      </c>
      <c r="L428">
        <f>IF(INVENTARIO!Y428="","",INVENTARIO!Y428)</f>
        <v/>
      </c>
      <c r="M428">
        <f>IF(INVENTARIO!Z428="","",INVENTARIO!Z428)</f>
        <v/>
      </c>
      <c r="N428">
        <f>IF(INVENTARIO!AA428="","",INVENTARIO!AA428)</f>
        <v/>
      </c>
      <c r="O428">
        <f>IF(INVENTARIO!AB428="","",INVENTARIO!AB428)</f>
        <v/>
      </c>
      <c r="P428">
        <f>IF(INVENTARIO!AC428="","",INVENTARIO!AC428)</f>
        <v/>
      </c>
      <c r="Q428">
        <f>IF(AND(K428="",N428="",L428=""),"",IF(AND((K428="ALTA"),OR(LEFT(N428,2)="L0",LEFT(N428,2)="L1",L428="No Iniciado")),"CRÍTICO - Incumplimiento Normativo SEPS",IF(AND(OR(LEFT(N428,2)="L4",LEFT(N428,2)="L5"),AND(P428&lt;&gt;"",P428&lt;&gt;"N/A")),"CONFORME - Control Efectivo ISO 27001","OBSERVACIÓN - Revisar Controles")))</f>
        <v/>
      </c>
    </row>
    <row r="429">
      <c r="A429">
        <f>IF(INVENTARIO!A429="","",INVENTARIO!A429)</f>
        <v/>
      </c>
      <c r="B429">
        <f>IF(INVENTARIO!E429="","",INVENTARIO!E429)</f>
        <v/>
      </c>
      <c r="C429">
        <f>IF(INVENTARIO!F429="","",INVENTARIO!F429)</f>
        <v/>
      </c>
      <c r="D429">
        <f>IF(INVENTARIO!H429="","",INVENTARIO!H429)</f>
        <v/>
      </c>
      <c r="E429">
        <f>IF(INVENTARIO!I429="","",INVENTARIO!I429)</f>
        <v/>
      </c>
      <c r="F429">
        <f>IF(INVENTARIO!N429="","",INVENTARIO!N429)</f>
        <v/>
      </c>
      <c r="G429">
        <f>IF(INVENTARIO!P429="","",INVENTARIO!P429)</f>
        <v/>
      </c>
      <c r="H429">
        <f>IF(INVENTARIO!Q429="","",INVENTARIO!Q429)</f>
        <v/>
      </c>
      <c r="I429">
        <f>IF(INVENTARIO!R429="","",INVENTARIO!R429)</f>
        <v/>
      </c>
      <c r="J429">
        <f>IF(G429="PUBLICA(1)",1,IF(G429="USO INTERNO(2)",2,IF(G429="RESTRINGIDO(3)",3,0)))+IF(H429="BAJA(1)",1,IF(H429="MEDIA(2)",2,IF(H429="ALTA(3)",3,0)))+IF(I429="BAJA(1)",1,IF(I429="MEDIA(2)",2,IF(I429="ALTA(3)",3,0)))</f>
        <v/>
      </c>
      <c r="K429">
        <f>IF(J429="", "", IF(J429&gt;=8,"ALTA",IF(J429&gt;=6,"MEDIA","BAJA")))</f>
        <v/>
      </c>
      <c r="L429">
        <f>IF(INVENTARIO!Y429="","",INVENTARIO!Y429)</f>
        <v/>
      </c>
      <c r="M429">
        <f>IF(INVENTARIO!Z429="","",INVENTARIO!Z429)</f>
        <v/>
      </c>
      <c r="N429">
        <f>IF(INVENTARIO!AA429="","",INVENTARIO!AA429)</f>
        <v/>
      </c>
      <c r="O429">
        <f>IF(INVENTARIO!AB429="","",INVENTARIO!AB429)</f>
        <v/>
      </c>
      <c r="P429">
        <f>IF(INVENTARIO!AC429="","",INVENTARIO!AC429)</f>
        <v/>
      </c>
      <c r="Q429">
        <f>IF(AND(K429="",N429="",L429=""),"",IF(AND((K429="ALTA"),OR(LEFT(N429,2)="L0",LEFT(N429,2)="L1",L429="No Iniciado")),"CRÍTICO - Incumplimiento Normativo SEPS",IF(AND(OR(LEFT(N429,2)="L4",LEFT(N429,2)="L5"),AND(P429&lt;&gt;"",P429&lt;&gt;"N/A")),"CONFORME - Control Efectivo ISO 27001","OBSERVACIÓN - Revisar Controles")))</f>
        <v/>
      </c>
    </row>
    <row r="430">
      <c r="A430">
        <f>IF(INVENTARIO!A430="","",INVENTARIO!A430)</f>
        <v/>
      </c>
      <c r="B430">
        <f>IF(INVENTARIO!E430="","",INVENTARIO!E430)</f>
        <v/>
      </c>
      <c r="C430">
        <f>IF(INVENTARIO!F430="","",INVENTARIO!F430)</f>
        <v/>
      </c>
      <c r="D430">
        <f>IF(INVENTARIO!H430="","",INVENTARIO!H430)</f>
        <v/>
      </c>
      <c r="E430">
        <f>IF(INVENTARIO!I430="","",INVENTARIO!I430)</f>
        <v/>
      </c>
      <c r="F430">
        <f>IF(INVENTARIO!N430="","",INVENTARIO!N430)</f>
        <v/>
      </c>
      <c r="G430">
        <f>IF(INVENTARIO!P430="","",INVENTARIO!P430)</f>
        <v/>
      </c>
      <c r="H430">
        <f>IF(INVENTARIO!Q430="","",INVENTARIO!Q430)</f>
        <v/>
      </c>
      <c r="I430">
        <f>IF(INVENTARIO!R430="","",INVENTARIO!R430)</f>
        <v/>
      </c>
      <c r="J430">
        <f>IF(G430="PUBLICA(1)",1,IF(G430="USO INTERNO(2)",2,IF(G430="RESTRINGIDO(3)",3,0)))+IF(H430="BAJA(1)",1,IF(H430="MEDIA(2)",2,IF(H430="ALTA(3)",3,0)))+IF(I430="BAJA(1)",1,IF(I430="MEDIA(2)",2,IF(I430="ALTA(3)",3,0)))</f>
        <v/>
      </c>
      <c r="K430">
        <f>IF(J430="", "", IF(J430&gt;=8,"ALTA",IF(J430&gt;=6,"MEDIA","BAJA")))</f>
        <v/>
      </c>
      <c r="L430">
        <f>IF(INVENTARIO!Y430="","",INVENTARIO!Y430)</f>
        <v/>
      </c>
      <c r="M430">
        <f>IF(INVENTARIO!Z430="","",INVENTARIO!Z430)</f>
        <v/>
      </c>
      <c r="N430">
        <f>IF(INVENTARIO!AA430="","",INVENTARIO!AA430)</f>
        <v/>
      </c>
      <c r="O430">
        <f>IF(INVENTARIO!AB430="","",INVENTARIO!AB430)</f>
        <v/>
      </c>
      <c r="P430">
        <f>IF(INVENTARIO!AC430="","",INVENTARIO!AC430)</f>
        <v/>
      </c>
      <c r="Q430">
        <f>IF(AND(K430="",N430="",L430=""),"",IF(AND((K430="ALTA"),OR(LEFT(N430,2)="L0",LEFT(N430,2)="L1",L430="No Iniciado")),"CRÍTICO - Incumplimiento Normativo SEPS",IF(AND(OR(LEFT(N430,2)="L4",LEFT(N430,2)="L5"),AND(P430&lt;&gt;"",P430&lt;&gt;"N/A")),"CONFORME - Control Efectivo ISO 27001","OBSERVACIÓN - Revisar Controles")))</f>
        <v/>
      </c>
    </row>
    <row r="431">
      <c r="A431">
        <f>IF(INVENTARIO!A431="","",INVENTARIO!A431)</f>
        <v/>
      </c>
      <c r="B431">
        <f>IF(INVENTARIO!E431="","",INVENTARIO!E431)</f>
        <v/>
      </c>
      <c r="C431">
        <f>IF(INVENTARIO!F431="","",INVENTARIO!F431)</f>
        <v/>
      </c>
      <c r="D431">
        <f>IF(INVENTARIO!H431="","",INVENTARIO!H431)</f>
        <v/>
      </c>
      <c r="E431">
        <f>IF(INVENTARIO!I431="","",INVENTARIO!I431)</f>
        <v/>
      </c>
      <c r="F431">
        <f>IF(INVENTARIO!N431="","",INVENTARIO!N431)</f>
        <v/>
      </c>
      <c r="G431">
        <f>IF(INVENTARIO!P431="","",INVENTARIO!P431)</f>
        <v/>
      </c>
      <c r="H431">
        <f>IF(INVENTARIO!Q431="","",INVENTARIO!Q431)</f>
        <v/>
      </c>
      <c r="I431">
        <f>IF(INVENTARIO!R431="","",INVENTARIO!R431)</f>
        <v/>
      </c>
      <c r="J431">
        <f>IF(G431="PUBLICA(1)",1,IF(G431="USO INTERNO(2)",2,IF(G431="RESTRINGIDO(3)",3,0)))+IF(H431="BAJA(1)",1,IF(H431="MEDIA(2)",2,IF(H431="ALTA(3)",3,0)))+IF(I431="BAJA(1)",1,IF(I431="MEDIA(2)",2,IF(I431="ALTA(3)",3,0)))</f>
        <v/>
      </c>
      <c r="K431">
        <f>IF(J431="", "", IF(J431&gt;=8,"ALTA",IF(J431&gt;=6,"MEDIA","BAJA")))</f>
        <v/>
      </c>
      <c r="L431">
        <f>IF(INVENTARIO!Y431="","",INVENTARIO!Y431)</f>
        <v/>
      </c>
      <c r="M431">
        <f>IF(INVENTARIO!Z431="","",INVENTARIO!Z431)</f>
        <v/>
      </c>
      <c r="N431">
        <f>IF(INVENTARIO!AA431="","",INVENTARIO!AA431)</f>
        <v/>
      </c>
      <c r="O431">
        <f>IF(INVENTARIO!AB431="","",INVENTARIO!AB431)</f>
        <v/>
      </c>
      <c r="P431">
        <f>IF(INVENTARIO!AC431="","",INVENTARIO!AC431)</f>
        <v/>
      </c>
      <c r="Q431">
        <f>IF(AND(K431="",N431="",L431=""),"",IF(AND((K431="ALTA"),OR(LEFT(N431,2)="L0",LEFT(N431,2)="L1",L431="No Iniciado")),"CRÍTICO - Incumplimiento Normativo SEPS",IF(AND(OR(LEFT(N431,2)="L4",LEFT(N431,2)="L5"),AND(P431&lt;&gt;"",P431&lt;&gt;"N/A")),"CONFORME - Control Efectivo ISO 27001","OBSERVACIÓN - Revisar Controles")))</f>
        <v/>
      </c>
    </row>
    <row r="432">
      <c r="A432">
        <f>IF(INVENTARIO!A432="","",INVENTARIO!A432)</f>
        <v/>
      </c>
      <c r="B432">
        <f>IF(INVENTARIO!E432="","",INVENTARIO!E432)</f>
        <v/>
      </c>
      <c r="C432">
        <f>IF(INVENTARIO!F432="","",INVENTARIO!F432)</f>
        <v/>
      </c>
      <c r="D432">
        <f>IF(INVENTARIO!H432="","",INVENTARIO!H432)</f>
        <v/>
      </c>
      <c r="E432">
        <f>IF(INVENTARIO!I432="","",INVENTARIO!I432)</f>
        <v/>
      </c>
      <c r="F432">
        <f>IF(INVENTARIO!N432="","",INVENTARIO!N432)</f>
        <v/>
      </c>
      <c r="G432">
        <f>IF(INVENTARIO!P432="","",INVENTARIO!P432)</f>
        <v/>
      </c>
      <c r="H432">
        <f>IF(INVENTARIO!Q432="","",INVENTARIO!Q432)</f>
        <v/>
      </c>
      <c r="I432">
        <f>IF(INVENTARIO!R432="","",INVENTARIO!R432)</f>
        <v/>
      </c>
      <c r="J432">
        <f>IF(G432="PUBLICA(1)",1,IF(G432="USO INTERNO(2)",2,IF(G432="RESTRINGIDO(3)",3,0)))+IF(H432="BAJA(1)",1,IF(H432="MEDIA(2)",2,IF(H432="ALTA(3)",3,0)))+IF(I432="BAJA(1)",1,IF(I432="MEDIA(2)",2,IF(I432="ALTA(3)",3,0)))</f>
        <v/>
      </c>
      <c r="K432">
        <f>IF(J432="", "", IF(J432&gt;=8,"ALTA",IF(J432&gt;=6,"MEDIA","BAJA")))</f>
        <v/>
      </c>
      <c r="L432">
        <f>IF(INVENTARIO!Y432="","",INVENTARIO!Y432)</f>
        <v/>
      </c>
      <c r="M432">
        <f>IF(INVENTARIO!Z432="","",INVENTARIO!Z432)</f>
        <v/>
      </c>
      <c r="N432">
        <f>IF(INVENTARIO!AA432="","",INVENTARIO!AA432)</f>
        <v/>
      </c>
      <c r="O432">
        <f>IF(INVENTARIO!AB432="","",INVENTARIO!AB432)</f>
        <v/>
      </c>
      <c r="P432">
        <f>IF(INVENTARIO!AC432="","",INVENTARIO!AC432)</f>
        <v/>
      </c>
      <c r="Q432">
        <f>IF(AND(K432="",N432="",L432=""),"",IF(AND((K432="ALTA"),OR(LEFT(N432,2)="L0",LEFT(N432,2)="L1",L432="No Iniciado")),"CRÍTICO - Incumplimiento Normativo SEPS",IF(AND(OR(LEFT(N432,2)="L4",LEFT(N432,2)="L5"),AND(P432&lt;&gt;"",P432&lt;&gt;"N/A")),"CONFORME - Control Efectivo ISO 27001","OBSERVACIÓN - Revisar Controles")))</f>
        <v/>
      </c>
    </row>
    <row r="433">
      <c r="A433">
        <f>IF(INVENTARIO!A433="","",INVENTARIO!A433)</f>
        <v/>
      </c>
      <c r="B433">
        <f>IF(INVENTARIO!E433="","",INVENTARIO!E433)</f>
        <v/>
      </c>
      <c r="C433">
        <f>IF(INVENTARIO!F433="","",INVENTARIO!F433)</f>
        <v/>
      </c>
      <c r="D433">
        <f>IF(INVENTARIO!H433="","",INVENTARIO!H433)</f>
        <v/>
      </c>
      <c r="E433">
        <f>IF(INVENTARIO!I433="","",INVENTARIO!I433)</f>
        <v/>
      </c>
      <c r="F433">
        <f>IF(INVENTARIO!N433="","",INVENTARIO!N433)</f>
        <v/>
      </c>
      <c r="G433">
        <f>IF(INVENTARIO!P433="","",INVENTARIO!P433)</f>
        <v/>
      </c>
      <c r="H433">
        <f>IF(INVENTARIO!Q433="","",INVENTARIO!Q433)</f>
        <v/>
      </c>
      <c r="I433">
        <f>IF(INVENTARIO!R433="","",INVENTARIO!R433)</f>
        <v/>
      </c>
      <c r="J433">
        <f>IF(G433="PUBLICA(1)",1,IF(G433="USO INTERNO(2)",2,IF(G433="RESTRINGIDO(3)",3,0)))+IF(H433="BAJA(1)",1,IF(H433="MEDIA(2)",2,IF(H433="ALTA(3)",3,0)))+IF(I433="BAJA(1)",1,IF(I433="MEDIA(2)",2,IF(I433="ALTA(3)",3,0)))</f>
        <v/>
      </c>
      <c r="K433">
        <f>IF(J433="", "", IF(J433&gt;=8,"ALTA",IF(J433&gt;=6,"MEDIA","BAJA")))</f>
        <v/>
      </c>
      <c r="L433">
        <f>IF(INVENTARIO!Y433="","",INVENTARIO!Y433)</f>
        <v/>
      </c>
      <c r="M433">
        <f>IF(INVENTARIO!Z433="","",INVENTARIO!Z433)</f>
        <v/>
      </c>
      <c r="N433">
        <f>IF(INVENTARIO!AA433="","",INVENTARIO!AA433)</f>
        <v/>
      </c>
      <c r="O433">
        <f>IF(INVENTARIO!AB433="","",INVENTARIO!AB433)</f>
        <v/>
      </c>
      <c r="P433">
        <f>IF(INVENTARIO!AC433="","",INVENTARIO!AC433)</f>
        <v/>
      </c>
      <c r="Q433">
        <f>IF(AND(K433="",N433="",L433=""),"",IF(AND((K433="ALTA"),OR(LEFT(N433,2)="L0",LEFT(N433,2)="L1",L433="No Iniciado")),"CRÍTICO - Incumplimiento Normativo SEPS",IF(AND(OR(LEFT(N433,2)="L4",LEFT(N433,2)="L5"),AND(P433&lt;&gt;"",P433&lt;&gt;"N/A")),"CONFORME - Control Efectivo ISO 27001","OBSERVACIÓN - Revisar Controles")))</f>
        <v/>
      </c>
    </row>
    <row r="434">
      <c r="A434">
        <f>IF(INVENTARIO!A434="","",INVENTARIO!A434)</f>
        <v/>
      </c>
      <c r="B434">
        <f>IF(INVENTARIO!E434="","",INVENTARIO!E434)</f>
        <v/>
      </c>
      <c r="C434">
        <f>IF(INVENTARIO!F434="","",INVENTARIO!F434)</f>
        <v/>
      </c>
      <c r="D434">
        <f>IF(INVENTARIO!H434="","",INVENTARIO!H434)</f>
        <v/>
      </c>
      <c r="E434">
        <f>IF(INVENTARIO!I434="","",INVENTARIO!I434)</f>
        <v/>
      </c>
      <c r="F434">
        <f>IF(INVENTARIO!N434="","",INVENTARIO!N434)</f>
        <v/>
      </c>
      <c r="G434">
        <f>IF(INVENTARIO!P434="","",INVENTARIO!P434)</f>
        <v/>
      </c>
      <c r="H434">
        <f>IF(INVENTARIO!Q434="","",INVENTARIO!Q434)</f>
        <v/>
      </c>
      <c r="I434">
        <f>IF(INVENTARIO!R434="","",INVENTARIO!R434)</f>
        <v/>
      </c>
      <c r="J434">
        <f>IF(G434="PUBLICA(1)",1,IF(G434="USO INTERNO(2)",2,IF(G434="RESTRINGIDO(3)",3,0)))+IF(H434="BAJA(1)",1,IF(H434="MEDIA(2)",2,IF(H434="ALTA(3)",3,0)))+IF(I434="BAJA(1)",1,IF(I434="MEDIA(2)",2,IF(I434="ALTA(3)",3,0)))</f>
        <v/>
      </c>
      <c r="K434">
        <f>IF(J434="", "", IF(J434&gt;=8,"ALTA",IF(J434&gt;=6,"MEDIA","BAJA")))</f>
        <v/>
      </c>
      <c r="L434">
        <f>IF(INVENTARIO!Y434="","",INVENTARIO!Y434)</f>
        <v/>
      </c>
      <c r="M434">
        <f>IF(INVENTARIO!Z434="","",INVENTARIO!Z434)</f>
        <v/>
      </c>
      <c r="N434">
        <f>IF(INVENTARIO!AA434="","",INVENTARIO!AA434)</f>
        <v/>
      </c>
      <c r="O434">
        <f>IF(INVENTARIO!AB434="","",INVENTARIO!AB434)</f>
        <v/>
      </c>
      <c r="P434">
        <f>IF(INVENTARIO!AC434="","",INVENTARIO!AC434)</f>
        <v/>
      </c>
      <c r="Q434">
        <f>IF(AND(K434="",N434="",L434=""),"",IF(AND((K434="ALTA"),OR(LEFT(N434,2)="L0",LEFT(N434,2)="L1",L434="No Iniciado")),"CRÍTICO - Incumplimiento Normativo SEPS",IF(AND(OR(LEFT(N434,2)="L4",LEFT(N434,2)="L5"),AND(P434&lt;&gt;"",P434&lt;&gt;"N/A")),"CONFORME - Control Efectivo ISO 27001","OBSERVACIÓN - Revisar Controles")))</f>
        <v/>
      </c>
    </row>
    <row r="435">
      <c r="A435">
        <f>IF(INVENTARIO!A435="","",INVENTARIO!A435)</f>
        <v/>
      </c>
      <c r="B435">
        <f>IF(INVENTARIO!E435="","",INVENTARIO!E435)</f>
        <v/>
      </c>
      <c r="C435">
        <f>IF(INVENTARIO!F435="","",INVENTARIO!F435)</f>
        <v/>
      </c>
      <c r="D435">
        <f>IF(INVENTARIO!H435="","",INVENTARIO!H435)</f>
        <v/>
      </c>
      <c r="E435">
        <f>IF(INVENTARIO!I435="","",INVENTARIO!I435)</f>
        <v/>
      </c>
      <c r="F435">
        <f>IF(INVENTARIO!N435="","",INVENTARIO!N435)</f>
        <v/>
      </c>
      <c r="G435">
        <f>IF(INVENTARIO!P435="","",INVENTARIO!P435)</f>
        <v/>
      </c>
      <c r="H435">
        <f>IF(INVENTARIO!Q435="","",INVENTARIO!Q435)</f>
        <v/>
      </c>
      <c r="I435">
        <f>IF(INVENTARIO!R435="","",INVENTARIO!R435)</f>
        <v/>
      </c>
      <c r="J435">
        <f>IF(G435="PUBLICA(1)",1,IF(G435="USO INTERNO(2)",2,IF(G435="RESTRINGIDO(3)",3,0)))+IF(H435="BAJA(1)",1,IF(H435="MEDIA(2)",2,IF(H435="ALTA(3)",3,0)))+IF(I435="BAJA(1)",1,IF(I435="MEDIA(2)",2,IF(I435="ALTA(3)",3,0)))</f>
        <v/>
      </c>
      <c r="K435">
        <f>IF(J435="", "", IF(J435&gt;=8,"ALTA",IF(J435&gt;=6,"MEDIA","BAJA")))</f>
        <v/>
      </c>
      <c r="L435">
        <f>IF(INVENTARIO!Y435="","",INVENTARIO!Y435)</f>
        <v/>
      </c>
      <c r="M435">
        <f>IF(INVENTARIO!Z435="","",INVENTARIO!Z435)</f>
        <v/>
      </c>
      <c r="N435">
        <f>IF(INVENTARIO!AA435="","",INVENTARIO!AA435)</f>
        <v/>
      </c>
      <c r="O435">
        <f>IF(INVENTARIO!AB435="","",INVENTARIO!AB435)</f>
        <v/>
      </c>
      <c r="P435">
        <f>IF(INVENTARIO!AC435="","",INVENTARIO!AC435)</f>
        <v/>
      </c>
      <c r="Q435">
        <f>IF(AND(K435="",N435="",L435=""),"",IF(AND((K435="ALTA"),OR(LEFT(N435,2)="L0",LEFT(N435,2)="L1",L435="No Iniciado")),"CRÍTICO - Incumplimiento Normativo SEPS",IF(AND(OR(LEFT(N435,2)="L4",LEFT(N435,2)="L5"),AND(P435&lt;&gt;"",P435&lt;&gt;"N/A")),"CONFORME - Control Efectivo ISO 27001","OBSERVACIÓN - Revisar Controles")))</f>
        <v/>
      </c>
    </row>
    <row r="436">
      <c r="A436">
        <f>IF(INVENTARIO!A436="","",INVENTARIO!A436)</f>
        <v/>
      </c>
      <c r="B436">
        <f>IF(INVENTARIO!E436="","",INVENTARIO!E436)</f>
        <v/>
      </c>
      <c r="C436">
        <f>IF(INVENTARIO!F436="","",INVENTARIO!F436)</f>
        <v/>
      </c>
      <c r="D436">
        <f>IF(INVENTARIO!H436="","",INVENTARIO!H436)</f>
        <v/>
      </c>
      <c r="E436">
        <f>IF(INVENTARIO!I436="","",INVENTARIO!I436)</f>
        <v/>
      </c>
      <c r="F436">
        <f>IF(INVENTARIO!N436="","",INVENTARIO!N436)</f>
        <v/>
      </c>
      <c r="G436">
        <f>IF(INVENTARIO!P436="","",INVENTARIO!P436)</f>
        <v/>
      </c>
      <c r="H436">
        <f>IF(INVENTARIO!Q436="","",INVENTARIO!Q436)</f>
        <v/>
      </c>
      <c r="I436">
        <f>IF(INVENTARIO!R436="","",INVENTARIO!R436)</f>
        <v/>
      </c>
      <c r="J436">
        <f>IF(G436="PUBLICA(1)",1,IF(G436="USO INTERNO(2)",2,IF(G436="RESTRINGIDO(3)",3,0)))+IF(H436="BAJA(1)",1,IF(H436="MEDIA(2)",2,IF(H436="ALTA(3)",3,0)))+IF(I436="BAJA(1)",1,IF(I436="MEDIA(2)",2,IF(I436="ALTA(3)",3,0)))</f>
        <v/>
      </c>
      <c r="K436">
        <f>IF(J436="", "", IF(J436&gt;=8,"ALTA",IF(J436&gt;=6,"MEDIA","BAJA")))</f>
        <v/>
      </c>
      <c r="L436">
        <f>IF(INVENTARIO!Y436="","",INVENTARIO!Y436)</f>
        <v/>
      </c>
      <c r="M436">
        <f>IF(INVENTARIO!Z436="","",INVENTARIO!Z436)</f>
        <v/>
      </c>
      <c r="N436">
        <f>IF(INVENTARIO!AA436="","",INVENTARIO!AA436)</f>
        <v/>
      </c>
      <c r="O436">
        <f>IF(INVENTARIO!AB436="","",INVENTARIO!AB436)</f>
        <v/>
      </c>
      <c r="P436">
        <f>IF(INVENTARIO!AC436="","",INVENTARIO!AC436)</f>
        <v/>
      </c>
      <c r="Q436">
        <f>IF(AND(K436="",N436="",L436=""),"",IF(AND((K436="ALTA"),OR(LEFT(N436,2)="L0",LEFT(N436,2)="L1",L436="No Iniciado")),"CRÍTICO - Incumplimiento Normativo SEPS",IF(AND(OR(LEFT(N436,2)="L4",LEFT(N436,2)="L5"),AND(P436&lt;&gt;"",P436&lt;&gt;"N/A")),"CONFORME - Control Efectivo ISO 27001","OBSERVACIÓN - Revisar Controles")))</f>
        <v/>
      </c>
    </row>
    <row r="437">
      <c r="A437">
        <f>IF(INVENTARIO!A437="","",INVENTARIO!A437)</f>
        <v/>
      </c>
      <c r="B437">
        <f>IF(INVENTARIO!E437="","",INVENTARIO!E437)</f>
        <v/>
      </c>
      <c r="C437">
        <f>IF(INVENTARIO!F437="","",INVENTARIO!F437)</f>
        <v/>
      </c>
      <c r="D437">
        <f>IF(INVENTARIO!H437="","",INVENTARIO!H437)</f>
        <v/>
      </c>
      <c r="E437">
        <f>IF(INVENTARIO!I437="","",INVENTARIO!I437)</f>
        <v/>
      </c>
      <c r="F437">
        <f>IF(INVENTARIO!N437="","",INVENTARIO!N437)</f>
        <v/>
      </c>
      <c r="G437">
        <f>IF(INVENTARIO!P437="","",INVENTARIO!P437)</f>
        <v/>
      </c>
      <c r="H437">
        <f>IF(INVENTARIO!Q437="","",INVENTARIO!Q437)</f>
        <v/>
      </c>
      <c r="I437">
        <f>IF(INVENTARIO!R437="","",INVENTARIO!R437)</f>
        <v/>
      </c>
      <c r="J437">
        <f>IF(G437="PUBLICA(1)",1,IF(G437="USO INTERNO(2)",2,IF(G437="RESTRINGIDO(3)",3,0)))+IF(H437="BAJA(1)",1,IF(H437="MEDIA(2)",2,IF(H437="ALTA(3)",3,0)))+IF(I437="BAJA(1)",1,IF(I437="MEDIA(2)",2,IF(I437="ALTA(3)",3,0)))</f>
        <v/>
      </c>
      <c r="K437">
        <f>IF(J437="", "", IF(J437&gt;=8,"ALTA",IF(J437&gt;=6,"MEDIA","BAJA")))</f>
        <v/>
      </c>
      <c r="L437">
        <f>IF(INVENTARIO!Y437="","",INVENTARIO!Y437)</f>
        <v/>
      </c>
      <c r="M437">
        <f>IF(INVENTARIO!Z437="","",INVENTARIO!Z437)</f>
        <v/>
      </c>
      <c r="N437">
        <f>IF(INVENTARIO!AA437="","",INVENTARIO!AA437)</f>
        <v/>
      </c>
      <c r="O437">
        <f>IF(INVENTARIO!AB437="","",INVENTARIO!AB437)</f>
        <v/>
      </c>
      <c r="P437">
        <f>IF(INVENTARIO!AC437="","",INVENTARIO!AC437)</f>
        <v/>
      </c>
      <c r="Q437">
        <f>IF(AND(K437="",N437="",L437=""),"",IF(AND((K437="ALTA"),OR(LEFT(N437,2)="L0",LEFT(N437,2)="L1",L437="No Iniciado")),"CRÍTICO - Incumplimiento Normativo SEPS",IF(AND(OR(LEFT(N437,2)="L4",LEFT(N437,2)="L5"),AND(P437&lt;&gt;"",P437&lt;&gt;"N/A")),"CONFORME - Control Efectivo ISO 27001","OBSERVACIÓN - Revisar Controles")))</f>
        <v/>
      </c>
    </row>
    <row r="438">
      <c r="A438">
        <f>IF(INVENTARIO!A438="","",INVENTARIO!A438)</f>
        <v/>
      </c>
      <c r="B438">
        <f>IF(INVENTARIO!E438="","",INVENTARIO!E438)</f>
        <v/>
      </c>
      <c r="C438">
        <f>IF(INVENTARIO!F438="","",INVENTARIO!F438)</f>
        <v/>
      </c>
      <c r="D438">
        <f>IF(INVENTARIO!H438="","",INVENTARIO!H438)</f>
        <v/>
      </c>
      <c r="E438">
        <f>IF(INVENTARIO!I438="","",INVENTARIO!I438)</f>
        <v/>
      </c>
      <c r="F438">
        <f>IF(INVENTARIO!N438="","",INVENTARIO!N438)</f>
        <v/>
      </c>
      <c r="G438">
        <f>IF(INVENTARIO!P438="","",INVENTARIO!P438)</f>
        <v/>
      </c>
      <c r="H438">
        <f>IF(INVENTARIO!Q438="","",INVENTARIO!Q438)</f>
        <v/>
      </c>
      <c r="I438">
        <f>IF(INVENTARIO!R438="","",INVENTARIO!R438)</f>
        <v/>
      </c>
      <c r="J438">
        <f>IF(G438="PUBLICA(1)",1,IF(G438="USO INTERNO(2)",2,IF(G438="RESTRINGIDO(3)",3,0)))+IF(H438="BAJA(1)",1,IF(H438="MEDIA(2)",2,IF(H438="ALTA(3)",3,0)))+IF(I438="BAJA(1)",1,IF(I438="MEDIA(2)",2,IF(I438="ALTA(3)",3,0)))</f>
        <v/>
      </c>
      <c r="K438">
        <f>IF(J438="", "", IF(J438&gt;=8,"ALTA",IF(J438&gt;=6,"MEDIA","BAJA")))</f>
        <v/>
      </c>
      <c r="L438">
        <f>IF(INVENTARIO!Y438="","",INVENTARIO!Y438)</f>
        <v/>
      </c>
      <c r="M438">
        <f>IF(INVENTARIO!Z438="","",INVENTARIO!Z438)</f>
        <v/>
      </c>
      <c r="N438">
        <f>IF(INVENTARIO!AA438="","",INVENTARIO!AA438)</f>
        <v/>
      </c>
      <c r="O438">
        <f>IF(INVENTARIO!AB438="","",INVENTARIO!AB438)</f>
        <v/>
      </c>
      <c r="P438">
        <f>IF(INVENTARIO!AC438="","",INVENTARIO!AC438)</f>
        <v/>
      </c>
      <c r="Q438">
        <f>IF(AND(K438="",N438="",L438=""),"",IF(AND((K438="ALTA"),OR(LEFT(N438,2)="L0",LEFT(N438,2)="L1",L438="No Iniciado")),"CRÍTICO - Incumplimiento Normativo SEPS",IF(AND(OR(LEFT(N438,2)="L4",LEFT(N438,2)="L5"),AND(P438&lt;&gt;"",P438&lt;&gt;"N/A")),"CONFORME - Control Efectivo ISO 27001","OBSERVACIÓN - Revisar Controles")))</f>
        <v/>
      </c>
    </row>
    <row r="439">
      <c r="A439">
        <f>IF(INVENTARIO!A439="","",INVENTARIO!A439)</f>
        <v/>
      </c>
      <c r="B439">
        <f>IF(INVENTARIO!E439="","",INVENTARIO!E439)</f>
        <v/>
      </c>
      <c r="C439">
        <f>IF(INVENTARIO!F439="","",INVENTARIO!F439)</f>
        <v/>
      </c>
      <c r="D439">
        <f>IF(INVENTARIO!H439="","",INVENTARIO!H439)</f>
        <v/>
      </c>
      <c r="E439">
        <f>IF(INVENTARIO!I439="","",INVENTARIO!I439)</f>
        <v/>
      </c>
      <c r="F439">
        <f>IF(INVENTARIO!N439="","",INVENTARIO!N439)</f>
        <v/>
      </c>
      <c r="G439">
        <f>IF(INVENTARIO!P439="","",INVENTARIO!P439)</f>
        <v/>
      </c>
      <c r="H439">
        <f>IF(INVENTARIO!Q439="","",INVENTARIO!Q439)</f>
        <v/>
      </c>
      <c r="I439">
        <f>IF(INVENTARIO!R439="","",INVENTARIO!R439)</f>
        <v/>
      </c>
      <c r="J439">
        <f>IF(G439="PUBLICA(1)",1,IF(G439="USO INTERNO(2)",2,IF(G439="RESTRINGIDO(3)",3,0)))+IF(H439="BAJA(1)",1,IF(H439="MEDIA(2)",2,IF(H439="ALTA(3)",3,0)))+IF(I439="BAJA(1)",1,IF(I439="MEDIA(2)",2,IF(I439="ALTA(3)",3,0)))</f>
        <v/>
      </c>
      <c r="K439">
        <f>IF(J439="", "", IF(J439&gt;=8,"ALTA",IF(J439&gt;=6,"MEDIA","BAJA")))</f>
        <v/>
      </c>
      <c r="L439">
        <f>IF(INVENTARIO!Y439="","",INVENTARIO!Y439)</f>
        <v/>
      </c>
      <c r="M439">
        <f>IF(INVENTARIO!Z439="","",INVENTARIO!Z439)</f>
        <v/>
      </c>
      <c r="N439">
        <f>IF(INVENTARIO!AA439="","",INVENTARIO!AA439)</f>
        <v/>
      </c>
      <c r="O439">
        <f>IF(INVENTARIO!AB439="","",INVENTARIO!AB439)</f>
        <v/>
      </c>
      <c r="P439">
        <f>IF(INVENTARIO!AC439="","",INVENTARIO!AC439)</f>
        <v/>
      </c>
      <c r="Q439">
        <f>IF(AND(K439="",N439="",L439=""),"",IF(AND((K439="ALTA"),OR(LEFT(N439,2)="L0",LEFT(N439,2)="L1",L439="No Iniciado")),"CRÍTICO - Incumplimiento Normativo SEPS",IF(AND(OR(LEFT(N439,2)="L4",LEFT(N439,2)="L5"),AND(P439&lt;&gt;"",P439&lt;&gt;"N/A")),"CONFORME - Control Efectivo ISO 27001","OBSERVACIÓN - Revisar Controles")))</f>
        <v/>
      </c>
    </row>
    <row r="440">
      <c r="A440">
        <f>IF(INVENTARIO!A440="","",INVENTARIO!A440)</f>
        <v/>
      </c>
      <c r="B440">
        <f>IF(INVENTARIO!E440="","",INVENTARIO!E440)</f>
        <v/>
      </c>
      <c r="C440">
        <f>IF(INVENTARIO!F440="","",INVENTARIO!F440)</f>
        <v/>
      </c>
      <c r="D440">
        <f>IF(INVENTARIO!H440="","",INVENTARIO!H440)</f>
        <v/>
      </c>
      <c r="E440">
        <f>IF(INVENTARIO!I440="","",INVENTARIO!I440)</f>
        <v/>
      </c>
      <c r="F440">
        <f>IF(INVENTARIO!N440="","",INVENTARIO!N440)</f>
        <v/>
      </c>
      <c r="G440">
        <f>IF(INVENTARIO!P440="","",INVENTARIO!P440)</f>
        <v/>
      </c>
      <c r="H440">
        <f>IF(INVENTARIO!Q440="","",INVENTARIO!Q440)</f>
        <v/>
      </c>
      <c r="I440">
        <f>IF(INVENTARIO!R440="","",INVENTARIO!R440)</f>
        <v/>
      </c>
      <c r="J440">
        <f>IF(G440="PUBLICA(1)",1,IF(G440="USO INTERNO(2)",2,IF(G440="RESTRINGIDO(3)",3,0)))+IF(H440="BAJA(1)",1,IF(H440="MEDIA(2)",2,IF(H440="ALTA(3)",3,0)))+IF(I440="BAJA(1)",1,IF(I440="MEDIA(2)",2,IF(I440="ALTA(3)",3,0)))</f>
        <v/>
      </c>
      <c r="K440">
        <f>IF(J440="", "", IF(J440&gt;=8,"ALTA",IF(J440&gt;=6,"MEDIA","BAJA")))</f>
        <v/>
      </c>
      <c r="L440">
        <f>IF(INVENTARIO!Y440="","",INVENTARIO!Y440)</f>
        <v/>
      </c>
      <c r="M440">
        <f>IF(INVENTARIO!Z440="","",INVENTARIO!Z440)</f>
        <v/>
      </c>
      <c r="N440">
        <f>IF(INVENTARIO!AA440="","",INVENTARIO!AA440)</f>
        <v/>
      </c>
      <c r="O440">
        <f>IF(INVENTARIO!AB440="","",INVENTARIO!AB440)</f>
        <v/>
      </c>
      <c r="P440">
        <f>IF(INVENTARIO!AC440="","",INVENTARIO!AC440)</f>
        <v/>
      </c>
      <c r="Q440">
        <f>IF(AND(K440="",N440="",L440=""),"",IF(AND((K440="ALTA"),OR(LEFT(N440,2)="L0",LEFT(N440,2)="L1",L440="No Iniciado")),"CRÍTICO - Incumplimiento Normativo SEPS",IF(AND(OR(LEFT(N440,2)="L4",LEFT(N440,2)="L5"),AND(P440&lt;&gt;"",P440&lt;&gt;"N/A")),"CONFORME - Control Efectivo ISO 27001","OBSERVACIÓN - Revisar Controles")))</f>
        <v/>
      </c>
    </row>
    <row r="441">
      <c r="A441">
        <f>IF(INVENTARIO!A441="","",INVENTARIO!A441)</f>
        <v/>
      </c>
      <c r="B441">
        <f>IF(INVENTARIO!E441="","",INVENTARIO!E441)</f>
        <v/>
      </c>
      <c r="C441">
        <f>IF(INVENTARIO!F441="","",INVENTARIO!F441)</f>
        <v/>
      </c>
      <c r="D441">
        <f>IF(INVENTARIO!H441="","",INVENTARIO!H441)</f>
        <v/>
      </c>
      <c r="E441">
        <f>IF(INVENTARIO!I441="","",INVENTARIO!I441)</f>
        <v/>
      </c>
      <c r="F441">
        <f>IF(INVENTARIO!N441="","",INVENTARIO!N441)</f>
        <v/>
      </c>
      <c r="G441">
        <f>IF(INVENTARIO!P441="","",INVENTARIO!P441)</f>
        <v/>
      </c>
      <c r="H441">
        <f>IF(INVENTARIO!Q441="","",INVENTARIO!Q441)</f>
        <v/>
      </c>
      <c r="I441">
        <f>IF(INVENTARIO!R441="","",INVENTARIO!R441)</f>
        <v/>
      </c>
      <c r="J441">
        <f>IF(G441="PUBLICA(1)",1,IF(G441="USO INTERNO(2)",2,IF(G441="RESTRINGIDO(3)",3,0)))+IF(H441="BAJA(1)",1,IF(H441="MEDIA(2)",2,IF(H441="ALTA(3)",3,0)))+IF(I441="BAJA(1)",1,IF(I441="MEDIA(2)",2,IF(I441="ALTA(3)",3,0)))</f>
        <v/>
      </c>
      <c r="K441">
        <f>IF(J441="", "", IF(J441&gt;=8,"ALTA",IF(J441&gt;=6,"MEDIA","BAJA")))</f>
        <v/>
      </c>
      <c r="L441">
        <f>IF(INVENTARIO!Y441="","",INVENTARIO!Y441)</f>
        <v/>
      </c>
      <c r="M441">
        <f>IF(INVENTARIO!Z441="","",INVENTARIO!Z441)</f>
        <v/>
      </c>
      <c r="N441">
        <f>IF(INVENTARIO!AA441="","",INVENTARIO!AA441)</f>
        <v/>
      </c>
      <c r="O441">
        <f>IF(INVENTARIO!AB441="","",INVENTARIO!AB441)</f>
        <v/>
      </c>
      <c r="P441">
        <f>IF(INVENTARIO!AC441="","",INVENTARIO!AC441)</f>
        <v/>
      </c>
      <c r="Q441">
        <f>IF(AND(K441="",N441="",L441=""),"",IF(AND((K441="ALTA"),OR(LEFT(N441,2)="L0",LEFT(N441,2)="L1",L441="No Iniciado")),"CRÍTICO - Incumplimiento Normativo SEPS",IF(AND(OR(LEFT(N441,2)="L4",LEFT(N441,2)="L5"),AND(P441&lt;&gt;"",P441&lt;&gt;"N/A")),"CONFORME - Control Efectivo ISO 27001","OBSERVACIÓN - Revisar Controles")))</f>
        <v/>
      </c>
    </row>
    <row r="442">
      <c r="A442">
        <f>IF(INVENTARIO!A442="","",INVENTARIO!A442)</f>
        <v/>
      </c>
      <c r="B442">
        <f>IF(INVENTARIO!E442="","",INVENTARIO!E442)</f>
        <v/>
      </c>
      <c r="C442">
        <f>IF(INVENTARIO!F442="","",INVENTARIO!F442)</f>
        <v/>
      </c>
      <c r="D442">
        <f>IF(INVENTARIO!H442="","",INVENTARIO!H442)</f>
        <v/>
      </c>
      <c r="E442">
        <f>IF(INVENTARIO!I442="","",INVENTARIO!I442)</f>
        <v/>
      </c>
      <c r="F442">
        <f>IF(INVENTARIO!N442="","",INVENTARIO!N442)</f>
        <v/>
      </c>
      <c r="G442">
        <f>IF(INVENTARIO!P442="","",INVENTARIO!P442)</f>
        <v/>
      </c>
      <c r="H442">
        <f>IF(INVENTARIO!Q442="","",INVENTARIO!Q442)</f>
        <v/>
      </c>
      <c r="I442">
        <f>IF(INVENTARIO!R442="","",INVENTARIO!R442)</f>
        <v/>
      </c>
      <c r="J442">
        <f>IF(G442="PUBLICA(1)",1,IF(G442="USO INTERNO(2)",2,IF(G442="RESTRINGIDO(3)",3,0)))+IF(H442="BAJA(1)",1,IF(H442="MEDIA(2)",2,IF(H442="ALTA(3)",3,0)))+IF(I442="BAJA(1)",1,IF(I442="MEDIA(2)",2,IF(I442="ALTA(3)",3,0)))</f>
        <v/>
      </c>
      <c r="K442">
        <f>IF(J442="", "", IF(J442&gt;=8,"ALTA",IF(J442&gt;=6,"MEDIA","BAJA")))</f>
        <v/>
      </c>
      <c r="L442">
        <f>IF(INVENTARIO!Y442="","",INVENTARIO!Y442)</f>
        <v/>
      </c>
      <c r="M442">
        <f>IF(INVENTARIO!Z442="","",INVENTARIO!Z442)</f>
        <v/>
      </c>
      <c r="N442">
        <f>IF(INVENTARIO!AA442="","",INVENTARIO!AA442)</f>
        <v/>
      </c>
      <c r="O442">
        <f>IF(INVENTARIO!AB442="","",INVENTARIO!AB442)</f>
        <v/>
      </c>
      <c r="P442">
        <f>IF(INVENTARIO!AC442="","",INVENTARIO!AC442)</f>
        <v/>
      </c>
      <c r="Q442">
        <f>IF(AND(K442="",N442="",L442=""),"",IF(AND((K442="ALTA"),OR(LEFT(N442,2)="L0",LEFT(N442,2)="L1",L442="No Iniciado")),"CRÍTICO - Incumplimiento Normativo SEPS",IF(AND(OR(LEFT(N442,2)="L4",LEFT(N442,2)="L5"),AND(P442&lt;&gt;"",P442&lt;&gt;"N/A")),"CONFORME - Control Efectivo ISO 27001","OBSERVACIÓN - Revisar Controles")))</f>
        <v/>
      </c>
    </row>
    <row r="443">
      <c r="A443">
        <f>IF(INVENTARIO!A443="","",INVENTARIO!A443)</f>
        <v/>
      </c>
      <c r="B443">
        <f>IF(INVENTARIO!E443="","",INVENTARIO!E443)</f>
        <v/>
      </c>
      <c r="C443">
        <f>IF(INVENTARIO!F443="","",INVENTARIO!F443)</f>
        <v/>
      </c>
      <c r="D443">
        <f>IF(INVENTARIO!H443="","",INVENTARIO!H443)</f>
        <v/>
      </c>
      <c r="E443">
        <f>IF(INVENTARIO!I443="","",INVENTARIO!I443)</f>
        <v/>
      </c>
      <c r="F443">
        <f>IF(INVENTARIO!N443="","",INVENTARIO!N443)</f>
        <v/>
      </c>
      <c r="G443">
        <f>IF(INVENTARIO!P443="","",INVENTARIO!P443)</f>
        <v/>
      </c>
      <c r="H443">
        <f>IF(INVENTARIO!Q443="","",INVENTARIO!Q443)</f>
        <v/>
      </c>
      <c r="I443">
        <f>IF(INVENTARIO!R443="","",INVENTARIO!R443)</f>
        <v/>
      </c>
      <c r="J443">
        <f>IF(G443="PUBLICA(1)",1,IF(G443="USO INTERNO(2)",2,IF(G443="RESTRINGIDO(3)",3,0)))+IF(H443="BAJA(1)",1,IF(H443="MEDIA(2)",2,IF(H443="ALTA(3)",3,0)))+IF(I443="BAJA(1)",1,IF(I443="MEDIA(2)",2,IF(I443="ALTA(3)",3,0)))</f>
        <v/>
      </c>
      <c r="K443">
        <f>IF(J443="", "", IF(J443&gt;=8,"ALTA",IF(J443&gt;=6,"MEDIA","BAJA")))</f>
        <v/>
      </c>
      <c r="L443">
        <f>IF(INVENTARIO!Y443="","",INVENTARIO!Y443)</f>
        <v/>
      </c>
      <c r="M443">
        <f>IF(INVENTARIO!Z443="","",INVENTARIO!Z443)</f>
        <v/>
      </c>
      <c r="N443">
        <f>IF(INVENTARIO!AA443="","",INVENTARIO!AA443)</f>
        <v/>
      </c>
      <c r="O443">
        <f>IF(INVENTARIO!AB443="","",INVENTARIO!AB443)</f>
        <v/>
      </c>
      <c r="P443">
        <f>IF(INVENTARIO!AC443="","",INVENTARIO!AC443)</f>
        <v/>
      </c>
      <c r="Q443">
        <f>IF(AND(K443="",N443="",L443=""),"",IF(AND((K443="ALTA"),OR(LEFT(N443,2)="L0",LEFT(N443,2)="L1",L443="No Iniciado")),"CRÍTICO - Incumplimiento Normativo SEPS",IF(AND(OR(LEFT(N443,2)="L4",LEFT(N443,2)="L5"),AND(P443&lt;&gt;"",P443&lt;&gt;"N/A")),"CONFORME - Control Efectivo ISO 27001","OBSERVACIÓN - Revisar Controles")))</f>
        <v/>
      </c>
    </row>
    <row r="444">
      <c r="A444">
        <f>IF(INVENTARIO!A444="","",INVENTARIO!A444)</f>
        <v/>
      </c>
      <c r="B444">
        <f>IF(INVENTARIO!E444="","",INVENTARIO!E444)</f>
        <v/>
      </c>
      <c r="C444">
        <f>IF(INVENTARIO!F444="","",INVENTARIO!F444)</f>
        <v/>
      </c>
      <c r="D444">
        <f>IF(INVENTARIO!H444="","",INVENTARIO!H444)</f>
        <v/>
      </c>
      <c r="E444">
        <f>IF(INVENTARIO!I444="","",INVENTARIO!I444)</f>
        <v/>
      </c>
      <c r="F444">
        <f>IF(INVENTARIO!N444="","",INVENTARIO!N444)</f>
        <v/>
      </c>
      <c r="G444">
        <f>IF(INVENTARIO!P444="","",INVENTARIO!P444)</f>
        <v/>
      </c>
      <c r="H444">
        <f>IF(INVENTARIO!Q444="","",INVENTARIO!Q444)</f>
        <v/>
      </c>
      <c r="I444">
        <f>IF(INVENTARIO!R444="","",INVENTARIO!R444)</f>
        <v/>
      </c>
      <c r="J444">
        <f>IF(G444="PUBLICA(1)",1,IF(G444="USO INTERNO(2)",2,IF(G444="RESTRINGIDO(3)",3,0)))+IF(H444="BAJA(1)",1,IF(H444="MEDIA(2)",2,IF(H444="ALTA(3)",3,0)))+IF(I444="BAJA(1)",1,IF(I444="MEDIA(2)",2,IF(I444="ALTA(3)",3,0)))</f>
        <v/>
      </c>
      <c r="K444">
        <f>IF(J444="", "", IF(J444&gt;=8,"ALTA",IF(J444&gt;=6,"MEDIA","BAJA")))</f>
        <v/>
      </c>
      <c r="L444">
        <f>IF(INVENTARIO!Y444="","",INVENTARIO!Y444)</f>
        <v/>
      </c>
      <c r="M444">
        <f>IF(INVENTARIO!Z444="","",INVENTARIO!Z444)</f>
        <v/>
      </c>
      <c r="N444">
        <f>IF(INVENTARIO!AA444="","",INVENTARIO!AA444)</f>
        <v/>
      </c>
      <c r="O444">
        <f>IF(INVENTARIO!AB444="","",INVENTARIO!AB444)</f>
        <v/>
      </c>
      <c r="P444">
        <f>IF(INVENTARIO!AC444="","",INVENTARIO!AC444)</f>
        <v/>
      </c>
      <c r="Q444">
        <f>IF(AND(K444="",N444="",L444=""),"",IF(AND((K444="ALTA"),OR(LEFT(N444,2)="L0",LEFT(N444,2)="L1",L444="No Iniciado")),"CRÍTICO - Incumplimiento Normativo SEPS",IF(AND(OR(LEFT(N444,2)="L4",LEFT(N444,2)="L5"),AND(P444&lt;&gt;"",P444&lt;&gt;"N/A")),"CONFORME - Control Efectivo ISO 27001","OBSERVACIÓN - Revisar Controles")))</f>
        <v/>
      </c>
    </row>
    <row r="445">
      <c r="A445">
        <f>IF(INVENTARIO!A445="","",INVENTARIO!A445)</f>
        <v/>
      </c>
      <c r="B445">
        <f>IF(INVENTARIO!E445="","",INVENTARIO!E445)</f>
        <v/>
      </c>
      <c r="C445">
        <f>IF(INVENTARIO!F445="","",INVENTARIO!F445)</f>
        <v/>
      </c>
      <c r="D445">
        <f>IF(INVENTARIO!H445="","",INVENTARIO!H445)</f>
        <v/>
      </c>
      <c r="E445">
        <f>IF(INVENTARIO!I445="","",INVENTARIO!I445)</f>
        <v/>
      </c>
      <c r="F445">
        <f>IF(INVENTARIO!N445="","",INVENTARIO!N445)</f>
        <v/>
      </c>
      <c r="G445">
        <f>IF(INVENTARIO!P445="","",INVENTARIO!P445)</f>
        <v/>
      </c>
      <c r="H445">
        <f>IF(INVENTARIO!Q445="","",INVENTARIO!Q445)</f>
        <v/>
      </c>
      <c r="I445">
        <f>IF(INVENTARIO!R445="","",INVENTARIO!R445)</f>
        <v/>
      </c>
      <c r="J445">
        <f>IF(G445="PUBLICA(1)",1,IF(G445="USO INTERNO(2)",2,IF(G445="RESTRINGIDO(3)",3,0)))+IF(H445="BAJA(1)",1,IF(H445="MEDIA(2)",2,IF(H445="ALTA(3)",3,0)))+IF(I445="BAJA(1)",1,IF(I445="MEDIA(2)",2,IF(I445="ALTA(3)",3,0)))</f>
        <v/>
      </c>
      <c r="K445">
        <f>IF(J445="", "", IF(J445&gt;=8,"ALTA",IF(J445&gt;=6,"MEDIA","BAJA")))</f>
        <v/>
      </c>
      <c r="L445">
        <f>IF(INVENTARIO!Y445="","",INVENTARIO!Y445)</f>
        <v/>
      </c>
      <c r="M445">
        <f>IF(INVENTARIO!Z445="","",INVENTARIO!Z445)</f>
        <v/>
      </c>
      <c r="N445">
        <f>IF(INVENTARIO!AA445="","",INVENTARIO!AA445)</f>
        <v/>
      </c>
      <c r="O445">
        <f>IF(INVENTARIO!AB445="","",INVENTARIO!AB445)</f>
        <v/>
      </c>
      <c r="P445">
        <f>IF(INVENTARIO!AC445="","",INVENTARIO!AC445)</f>
        <v/>
      </c>
      <c r="Q445">
        <f>IF(AND(K445="",N445="",L445=""),"",IF(AND((K445="ALTA"),OR(LEFT(N445,2)="L0",LEFT(N445,2)="L1",L445="No Iniciado")),"CRÍTICO - Incumplimiento Normativo SEPS",IF(AND(OR(LEFT(N445,2)="L4",LEFT(N445,2)="L5"),AND(P445&lt;&gt;"",P445&lt;&gt;"N/A")),"CONFORME - Control Efectivo ISO 27001","OBSERVACIÓN - Revisar Controles")))</f>
        <v/>
      </c>
    </row>
    <row r="446">
      <c r="A446">
        <f>IF(INVENTARIO!A446="","",INVENTARIO!A446)</f>
        <v/>
      </c>
      <c r="B446">
        <f>IF(INVENTARIO!E446="","",INVENTARIO!E446)</f>
        <v/>
      </c>
      <c r="C446">
        <f>IF(INVENTARIO!F446="","",INVENTARIO!F446)</f>
        <v/>
      </c>
      <c r="D446">
        <f>IF(INVENTARIO!H446="","",INVENTARIO!H446)</f>
        <v/>
      </c>
      <c r="E446">
        <f>IF(INVENTARIO!I446="","",INVENTARIO!I446)</f>
        <v/>
      </c>
      <c r="F446">
        <f>IF(INVENTARIO!N446="","",INVENTARIO!N446)</f>
        <v/>
      </c>
      <c r="G446">
        <f>IF(INVENTARIO!P446="","",INVENTARIO!P446)</f>
        <v/>
      </c>
      <c r="H446">
        <f>IF(INVENTARIO!Q446="","",INVENTARIO!Q446)</f>
        <v/>
      </c>
      <c r="I446">
        <f>IF(INVENTARIO!R446="","",INVENTARIO!R446)</f>
        <v/>
      </c>
      <c r="J446">
        <f>IF(G446="PUBLICA(1)",1,IF(G446="USO INTERNO(2)",2,IF(G446="RESTRINGIDO(3)",3,0)))+IF(H446="BAJA(1)",1,IF(H446="MEDIA(2)",2,IF(H446="ALTA(3)",3,0)))+IF(I446="BAJA(1)",1,IF(I446="MEDIA(2)",2,IF(I446="ALTA(3)",3,0)))</f>
        <v/>
      </c>
      <c r="K446">
        <f>IF(J446="", "", IF(J446&gt;=8,"ALTA",IF(J446&gt;=6,"MEDIA","BAJA")))</f>
        <v/>
      </c>
      <c r="L446">
        <f>IF(INVENTARIO!Y446="","",INVENTARIO!Y446)</f>
        <v/>
      </c>
      <c r="M446">
        <f>IF(INVENTARIO!Z446="","",INVENTARIO!Z446)</f>
        <v/>
      </c>
      <c r="N446">
        <f>IF(INVENTARIO!AA446="","",INVENTARIO!AA446)</f>
        <v/>
      </c>
      <c r="O446">
        <f>IF(INVENTARIO!AB446="","",INVENTARIO!AB446)</f>
        <v/>
      </c>
      <c r="P446">
        <f>IF(INVENTARIO!AC446="","",INVENTARIO!AC446)</f>
        <v/>
      </c>
      <c r="Q446">
        <f>IF(AND(K446="",N446="",L446=""),"",IF(AND((K446="ALTA"),OR(LEFT(N446,2)="L0",LEFT(N446,2)="L1",L446="No Iniciado")),"CRÍTICO - Incumplimiento Normativo SEPS",IF(AND(OR(LEFT(N446,2)="L4",LEFT(N446,2)="L5"),AND(P446&lt;&gt;"",P446&lt;&gt;"N/A")),"CONFORME - Control Efectivo ISO 27001","OBSERVACIÓN - Revisar Controles")))</f>
        <v/>
      </c>
    </row>
    <row r="447">
      <c r="A447">
        <f>IF(INVENTARIO!A447="","",INVENTARIO!A447)</f>
        <v/>
      </c>
      <c r="B447">
        <f>IF(INVENTARIO!E447="","",INVENTARIO!E447)</f>
        <v/>
      </c>
      <c r="C447">
        <f>IF(INVENTARIO!F447="","",INVENTARIO!F447)</f>
        <v/>
      </c>
      <c r="D447">
        <f>IF(INVENTARIO!H447="","",INVENTARIO!H447)</f>
        <v/>
      </c>
      <c r="E447">
        <f>IF(INVENTARIO!I447="","",INVENTARIO!I447)</f>
        <v/>
      </c>
      <c r="F447">
        <f>IF(INVENTARIO!N447="","",INVENTARIO!N447)</f>
        <v/>
      </c>
      <c r="G447">
        <f>IF(INVENTARIO!P447="","",INVENTARIO!P447)</f>
        <v/>
      </c>
      <c r="H447">
        <f>IF(INVENTARIO!Q447="","",INVENTARIO!Q447)</f>
        <v/>
      </c>
      <c r="I447">
        <f>IF(INVENTARIO!R447="","",INVENTARIO!R447)</f>
        <v/>
      </c>
      <c r="J447">
        <f>IF(G447="PUBLICA(1)",1,IF(G447="USO INTERNO(2)",2,IF(G447="RESTRINGIDO(3)",3,0)))+IF(H447="BAJA(1)",1,IF(H447="MEDIA(2)",2,IF(H447="ALTA(3)",3,0)))+IF(I447="BAJA(1)",1,IF(I447="MEDIA(2)",2,IF(I447="ALTA(3)",3,0)))</f>
        <v/>
      </c>
      <c r="K447">
        <f>IF(J447="", "", IF(J447&gt;=8,"ALTA",IF(J447&gt;=6,"MEDIA","BAJA")))</f>
        <v/>
      </c>
      <c r="L447">
        <f>IF(INVENTARIO!Y447="","",INVENTARIO!Y447)</f>
        <v/>
      </c>
      <c r="M447">
        <f>IF(INVENTARIO!Z447="","",INVENTARIO!Z447)</f>
        <v/>
      </c>
      <c r="N447">
        <f>IF(INVENTARIO!AA447="","",INVENTARIO!AA447)</f>
        <v/>
      </c>
      <c r="O447">
        <f>IF(INVENTARIO!AB447="","",INVENTARIO!AB447)</f>
        <v/>
      </c>
      <c r="P447">
        <f>IF(INVENTARIO!AC447="","",INVENTARIO!AC447)</f>
        <v/>
      </c>
      <c r="Q447">
        <f>IF(AND(K447="",N447="",L447=""),"",IF(AND((K447="ALTA"),OR(LEFT(N447,2)="L0",LEFT(N447,2)="L1",L447="No Iniciado")),"CRÍTICO - Incumplimiento Normativo SEPS",IF(AND(OR(LEFT(N447,2)="L4",LEFT(N447,2)="L5"),AND(P447&lt;&gt;"",P447&lt;&gt;"N/A")),"CONFORME - Control Efectivo ISO 27001","OBSERVACIÓN - Revisar Controles")))</f>
        <v/>
      </c>
    </row>
    <row r="448">
      <c r="A448">
        <f>IF(INVENTARIO!A448="","",INVENTARIO!A448)</f>
        <v/>
      </c>
      <c r="B448">
        <f>IF(INVENTARIO!E448="","",INVENTARIO!E448)</f>
        <v/>
      </c>
      <c r="C448">
        <f>IF(INVENTARIO!F448="","",INVENTARIO!F448)</f>
        <v/>
      </c>
      <c r="D448">
        <f>IF(INVENTARIO!H448="","",INVENTARIO!H448)</f>
        <v/>
      </c>
      <c r="E448">
        <f>IF(INVENTARIO!I448="","",INVENTARIO!I448)</f>
        <v/>
      </c>
      <c r="F448">
        <f>IF(INVENTARIO!N448="","",INVENTARIO!N448)</f>
        <v/>
      </c>
      <c r="G448">
        <f>IF(INVENTARIO!P448="","",INVENTARIO!P448)</f>
        <v/>
      </c>
      <c r="H448">
        <f>IF(INVENTARIO!Q448="","",INVENTARIO!Q448)</f>
        <v/>
      </c>
      <c r="I448">
        <f>IF(INVENTARIO!R448="","",INVENTARIO!R448)</f>
        <v/>
      </c>
      <c r="J448">
        <f>IF(G448="PUBLICA(1)",1,IF(G448="USO INTERNO(2)",2,IF(G448="RESTRINGIDO(3)",3,0)))+IF(H448="BAJA(1)",1,IF(H448="MEDIA(2)",2,IF(H448="ALTA(3)",3,0)))+IF(I448="BAJA(1)",1,IF(I448="MEDIA(2)",2,IF(I448="ALTA(3)",3,0)))</f>
        <v/>
      </c>
      <c r="K448">
        <f>IF(J448="", "", IF(J448&gt;=8,"ALTA",IF(J448&gt;=6,"MEDIA","BAJA")))</f>
        <v/>
      </c>
      <c r="L448">
        <f>IF(INVENTARIO!Y448="","",INVENTARIO!Y448)</f>
        <v/>
      </c>
      <c r="M448">
        <f>IF(INVENTARIO!Z448="","",INVENTARIO!Z448)</f>
        <v/>
      </c>
      <c r="N448">
        <f>IF(INVENTARIO!AA448="","",INVENTARIO!AA448)</f>
        <v/>
      </c>
      <c r="O448">
        <f>IF(INVENTARIO!AB448="","",INVENTARIO!AB448)</f>
        <v/>
      </c>
      <c r="P448">
        <f>IF(INVENTARIO!AC448="","",INVENTARIO!AC448)</f>
        <v/>
      </c>
      <c r="Q448">
        <f>IF(AND(K448="",N448="",L448=""),"",IF(AND((K448="ALTA"),OR(LEFT(N448,2)="L0",LEFT(N448,2)="L1",L448="No Iniciado")),"CRÍTICO - Incumplimiento Normativo SEPS",IF(AND(OR(LEFT(N448,2)="L4",LEFT(N448,2)="L5"),AND(P448&lt;&gt;"",P448&lt;&gt;"N/A")),"CONFORME - Control Efectivo ISO 27001","OBSERVACIÓN - Revisar Controles")))</f>
        <v/>
      </c>
    </row>
    <row r="449">
      <c r="A449">
        <f>IF(INVENTARIO!A449="","",INVENTARIO!A449)</f>
        <v/>
      </c>
      <c r="B449">
        <f>IF(INVENTARIO!E449="","",INVENTARIO!E449)</f>
        <v/>
      </c>
      <c r="C449">
        <f>IF(INVENTARIO!F449="","",INVENTARIO!F449)</f>
        <v/>
      </c>
      <c r="D449">
        <f>IF(INVENTARIO!H449="","",INVENTARIO!H449)</f>
        <v/>
      </c>
      <c r="E449">
        <f>IF(INVENTARIO!I449="","",INVENTARIO!I449)</f>
        <v/>
      </c>
      <c r="F449">
        <f>IF(INVENTARIO!N449="","",INVENTARIO!N449)</f>
        <v/>
      </c>
      <c r="G449">
        <f>IF(INVENTARIO!P449="","",INVENTARIO!P449)</f>
        <v/>
      </c>
      <c r="H449">
        <f>IF(INVENTARIO!Q449="","",INVENTARIO!Q449)</f>
        <v/>
      </c>
      <c r="I449">
        <f>IF(INVENTARIO!R449="","",INVENTARIO!R449)</f>
        <v/>
      </c>
      <c r="J449">
        <f>IF(G449="PUBLICA(1)",1,IF(G449="USO INTERNO(2)",2,IF(G449="RESTRINGIDO(3)",3,0)))+IF(H449="BAJA(1)",1,IF(H449="MEDIA(2)",2,IF(H449="ALTA(3)",3,0)))+IF(I449="BAJA(1)",1,IF(I449="MEDIA(2)",2,IF(I449="ALTA(3)",3,0)))</f>
        <v/>
      </c>
      <c r="K449">
        <f>IF(J449="", "", IF(J449&gt;=8,"ALTA",IF(J449&gt;=6,"MEDIA","BAJA")))</f>
        <v/>
      </c>
      <c r="L449">
        <f>IF(INVENTARIO!Y449="","",INVENTARIO!Y449)</f>
        <v/>
      </c>
      <c r="M449">
        <f>IF(INVENTARIO!Z449="","",INVENTARIO!Z449)</f>
        <v/>
      </c>
      <c r="N449">
        <f>IF(INVENTARIO!AA449="","",INVENTARIO!AA449)</f>
        <v/>
      </c>
      <c r="O449">
        <f>IF(INVENTARIO!AB449="","",INVENTARIO!AB449)</f>
        <v/>
      </c>
      <c r="P449">
        <f>IF(INVENTARIO!AC449="","",INVENTARIO!AC449)</f>
        <v/>
      </c>
      <c r="Q449">
        <f>IF(AND(K449="",N449="",L449=""),"",IF(AND((K449="ALTA"),OR(LEFT(N449,2)="L0",LEFT(N449,2)="L1",L449="No Iniciado")),"CRÍTICO - Incumplimiento Normativo SEPS",IF(AND(OR(LEFT(N449,2)="L4",LEFT(N449,2)="L5"),AND(P449&lt;&gt;"",P449&lt;&gt;"N/A")),"CONFORME - Control Efectivo ISO 27001","OBSERVACIÓN - Revisar Controles")))</f>
        <v/>
      </c>
    </row>
    <row r="450">
      <c r="A450">
        <f>IF(INVENTARIO!A450="","",INVENTARIO!A450)</f>
        <v/>
      </c>
      <c r="B450">
        <f>IF(INVENTARIO!E450="","",INVENTARIO!E450)</f>
        <v/>
      </c>
      <c r="C450">
        <f>IF(INVENTARIO!F450="","",INVENTARIO!F450)</f>
        <v/>
      </c>
      <c r="D450">
        <f>IF(INVENTARIO!H450="","",INVENTARIO!H450)</f>
        <v/>
      </c>
      <c r="E450">
        <f>IF(INVENTARIO!I450="","",INVENTARIO!I450)</f>
        <v/>
      </c>
      <c r="F450">
        <f>IF(INVENTARIO!N450="","",INVENTARIO!N450)</f>
        <v/>
      </c>
      <c r="G450">
        <f>IF(INVENTARIO!P450="","",INVENTARIO!P450)</f>
        <v/>
      </c>
      <c r="H450">
        <f>IF(INVENTARIO!Q450="","",INVENTARIO!Q450)</f>
        <v/>
      </c>
      <c r="I450">
        <f>IF(INVENTARIO!R450="","",INVENTARIO!R450)</f>
        <v/>
      </c>
      <c r="J450">
        <f>IF(G450="PUBLICA(1)",1,IF(G450="USO INTERNO(2)",2,IF(G450="RESTRINGIDO(3)",3,0)))+IF(H450="BAJA(1)",1,IF(H450="MEDIA(2)",2,IF(H450="ALTA(3)",3,0)))+IF(I450="BAJA(1)",1,IF(I450="MEDIA(2)",2,IF(I450="ALTA(3)",3,0)))</f>
        <v/>
      </c>
      <c r="K450">
        <f>IF(J450="", "", IF(J450&gt;=8,"ALTA",IF(J450&gt;=6,"MEDIA","BAJA")))</f>
        <v/>
      </c>
      <c r="L450">
        <f>IF(INVENTARIO!Y450="","",INVENTARIO!Y450)</f>
        <v/>
      </c>
      <c r="M450">
        <f>IF(INVENTARIO!Z450="","",INVENTARIO!Z450)</f>
        <v/>
      </c>
      <c r="N450">
        <f>IF(INVENTARIO!AA450="","",INVENTARIO!AA450)</f>
        <v/>
      </c>
      <c r="O450">
        <f>IF(INVENTARIO!AB450="","",INVENTARIO!AB450)</f>
        <v/>
      </c>
      <c r="P450">
        <f>IF(INVENTARIO!AC450="","",INVENTARIO!AC450)</f>
        <v/>
      </c>
      <c r="Q450">
        <f>IF(AND(K450="",N450="",L450=""),"",IF(AND((K450="ALTA"),OR(LEFT(N450,2)="L0",LEFT(N450,2)="L1",L450="No Iniciado")),"CRÍTICO - Incumplimiento Normativo SEPS",IF(AND(OR(LEFT(N450,2)="L4",LEFT(N450,2)="L5"),AND(P450&lt;&gt;"",P450&lt;&gt;"N/A")),"CONFORME - Control Efectivo ISO 27001","OBSERVACIÓN - Revisar Controles")))</f>
        <v/>
      </c>
    </row>
    <row r="451">
      <c r="A451">
        <f>IF(INVENTARIO!A451="","",INVENTARIO!A451)</f>
        <v/>
      </c>
      <c r="B451">
        <f>IF(INVENTARIO!E451="","",INVENTARIO!E451)</f>
        <v/>
      </c>
      <c r="C451">
        <f>IF(INVENTARIO!F451="","",INVENTARIO!F451)</f>
        <v/>
      </c>
      <c r="D451">
        <f>IF(INVENTARIO!H451="","",INVENTARIO!H451)</f>
        <v/>
      </c>
      <c r="E451">
        <f>IF(INVENTARIO!I451="","",INVENTARIO!I451)</f>
        <v/>
      </c>
      <c r="F451">
        <f>IF(INVENTARIO!N451="","",INVENTARIO!N451)</f>
        <v/>
      </c>
      <c r="G451">
        <f>IF(INVENTARIO!P451="","",INVENTARIO!P451)</f>
        <v/>
      </c>
      <c r="H451">
        <f>IF(INVENTARIO!Q451="","",INVENTARIO!Q451)</f>
        <v/>
      </c>
      <c r="I451">
        <f>IF(INVENTARIO!R451="","",INVENTARIO!R451)</f>
        <v/>
      </c>
      <c r="J451">
        <f>IF(G451="PUBLICA(1)",1,IF(G451="USO INTERNO(2)",2,IF(G451="RESTRINGIDO(3)",3,0)))+IF(H451="BAJA(1)",1,IF(H451="MEDIA(2)",2,IF(H451="ALTA(3)",3,0)))+IF(I451="BAJA(1)",1,IF(I451="MEDIA(2)",2,IF(I451="ALTA(3)",3,0)))</f>
        <v/>
      </c>
      <c r="K451">
        <f>IF(J451="", "", IF(J451&gt;=8,"ALTA",IF(J451&gt;=6,"MEDIA","BAJA")))</f>
        <v/>
      </c>
      <c r="L451">
        <f>IF(INVENTARIO!Y451="","",INVENTARIO!Y451)</f>
        <v/>
      </c>
      <c r="M451">
        <f>IF(INVENTARIO!Z451="","",INVENTARIO!Z451)</f>
        <v/>
      </c>
      <c r="N451">
        <f>IF(INVENTARIO!AA451="","",INVENTARIO!AA451)</f>
        <v/>
      </c>
      <c r="O451">
        <f>IF(INVENTARIO!AB451="","",INVENTARIO!AB451)</f>
        <v/>
      </c>
      <c r="P451">
        <f>IF(INVENTARIO!AC451="","",INVENTARIO!AC451)</f>
        <v/>
      </c>
      <c r="Q451">
        <f>IF(AND(K451="",N451="",L451=""),"",IF(AND((K451="ALTA"),OR(LEFT(N451,2)="L0",LEFT(N451,2)="L1",L451="No Iniciado")),"CRÍTICO - Incumplimiento Normativo SEPS",IF(AND(OR(LEFT(N451,2)="L4",LEFT(N451,2)="L5"),AND(P451&lt;&gt;"",P451&lt;&gt;"N/A")),"CONFORME - Control Efectivo ISO 27001","OBSERVACIÓN - Revisar Controles")))</f>
        <v/>
      </c>
    </row>
    <row r="452">
      <c r="A452">
        <f>IF(INVENTARIO!A452="","",INVENTARIO!A452)</f>
        <v/>
      </c>
      <c r="B452">
        <f>IF(INVENTARIO!E452="","",INVENTARIO!E452)</f>
        <v/>
      </c>
      <c r="C452">
        <f>IF(INVENTARIO!F452="","",INVENTARIO!F452)</f>
        <v/>
      </c>
      <c r="D452">
        <f>IF(INVENTARIO!H452="","",INVENTARIO!H452)</f>
        <v/>
      </c>
      <c r="E452">
        <f>IF(INVENTARIO!I452="","",INVENTARIO!I452)</f>
        <v/>
      </c>
      <c r="F452">
        <f>IF(INVENTARIO!N452="","",INVENTARIO!N452)</f>
        <v/>
      </c>
      <c r="G452">
        <f>IF(INVENTARIO!P452="","",INVENTARIO!P452)</f>
        <v/>
      </c>
      <c r="H452">
        <f>IF(INVENTARIO!Q452="","",INVENTARIO!Q452)</f>
        <v/>
      </c>
      <c r="I452">
        <f>IF(INVENTARIO!R452="","",INVENTARIO!R452)</f>
        <v/>
      </c>
      <c r="J452">
        <f>IF(G452="PUBLICA(1)",1,IF(G452="USO INTERNO(2)",2,IF(G452="RESTRINGIDO(3)",3,0)))+IF(H452="BAJA(1)",1,IF(H452="MEDIA(2)",2,IF(H452="ALTA(3)",3,0)))+IF(I452="BAJA(1)",1,IF(I452="MEDIA(2)",2,IF(I452="ALTA(3)",3,0)))</f>
        <v/>
      </c>
      <c r="K452">
        <f>IF(J452="", "", IF(J452&gt;=8,"ALTA",IF(J452&gt;=6,"MEDIA","BAJA")))</f>
        <v/>
      </c>
      <c r="L452">
        <f>IF(INVENTARIO!Y452="","",INVENTARIO!Y452)</f>
        <v/>
      </c>
      <c r="M452">
        <f>IF(INVENTARIO!Z452="","",INVENTARIO!Z452)</f>
        <v/>
      </c>
      <c r="N452">
        <f>IF(INVENTARIO!AA452="","",INVENTARIO!AA452)</f>
        <v/>
      </c>
      <c r="O452">
        <f>IF(INVENTARIO!AB452="","",INVENTARIO!AB452)</f>
        <v/>
      </c>
      <c r="P452">
        <f>IF(INVENTARIO!AC452="","",INVENTARIO!AC452)</f>
        <v/>
      </c>
      <c r="Q452">
        <f>IF(AND(K452="",N452="",L452=""),"",IF(AND((K452="ALTA"),OR(LEFT(N452,2)="L0",LEFT(N452,2)="L1",L452="No Iniciado")),"CRÍTICO - Incumplimiento Normativo SEPS",IF(AND(OR(LEFT(N452,2)="L4",LEFT(N452,2)="L5"),AND(P452&lt;&gt;"",P452&lt;&gt;"N/A")),"CONFORME - Control Efectivo ISO 27001","OBSERVACIÓN - Revisar Controles")))</f>
        <v/>
      </c>
    </row>
    <row r="453">
      <c r="A453">
        <f>IF(INVENTARIO!A453="","",INVENTARIO!A453)</f>
        <v/>
      </c>
      <c r="B453">
        <f>IF(INVENTARIO!E453="","",INVENTARIO!E453)</f>
        <v/>
      </c>
      <c r="C453">
        <f>IF(INVENTARIO!F453="","",INVENTARIO!F453)</f>
        <v/>
      </c>
      <c r="D453">
        <f>IF(INVENTARIO!H453="","",INVENTARIO!H453)</f>
        <v/>
      </c>
      <c r="E453">
        <f>IF(INVENTARIO!I453="","",INVENTARIO!I453)</f>
        <v/>
      </c>
      <c r="F453">
        <f>IF(INVENTARIO!N453="","",INVENTARIO!N453)</f>
        <v/>
      </c>
      <c r="G453">
        <f>IF(INVENTARIO!P453="","",INVENTARIO!P453)</f>
        <v/>
      </c>
      <c r="H453">
        <f>IF(INVENTARIO!Q453="","",INVENTARIO!Q453)</f>
        <v/>
      </c>
      <c r="I453">
        <f>IF(INVENTARIO!R453="","",INVENTARIO!R453)</f>
        <v/>
      </c>
      <c r="J453">
        <f>IF(G453="PUBLICA(1)",1,IF(G453="USO INTERNO(2)",2,IF(G453="RESTRINGIDO(3)",3,0)))+IF(H453="BAJA(1)",1,IF(H453="MEDIA(2)",2,IF(H453="ALTA(3)",3,0)))+IF(I453="BAJA(1)",1,IF(I453="MEDIA(2)",2,IF(I453="ALTA(3)",3,0)))</f>
        <v/>
      </c>
      <c r="K453">
        <f>IF(J453="", "", IF(J453&gt;=8,"ALTA",IF(J453&gt;=6,"MEDIA","BAJA")))</f>
        <v/>
      </c>
      <c r="L453">
        <f>IF(INVENTARIO!Y453="","",INVENTARIO!Y453)</f>
        <v/>
      </c>
      <c r="M453">
        <f>IF(INVENTARIO!Z453="","",INVENTARIO!Z453)</f>
        <v/>
      </c>
      <c r="N453">
        <f>IF(INVENTARIO!AA453="","",INVENTARIO!AA453)</f>
        <v/>
      </c>
      <c r="O453">
        <f>IF(INVENTARIO!AB453="","",INVENTARIO!AB453)</f>
        <v/>
      </c>
      <c r="P453">
        <f>IF(INVENTARIO!AC453="","",INVENTARIO!AC453)</f>
        <v/>
      </c>
      <c r="Q453">
        <f>IF(AND(K453="",N453="",L453=""),"",IF(AND((K453="ALTA"),OR(LEFT(N453,2)="L0",LEFT(N453,2)="L1",L453="No Iniciado")),"CRÍTICO - Incumplimiento Normativo SEPS",IF(AND(OR(LEFT(N453,2)="L4",LEFT(N453,2)="L5"),AND(P453&lt;&gt;"",P453&lt;&gt;"N/A")),"CONFORME - Control Efectivo ISO 27001","OBSERVACIÓN - Revisar Controles")))</f>
        <v/>
      </c>
    </row>
    <row r="454">
      <c r="A454">
        <f>IF(INVENTARIO!A454="","",INVENTARIO!A454)</f>
        <v/>
      </c>
      <c r="B454">
        <f>IF(INVENTARIO!E454="","",INVENTARIO!E454)</f>
        <v/>
      </c>
      <c r="C454">
        <f>IF(INVENTARIO!F454="","",INVENTARIO!F454)</f>
        <v/>
      </c>
      <c r="D454">
        <f>IF(INVENTARIO!H454="","",INVENTARIO!H454)</f>
        <v/>
      </c>
      <c r="E454">
        <f>IF(INVENTARIO!I454="","",INVENTARIO!I454)</f>
        <v/>
      </c>
      <c r="F454">
        <f>IF(INVENTARIO!N454="","",INVENTARIO!N454)</f>
        <v/>
      </c>
      <c r="G454">
        <f>IF(INVENTARIO!P454="","",INVENTARIO!P454)</f>
        <v/>
      </c>
      <c r="H454">
        <f>IF(INVENTARIO!Q454="","",INVENTARIO!Q454)</f>
        <v/>
      </c>
      <c r="I454">
        <f>IF(INVENTARIO!R454="","",INVENTARIO!R454)</f>
        <v/>
      </c>
      <c r="J454">
        <f>IF(G454="PUBLICA(1)",1,IF(G454="USO INTERNO(2)",2,IF(G454="RESTRINGIDO(3)",3,0)))+IF(H454="BAJA(1)",1,IF(H454="MEDIA(2)",2,IF(H454="ALTA(3)",3,0)))+IF(I454="BAJA(1)",1,IF(I454="MEDIA(2)",2,IF(I454="ALTA(3)",3,0)))</f>
        <v/>
      </c>
      <c r="K454">
        <f>IF(J454="", "", IF(J454&gt;=8,"ALTA",IF(J454&gt;=6,"MEDIA","BAJA")))</f>
        <v/>
      </c>
      <c r="L454">
        <f>IF(INVENTARIO!Y454="","",INVENTARIO!Y454)</f>
        <v/>
      </c>
      <c r="M454">
        <f>IF(INVENTARIO!Z454="","",INVENTARIO!Z454)</f>
        <v/>
      </c>
      <c r="N454">
        <f>IF(INVENTARIO!AA454="","",INVENTARIO!AA454)</f>
        <v/>
      </c>
      <c r="O454">
        <f>IF(INVENTARIO!AB454="","",INVENTARIO!AB454)</f>
        <v/>
      </c>
      <c r="P454">
        <f>IF(INVENTARIO!AC454="","",INVENTARIO!AC454)</f>
        <v/>
      </c>
      <c r="Q454">
        <f>IF(AND(K454="",N454="",L454=""),"",IF(AND((K454="ALTA"),OR(LEFT(N454,2)="L0",LEFT(N454,2)="L1",L454="No Iniciado")),"CRÍTICO - Incumplimiento Normativo SEPS",IF(AND(OR(LEFT(N454,2)="L4",LEFT(N454,2)="L5"),AND(P454&lt;&gt;"",P454&lt;&gt;"N/A")),"CONFORME - Control Efectivo ISO 27001","OBSERVACIÓN - Revisar Controles")))</f>
        <v/>
      </c>
    </row>
    <row r="455">
      <c r="A455">
        <f>IF(INVENTARIO!A455="","",INVENTARIO!A455)</f>
        <v/>
      </c>
      <c r="B455">
        <f>IF(INVENTARIO!E455="","",INVENTARIO!E455)</f>
        <v/>
      </c>
      <c r="C455">
        <f>IF(INVENTARIO!F455="","",INVENTARIO!F455)</f>
        <v/>
      </c>
      <c r="D455">
        <f>IF(INVENTARIO!H455="","",INVENTARIO!H455)</f>
        <v/>
      </c>
      <c r="E455">
        <f>IF(INVENTARIO!I455="","",INVENTARIO!I455)</f>
        <v/>
      </c>
      <c r="F455">
        <f>IF(INVENTARIO!N455="","",INVENTARIO!N455)</f>
        <v/>
      </c>
      <c r="G455">
        <f>IF(INVENTARIO!P455="","",INVENTARIO!P455)</f>
        <v/>
      </c>
      <c r="H455">
        <f>IF(INVENTARIO!Q455="","",INVENTARIO!Q455)</f>
        <v/>
      </c>
      <c r="I455">
        <f>IF(INVENTARIO!R455="","",INVENTARIO!R455)</f>
        <v/>
      </c>
      <c r="J455">
        <f>IF(G455="PUBLICA(1)",1,IF(G455="USO INTERNO(2)",2,IF(G455="RESTRINGIDO(3)",3,0)))+IF(H455="BAJA(1)",1,IF(H455="MEDIA(2)",2,IF(H455="ALTA(3)",3,0)))+IF(I455="BAJA(1)",1,IF(I455="MEDIA(2)",2,IF(I455="ALTA(3)",3,0)))</f>
        <v/>
      </c>
      <c r="K455">
        <f>IF(J455="", "", IF(J455&gt;=8,"ALTA",IF(J455&gt;=6,"MEDIA","BAJA")))</f>
        <v/>
      </c>
      <c r="L455">
        <f>IF(INVENTARIO!Y455="","",INVENTARIO!Y455)</f>
        <v/>
      </c>
      <c r="M455">
        <f>IF(INVENTARIO!Z455="","",INVENTARIO!Z455)</f>
        <v/>
      </c>
      <c r="N455">
        <f>IF(INVENTARIO!AA455="","",INVENTARIO!AA455)</f>
        <v/>
      </c>
      <c r="O455">
        <f>IF(INVENTARIO!AB455="","",INVENTARIO!AB455)</f>
        <v/>
      </c>
      <c r="P455">
        <f>IF(INVENTARIO!AC455="","",INVENTARIO!AC455)</f>
        <v/>
      </c>
      <c r="Q455">
        <f>IF(AND(K455="",N455="",L455=""),"",IF(AND((K455="ALTA"),OR(LEFT(N455,2)="L0",LEFT(N455,2)="L1",L455="No Iniciado")),"CRÍTICO - Incumplimiento Normativo SEPS",IF(AND(OR(LEFT(N455,2)="L4",LEFT(N455,2)="L5"),AND(P455&lt;&gt;"",P455&lt;&gt;"N/A")),"CONFORME - Control Efectivo ISO 27001","OBSERVACIÓN - Revisar Controles")))</f>
        <v/>
      </c>
    </row>
    <row r="456">
      <c r="A456">
        <f>IF(INVENTARIO!A456="","",INVENTARIO!A456)</f>
        <v/>
      </c>
      <c r="B456">
        <f>IF(INVENTARIO!E456="","",INVENTARIO!E456)</f>
        <v/>
      </c>
      <c r="C456">
        <f>IF(INVENTARIO!F456="","",INVENTARIO!F456)</f>
        <v/>
      </c>
      <c r="D456">
        <f>IF(INVENTARIO!H456="","",INVENTARIO!H456)</f>
        <v/>
      </c>
      <c r="E456">
        <f>IF(INVENTARIO!I456="","",INVENTARIO!I456)</f>
        <v/>
      </c>
      <c r="F456">
        <f>IF(INVENTARIO!N456="","",INVENTARIO!N456)</f>
        <v/>
      </c>
      <c r="G456">
        <f>IF(INVENTARIO!P456="","",INVENTARIO!P456)</f>
        <v/>
      </c>
      <c r="H456">
        <f>IF(INVENTARIO!Q456="","",INVENTARIO!Q456)</f>
        <v/>
      </c>
      <c r="I456">
        <f>IF(INVENTARIO!R456="","",INVENTARIO!R456)</f>
        <v/>
      </c>
      <c r="J456">
        <f>IF(G456="PUBLICA(1)",1,IF(G456="USO INTERNO(2)",2,IF(G456="RESTRINGIDO(3)",3,0)))+IF(H456="BAJA(1)",1,IF(H456="MEDIA(2)",2,IF(H456="ALTA(3)",3,0)))+IF(I456="BAJA(1)",1,IF(I456="MEDIA(2)",2,IF(I456="ALTA(3)",3,0)))</f>
        <v/>
      </c>
      <c r="K456">
        <f>IF(J456="", "", IF(J456&gt;=8,"ALTA",IF(J456&gt;=6,"MEDIA","BAJA")))</f>
        <v/>
      </c>
      <c r="L456">
        <f>IF(INVENTARIO!Y456="","",INVENTARIO!Y456)</f>
        <v/>
      </c>
      <c r="M456">
        <f>IF(INVENTARIO!Z456="","",INVENTARIO!Z456)</f>
        <v/>
      </c>
      <c r="N456">
        <f>IF(INVENTARIO!AA456="","",INVENTARIO!AA456)</f>
        <v/>
      </c>
      <c r="O456">
        <f>IF(INVENTARIO!AB456="","",INVENTARIO!AB456)</f>
        <v/>
      </c>
      <c r="P456">
        <f>IF(INVENTARIO!AC456="","",INVENTARIO!AC456)</f>
        <v/>
      </c>
      <c r="Q456">
        <f>IF(AND(K456="",N456="",L456=""),"",IF(AND((K456="ALTA"),OR(LEFT(N456,2)="L0",LEFT(N456,2)="L1",L456="No Iniciado")),"CRÍTICO - Incumplimiento Normativo SEPS",IF(AND(OR(LEFT(N456,2)="L4",LEFT(N456,2)="L5"),AND(P456&lt;&gt;"",P456&lt;&gt;"N/A")),"CONFORME - Control Efectivo ISO 27001","OBSERVACIÓN - Revisar Controles")))</f>
        <v/>
      </c>
    </row>
    <row r="457">
      <c r="A457">
        <f>IF(INVENTARIO!A457="","",INVENTARIO!A457)</f>
        <v/>
      </c>
      <c r="B457">
        <f>IF(INVENTARIO!E457="","",INVENTARIO!E457)</f>
        <v/>
      </c>
      <c r="C457">
        <f>IF(INVENTARIO!F457="","",INVENTARIO!F457)</f>
        <v/>
      </c>
      <c r="D457">
        <f>IF(INVENTARIO!H457="","",INVENTARIO!H457)</f>
        <v/>
      </c>
      <c r="E457">
        <f>IF(INVENTARIO!I457="","",INVENTARIO!I457)</f>
        <v/>
      </c>
      <c r="F457">
        <f>IF(INVENTARIO!N457="","",INVENTARIO!N457)</f>
        <v/>
      </c>
      <c r="G457">
        <f>IF(INVENTARIO!P457="","",INVENTARIO!P457)</f>
        <v/>
      </c>
      <c r="H457">
        <f>IF(INVENTARIO!Q457="","",INVENTARIO!Q457)</f>
        <v/>
      </c>
      <c r="I457">
        <f>IF(INVENTARIO!R457="","",INVENTARIO!R457)</f>
        <v/>
      </c>
      <c r="J457">
        <f>IF(G457="PUBLICA(1)",1,IF(G457="USO INTERNO(2)",2,IF(G457="RESTRINGIDO(3)",3,0)))+IF(H457="BAJA(1)",1,IF(H457="MEDIA(2)",2,IF(H457="ALTA(3)",3,0)))+IF(I457="BAJA(1)",1,IF(I457="MEDIA(2)",2,IF(I457="ALTA(3)",3,0)))</f>
        <v/>
      </c>
      <c r="K457">
        <f>IF(J457="", "", IF(J457&gt;=8,"ALTA",IF(J457&gt;=6,"MEDIA","BAJA")))</f>
        <v/>
      </c>
      <c r="L457">
        <f>IF(INVENTARIO!Y457="","",INVENTARIO!Y457)</f>
        <v/>
      </c>
      <c r="M457">
        <f>IF(INVENTARIO!Z457="","",INVENTARIO!Z457)</f>
        <v/>
      </c>
      <c r="N457">
        <f>IF(INVENTARIO!AA457="","",INVENTARIO!AA457)</f>
        <v/>
      </c>
      <c r="O457">
        <f>IF(INVENTARIO!AB457="","",INVENTARIO!AB457)</f>
        <v/>
      </c>
      <c r="P457">
        <f>IF(INVENTARIO!AC457="","",INVENTARIO!AC457)</f>
        <v/>
      </c>
      <c r="Q457">
        <f>IF(AND(K457="",N457="",L457=""),"",IF(AND((K457="ALTA"),OR(LEFT(N457,2)="L0",LEFT(N457,2)="L1",L457="No Iniciado")),"CRÍTICO - Incumplimiento Normativo SEPS",IF(AND(OR(LEFT(N457,2)="L4",LEFT(N457,2)="L5"),AND(P457&lt;&gt;"",P457&lt;&gt;"N/A")),"CONFORME - Control Efectivo ISO 27001","OBSERVACIÓN - Revisar Controles")))</f>
        <v/>
      </c>
    </row>
    <row r="458">
      <c r="A458">
        <f>IF(INVENTARIO!A458="","",INVENTARIO!A458)</f>
        <v/>
      </c>
      <c r="B458">
        <f>IF(INVENTARIO!E458="","",INVENTARIO!E458)</f>
        <v/>
      </c>
      <c r="C458">
        <f>IF(INVENTARIO!F458="","",INVENTARIO!F458)</f>
        <v/>
      </c>
      <c r="D458">
        <f>IF(INVENTARIO!H458="","",INVENTARIO!H458)</f>
        <v/>
      </c>
      <c r="E458">
        <f>IF(INVENTARIO!I458="","",INVENTARIO!I458)</f>
        <v/>
      </c>
      <c r="F458">
        <f>IF(INVENTARIO!N458="","",INVENTARIO!N458)</f>
        <v/>
      </c>
      <c r="G458">
        <f>IF(INVENTARIO!P458="","",INVENTARIO!P458)</f>
        <v/>
      </c>
      <c r="H458">
        <f>IF(INVENTARIO!Q458="","",INVENTARIO!Q458)</f>
        <v/>
      </c>
      <c r="I458">
        <f>IF(INVENTARIO!R458="","",INVENTARIO!R458)</f>
        <v/>
      </c>
      <c r="J458">
        <f>IF(G458="PUBLICA(1)",1,IF(G458="USO INTERNO(2)",2,IF(G458="RESTRINGIDO(3)",3,0)))+IF(H458="BAJA(1)",1,IF(H458="MEDIA(2)",2,IF(H458="ALTA(3)",3,0)))+IF(I458="BAJA(1)",1,IF(I458="MEDIA(2)",2,IF(I458="ALTA(3)",3,0)))</f>
        <v/>
      </c>
      <c r="K458">
        <f>IF(J458="", "", IF(J458&gt;=8,"ALTA",IF(J458&gt;=6,"MEDIA","BAJA")))</f>
        <v/>
      </c>
      <c r="L458">
        <f>IF(INVENTARIO!Y458="","",INVENTARIO!Y458)</f>
        <v/>
      </c>
      <c r="M458">
        <f>IF(INVENTARIO!Z458="","",INVENTARIO!Z458)</f>
        <v/>
      </c>
      <c r="N458">
        <f>IF(INVENTARIO!AA458="","",INVENTARIO!AA458)</f>
        <v/>
      </c>
      <c r="O458">
        <f>IF(INVENTARIO!AB458="","",INVENTARIO!AB458)</f>
        <v/>
      </c>
      <c r="P458">
        <f>IF(INVENTARIO!AC458="","",INVENTARIO!AC458)</f>
        <v/>
      </c>
      <c r="Q458">
        <f>IF(AND(K458="",N458="",L458=""),"",IF(AND((K458="ALTA"),OR(LEFT(N458,2)="L0",LEFT(N458,2)="L1",L458="No Iniciado")),"CRÍTICO - Incumplimiento Normativo SEPS",IF(AND(OR(LEFT(N458,2)="L4",LEFT(N458,2)="L5"),AND(P458&lt;&gt;"",P458&lt;&gt;"N/A")),"CONFORME - Control Efectivo ISO 27001","OBSERVACIÓN - Revisar Controles")))</f>
        <v/>
      </c>
    </row>
    <row r="459">
      <c r="A459">
        <f>IF(INVENTARIO!A459="","",INVENTARIO!A459)</f>
        <v/>
      </c>
      <c r="B459">
        <f>IF(INVENTARIO!E459="","",INVENTARIO!E459)</f>
        <v/>
      </c>
      <c r="C459">
        <f>IF(INVENTARIO!F459="","",INVENTARIO!F459)</f>
        <v/>
      </c>
      <c r="D459">
        <f>IF(INVENTARIO!H459="","",INVENTARIO!H459)</f>
        <v/>
      </c>
      <c r="E459">
        <f>IF(INVENTARIO!I459="","",INVENTARIO!I459)</f>
        <v/>
      </c>
      <c r="F459">
        <f>IF(INVENTARIO!N459="","",INVENTARIO!N459)</f>
        <v/>
      </c>
      <c r="G459">
        <f>IF(INVENTARIO!P459="","",INVENTARIO!P459)</f>
        <v/>
      </c>
      <c r="H459">
        <f>IF(INVENTARIO!Q459="","",INVENTARIO!Q459)</f>
        <v/>
      </c>
      <c r="I459">
        <f>IF(INVENTARIO!R459="","",INVENTARIO!R459)</f>
        <v/>
      </c>
      <c r="J459">
        <f>IF(G459="PUBLICA(1)",1,IF(G459="USO INTERNO(2)",2,IF(G459="RESTRINGIDO(3)",3,0)))+IF(H459="BAJA(1)",1,IF(H459="MEDIA(2)",2,IF(H459="ALTA(3)",3,0)))+IF(I459="BAJA(1)",1,IF(I459="MEDIA(2)",2,IF(I459="ALTA(3)",3,0)))</f>
        <v/>
      </c>
      <c r="K459">
        <f>IF(J459="", "", IF(J459&gt;=8,"ALTA",IF(J459&gt;=6,"MEDIA","BAJA")))</f>
        <v/>
      </c>
      <c r="L459">
        <f>IF(INVENTARIO!Y459="","",INVENTARIO!Y459)</f>
        <v/>
      </c>
      <c r="M459">
        <f>IF(INVENTARIO!Z459="","",INVENTARIO!Z459)</f>
        <v/>
      </c>
      <c r="N459">
        <f>IF(INVENTARIO!AA459="","",INVENTARIO!AA459)</f>
        <v/>
      </c>
      <c r="O459">
        <f>IF(INVENTARIO!AB459="","",INVENTARIO!AB459)</f>
        <v/>
      </c>
      <c r="P459">
        <f>IF(INVENTARIO!AC459="","",INVENTARIO!AC459)</f>
        <v/>
      </c>
      <c r="Q459">
        <f>IF(AND(K459="",N459="",L459=""),"",IF(AND((K459="ALTA"),OR(LEFT(N459,2)="L0",LEFT(N459,2)="L1",L459="No Iniciado")),"CRÍTICO - Incumplimiento Normativo SEPS",IF(AND(OR(LEFT(N459,2)="L4",LEFT(N459,2)="L5"),AND(P459&lt;&gt;"",P459&lt;&gt;"N/A")),"CONFORME - Control Efectivo ISO 27001","OBSERVACIÓN - Revisar Controles")))</f>
        <v/>
      </c>
    </row>
    <row r="460">
      <c r="A460">
        <f>IF(INVENTARIO!A460="","",INVENTARIO!A460)</f>
        <v/>
      </c>
      <c r="B460">
        <f>IF(INVENTARIO!E460="","",INVENTARIO!E460)</f>
        <v/>
      </c>
      <c r="C460">
        <f>IF(INVENTARIO!F460="","",INVENTARIO!F460)</f>
        <v/>
      </c>
      <c r="D460">
        <f>IF(INVENTARIO!H460="","",INVENTARIO!H460)</f>
        <v/>
      </c>
      <c r="E460">
        <f>IF(INVENTARIO!I460="","",INVENTARIO!I460)</f>
        <v/>
      </c>
      <c r="F460">
        <f>IF(INVENTARIO!N460="","",INVENTARIO!N460)</f>
        <v/>
      </c>
      <c r="G460">
        <f>IF(INVENTARIO!P460="","",INVENTARIO!P460)</f>
        <v/>
      </c>
      <c r="H460">
        <f>IF(INVENTARIO!Q460="","",INVENTARIO!Q460)</f>
        <v/>
      </c>
      <c r="I460">
        <f>IF(INVENTARIO!R460="","",INVENTARIO!R460)</f>
        <v/>
      </c>
      <c r="J460">
        <f>IF(G460="PUBLICA(1)",1,IF(G460="USO INTERNO(2)",2,IF(G460="RESTRINGIDO(3)",3,0)))+IF(H460="BAJA(1)",1,IF(H460="MEDIA(2)",2,IF(H460="ALTA(3)",3,0)))+IF(I460="BAJA(1)",1,IF(I460="MEDIA(2)",2,IF(I460="ALTA(3)",3,0)))</f>
        <v/>
      </c>
      <c r="K460">
        <f>IF(J460="", "", IF(J460&gt;=8,"ALTA",IF(J460&gt;=6,"MEDIA","BAJA")))</f>
        <v/>
      </c>
      <c r="L460">
        <f>IF(INVENTARIO!Y460="","",INVENTARIO!Y460)</f>
        <v/>
      </c>
      <c r="M460">
        <f>IF(INVENTARIO!Z460="","",INVENTARIO!Z460)</f>
        <v/>
      </c>
      <c r="N460">
        <f>IF(INVENTARIO!AA460="","",INVENTARIO!AA460)</f>
        <v/>
      </c>
      <c r="O460">
        <f>IF(INVENTARIO!AB460="","",INVENTARIO!AB460)</f>
        <v/>
      </c>
      <c r="P460">
        <f>IF(INVENTARIO!AC460="","",INVENTARIO!AC460)</f>
        <v/>
      </c>
      <c r="Q460">
        <f>IF(AND(K460="",N460="",L460=""),"",IF(AND((K460="ALTA"),OR(LEFT(N460,2)="L0",LEFT(N460,2)="L1",L460="No Iniciado")),"CRÍTICO - Incumplimiento Normativo SEPS",IF(AND(OR(LEFT(N460,2)="L4",LEFT(N460,2)="L5"),AND(P460&lt;&gt;"",P460&lt;&gt;"N/A")),"CONFORME - Control Efectivo ISO 27001","OBSERVACIÓN - Revisar Controles")))</f>
        <v/>
      </c>
    </row>
    <row r="461">
      <c r="A461">
        <f>IF(INVENTARIO!A461="","",INVENTARIO!A461)</f>
        <v/>
      </c>
      <c r="B461">
        <f>IF(INVENTARIO!E461="","",INVENTARIO!E461)</f>
        <v/>
      </c>
      <c r="C461">
        <f>IF(INVENTARIO!F461="","",INVENTARIO!F461)</f>
        <v/>
      </c>
      <c r="D461">
        <f>IF(INVENTARIO!H461="","",INVENTARIO!H461)</f>
        <v/>
      </c>
      <c r="E461">
        <f>IF(INVENTARIO!I461="","",INVENTARIO!I461)</f>
        <v/>
      </c>
      <c r="F461">
        <f>IF(INVENTARIO!N461="","",INVENTARIO!N461)</f>
        <v/>
      </c>
      <c r="G461">
        <f>IF(INVENTARIO!P461="","",INVENTARIO!P461)</f>
        <v/>
      </c>
      <c r="H461">
        <f>IF(INVENTARIO!Q461="","",INVENTARIO!Q461)</f>
        <v/>
      </c>
      <c r="I461">
        <f>IF(INVENTARIO!R461="","",INVENTARIO!R461)</f>
        <v/>
      </c>
      <c r="J461">
        <f>IF(G461="PUBLICA(1)",1,IF(G461="USO INTERNO(2)",2,IF(G461="RESTRINGIDO(3)",3,0)))+IF(H461="BAJA(1)",1,IF(H461="MEDIA(2)",2,IF(H461="ALTA(3)",3,0)))+IF(I461="BAJA(1)",1,IF(I461="MEDIA(2)",2,IF(I461="ALTA(3)",3,0)))</f>
        <v/>
      </c>
      <c r="K461">
        <f>IF(J461="", "", IF(J461&gt;=8,"ALTA",IF(J461&gt;=6,"MEDIA","BAJA")))</f>
        <v/>
      </c>
      <c r="L461">
        <f>IF(INVENTARIO!Y461="","",INVENTARIO!Y461)</f>
        <v/>
      </c>
      <c r="M461">
        <f>IF(INVENTARIO!Z461="","",INVENTARIO!Z461)</f>
        <v/>
      </c>
      <c r="N461">
        <f>IF(INVENTARIO!AA461="","",INVENTARIO!AA461)</f>
        <v/>
      </c>
      <c r="O461">
        <f>IF(INVENTARIO!AB461="","",INVENTARIO!AB461)</f>
        <v/>
      </c>
      <c r="P461">
        <f>IF(INVENTARIO!AC461="","",INVENTARIO!AC461)</f>
        <v/>
      </c>
      <c r="Q461">
        <f>IF(AND(K461="",N461="",L461=""),"",IF(AND((K461="ALTA"),OR(LEFT(N461,2)="L0",LEFT(N461,2)="L1",L461="No Iniciado")),"CRÍTICO - Incumplimiento Normativo SEPS",IF(AND(OR(LEFT(N461,2)="L4",LEFT(N461,2)="L5"),AND(P461&lt;&gt;"",P461&lt;&gt;"N/A")),"CONFORME - Control Efectivo ISO 27001","OBSERVACIÓN - Revisar Controles")))</f>
        <v/>
      </c>
    </row>
    <row r="462">
      <c r="A462">
        <f>IF(INVENTARIO!A462="","",INVENTARIO!A462)</f>
        <v/>
      </c>
      <c r="B462">
        <f>IF(INVENTARIO!E462="","",INVENTARIO!E462)</f>
        <v/>
      </c>
      <c r="C462">
        <f>IF(INVENTARIO!F462="","",INVENTARIO!F462)</f>
        <v/>
      </c>
      <c r="D462">
        <f>IF(INVENTARIO!H462="","",INVENTARIO!H462)</f>
        <v/>
      </c>
      <c r="E462">
        <f>IF(INVENTARIO!I462="","",INVENTARIO!I462)</f>
        <v/>
      </c>
      <c r="F462">
        <f>IF(INVENTARIO!N462="","",INVENTARIO!N462)</f>
        <v/>
      </c>
      <c r="G462">
        <f>IF(INVENTARIO!P462="","",INVENTARIO!P462)</f>
        <v/>
      </c>
      <c r="H462">
        <f>IF(INVENTARIO!Q462="","",INVENTARIO!Q462)</f>
        <v/>
      </c>
      <c r="I462">
        <f>IF(INVENTARIO!R462="","",INVENTARIO!R462)</f>
        <v/>
      </c>
      <c r="J462">
        <f>IF(G462="PUBLICA(1)",1,IF(G462="USO INTERNO(2)",2,IF(G462="RESTRINGIDO(3)",3,0)))+IF(H462="BAJA(1)",1,IF(H462="MEDIA(2)",2,IF(H462="ALTA(3)",3,0)))+IF(I462="BAJA(1)",1,IF(I462="MEDIA(2)",2,IF(I462="ALTA(3)",3,0)))</f>
        <v/>
      </c>
      <c r="K462">
        <f>IF(J462="", "", IF(J462&gt;=8,"ALTA",IF(J462&gt;=6,"MEDIA","BAJA")))</f>
        <v/>
      </c>
      <c r="L462">
        <f>IF(INVENTARIO!Y462="","",INVENTARIO!Y462)</f>
        <v/>
      </c>
      <c r="M462">
        <f>IF(INVENTARIO!Z462="","",INVENTARIO!Z462)</f>
        <v/>
      </c>
      <c r="N462">
        <f>IF(INVENTARIO!AA462="","",INVENTARIO!AA462)</f>
        <v/>
      </c>
      <c r="O462">
        <f>IF(INVENTARIO!AB462="","",INVENTARIO!AB462)</f>
        <v/>
      </c>
      <c r="P462">
        <f>IF(INVENTARIO!AC462="","",INVENTARIO!AC462)</f>
        <v/>
      </c>
      <c r="Q462">
        <f>IF(AND(K462="",N462="",L462=""),"",IF(AND((K462="ALTA"),OR(LEFT(N462,2)="L0",LEFT(N462,2)="L1",L462="No Iniciado")),"CRÍTICO - Incumplimiento Normativo SEPS",IF(AND(OR(LEFT(N462,2)="L4",LEFT(N462,2)="L5"),AND(P462&lt;&gt;"",P462&lt;&gt;"N/A")),"CONFORME - Control Efectivo ISO 27001","OBSERVACIÓN - Revisar Controles")))</f>
        <v/>
      </c>
    </row>
    <row r="463">
      <c r="A463">
        <f>IF(INVENTARIO!A463="","",INVENTARIO!A463)</f>
        <v/>
      </c>
      <c r="B463">
        <f>IF(INVENTARIO!E463="","",INVENTARIO!E463)</f>
        <v/>
      </c>
      <c r="C463">
        <f>IF(INVENTARIO!F463="","",INVENTARIO!F463)</f>
        <v/>
      </c>
      <c r="D463">
        <f>IF(INVENTARIO!H463="","",INVENTARIO!H463)</f>
        <v/>
      </c>
      <c r="E463">
        <f>IF(INVENTARIO!I463="","",INVENTARIO!I463)</f>
        <v/>
      </c>
      <c r="F463">
        <f>IF(INVENTARIO!N463="","",INVENTARIO!N463)</f>
        <v/>
      </c>
      <c r="G463">
        <f>IF(INVENTARIO!P463="","",INVENTARIO!P463)</f>
        <v/>
      </c>
      <c r="H463">
        <f>IF(INVENTARIO!Q463="","",INVENTARIO!Q463)</f>
        <v/>
      </c>
      <c r="I463">
        <f>IF(INVENTARIO!R463="","",INVENTARIO!R463)</f>
        <v/>
      </c>
      <c r="J463">
        <f>IF(G463="PUBLICA(1)",1,IF(G463="USO INTERNO(2)",2,IF(G463="RESTRINGIDO(3)",3,0)))+IF(H463="BAJA(1)",1,IF(H463="MEDIA(2)",2,IF(H463="ALTA(3)",3,0)))+IF(I463="BAJA(1)",1,IF(I463="MEDIA(2)",2,IF(I463="ALTA(3)",3,0)))</f>
        <v/>
      </c>
      <c r="K463">
        <f>IF(J463="", "", IF(J463&gt;=8,"ALTA",IF(J463&gt;=6,"MEDIA","BAJA")))</f>
        <v/>
      </c>
      <c r="L463">
        <f>IF(INVENTARIO!Y463="","",INVENTARIO!Y463)</f>
        <v/>
      </c>
      <c r="M463">
        <f>IF(INVENTARIO!Z463="","",INVENTARIO!Z463)</f>
        <v/>
      </c>
      <c r="N463">
        <f>IF(INVENTARIO!AA463="","",INVENTARIO!AA463)</f>
        <v/>
      </c>
      <c r="O463">
        <f>IF(INVENTARIO!AB463="","",INVENTARIO!AB463)</f>
        <v/>
      </c>
      <c r="P463">
        <f>IF(INVENTARIO!AC463="","",INVENTARIO!AC463)</f>
        <v/>
      </c>
      <c r="Q463">
        <f>IF(AND(K463="",N463="",L463=""),"",IF(AND((K463="ALTA"),OR(LEFT(N463,2)="L0",LEFT(N463,2)="L1",L463="No Iniciado")),"CRÍTICO - Incumplimiento Normativo SEPS",IF(AND(OR(LEFT(N463,2)="L4",LEFT(N463,2)="L5"),AND(P463&lt;&gt;"",P463&lt;&gt;"N/A")),"CONFORME - Control Efectivo ISO 27001","OBSERVACIÓN - Revisar Controles")))</f>
        <v/>
      </c>
    </row>
    <row r="464">
      <c r="A464">
        <f>IF(INVENTARIO!A464="","",INVENTARIO!A464)</f>
        <v/>
      </c>
      <c r="B464">
        <f>IF(INVENTARIO!E464="","",INVENTARIO!E464)</f>
        <v/>
      </c>
      <c r="C464">
        <f>IF(INVENTARIO!F464="","",INVENTARIO!F464)</f>
        <v/>
      </c>
      <c r="D464">
        <f>IF(INVENTARIO!H464="","",INVENTARIO!H464)</f>
        <v/>
      </c>
      <c r="E464">
        <f>IF(INVENTARIO!I464="","",INVENTARIO!I464)</f>
        <v/>
      </c>
      <c r="F464">
        <f>IF(INVENTARIO!N464="","",INVENTARIO!N464)</f>
        <v/>
      </c>
      <c r="G464">
        <f>IF(INVENTARIO!P464="","",INVENTARIO!P464)</f>
        <v/>
      </c>
      <c r="H464">
        <f>IF(INVENTARIO!Q464="","",INVENTARIO!Q464)</f>
        <v/>
      </c>
      <c r="I464">
        <f>IF(INVENTARIO!R464="","",INVENTARIO!R464)</f>
        <v/>
      </c>
      <c r="J464">
        <f>IF(G464="PUBLICA(1)",1,IF(G464="USO INTERNO(2)",2,IF(G464="RESTRINGIDO(3)",3,0)))+IF(H464="BAJA(1)",1,IF(H464="MEDIA(2)",2,IF(H464="ALTA(3)",3,0)))+IF(I464="BAJA(1)",1,IF(I464="MEDIA(2)",2,IF(I464="ALTA(3)",3,0)))</f>
        <v/>
      </c>
      <c r="K464">
        <f>IF(J464="", "", IF(J464&gt;=8,"ALTA",IF(J464&gt;=6,"MEDIA","BAJA")))</f>
        <v/>
      </c>
      <c r="L464">
        <f>IF(INVENTARIO!Y464="","",INVENTARIO!Y464)</f>
        <v/>
      </c>
      <c r="M464">
        <f>IF(INVENTARIO!Z464="","",INVENTARIO!Z464)</f>
        <v/>
      </c>
      <c r="N464">
        <f>IF(INVENTARIO!AA464="","",INVENTARIO!AA464)</f>
        <v/>
      </c>
      <c r="O464">
        <f>IF(INVENTARIO!AB464="","",INVENTARIO!AB464)</f>
        <v/>
      </c>
      <c r="P464">
        <f>IF(INVENTARIO!AC464="","",INVENTARIO!AC464)</f>
        <v/>
      </c>
      <c r="Q464">
        <f>IF(AND(K464="",N464="",L464=""),"",IF(AND((K464="ALTA"),OR(LEFT(N464,2)="L0",LEFT(N464,2)="L1",L464="No Iniciado")),"CRÍTICO - Incumplimiento Normativo SEPS",IF(AND(OR(LEFT(N464,2)="L4",LEFT(N464,2)="L5"),AND(P464&lt;&gt;"",P464&lt;&gt;"N/A")),"CONFORME - Control Efectivo ISO 27001","OBSERVACIÓN - Revisar Controles")))</f>
        <v/>
      </c>
    </row>
    <row r="465">
      <c r="A465">
        <f>IF(INVENTARIO!A465="","",INVENTARIO!A465)</f>
        <v/>
      </c>
      <c r="B465">
        <f>IF(INVENTARIO!E465="","",INVENTARIO!E465)</f>
        <v/>
      </c>
      <c r="C465">
        <f>IF(INVENTARIO!F465="","",INVENTARIO!F465)</f>
        <v/>
      </c>
      <c r="D465">
        <f>IF(INVENTARIO!H465="","",INVENTARIO!H465)</f>
        <v/>
      </c>
      <c r="E465">
        <f>IF(INVENTARIO!I465="","",INVENTARIO!I465)</f>
        <v/>
      </c>
      <c r="F465">
        <f>IF(INVENTARIO!N465="","",INVENTARIO!N465)</f>
        <v/>
      </c>
      <c r="G465">
        <f>IF(INVENTARIO!P465="","",INVENTARIO!P465)</f>
        <v/>
      </c>
      <c r="H465">
        <f>IF(INVENTARIO!Q465="","",INVENTARIO!Q465)</f>
        <v/>
      </c>
      <c r="I465">
        <f>IF(INVENTARIO!R465="","",INVENTARIO!R465)</f>
        <v/>
      </c>
      <c r="J465">
        <f>IF(G465="PUBLICA(1)",1,IF(G465="USO INTERNO(2)",2,IF(G465="RESTRINGIDO(3)",3,0)))+IF(H465="BAJA(1)",1,IF(H465="MEDIA(2)",2,IF(H465="ALTA(3)",3,0)))+IF(I465="BAJA(1)",1,IF(I465="MEDIA(2)",2,IF(I465="ALTA(3)",3,0)))</f>
        <v/>
      </c>
      <c r="K465">
        <f>IF(J465="", "", IF(J465&gt;=8,"ALTA",IF(J465&gt;=6,"MEDIA","BAJA")))</f>
        <v/>
      </c>
      <c r="L465">
        <f>IF(INVENTARIO!Y465="","",INVENTARIO!Y465)</f>
        <v/>
      </c>
      <c r="M465">
        <f>IF(INVENTARIO!Z465="","",INVENTARIO!Z465)</f>
        <v/>
      </c>
      <c r="N465">
        <f>IF(INVENTARIO!AA465="","",INVENTARIO!AA465)</f>
        <v/>
      </c>
      <c r="O465">
        <f>IF(INVENTARIO!AB465="","",INVENTARIO!AB465)</f>
        <v/>
      </c>
      <c r="P465">
        <f>IF(INVENTARIO!AC465="","",INVENTARIO!AC465)</f>
        <v/>
      </c>
      <c r="Q465">
        <f>IF(AND(K465="",N465="",L465=""),"",IF(AND((K465="ALTA"),OR(LEFT(N465,2)="L0",LEFT(N465,2)="L1",L465="No Iniciado")),"CRÍTICO - Incumplimiento Normativo SEPS",IF(AND(OR(LEFT(N465,2)="L4",LEFT(N465,2)="L5"),AND(P465&lt;&gt;"",P465&lt;&gt;"N/A")),"CONFORME - Control Efectivo ISO 27001","OBSERVACIÓN - Revisar Controles")))</f>
        <v/>
      </c>
    </row>
    <row r="466">
      <c r="A466">
        <f>IF(INVENTARIO!A466="","",INVENTARIO!A466)</f>
        <v/>
      </c>
      <c r="B466">
        <f>IF(INVENTARIO!E466="","",INVENTARIO!E466)</f>
        <v/>
      </c>
      <c r="C466">
        <f>IF(INVENTARIO!F466="","",INVENTARIO!F466)</f>
        <v/>
      </c>
      <c r="D466">
        <f>IF(INVENTARIO!H466="","",INVENTARIO!H466)</f>
        <v/>
      </c>
      <c r="E466">
        <f>IF(INVENTARIO!I466="","",INVENTARIO!I466)</f>
        <v/>
      </c>
      <c r="F466">
        <f>IF(INVENTARIO!N466="","",INVENTARIO!N466)</f>
        <v/>
      </c>
      <c r="G466">
        <f>IF(INVENTARIO!P466="","",INVENTARIO!P466)</f>
        <v/>
      </c>
      <c r="H466">
        <f>IF(INVENTARIO!Q466="","",INVENTARIO!Q466)</f>
        <v/>
      </c>
      <c r="I466">
        <f>IF(INVENTARIO!R466="","",INVENTARIO!R466)</f>
        <v/>
      </c>
      <c r="J466">
        <f>IF(G466="PUBLICA(1)",1,IF(G466="USO INTERNO(2)",2,IF(G466="RESTRINGIDO(3)",3,0)))+IF(H466="BAJA(1)",1,IF(H466="MEDIA(2)",2,IF(H466="ALTA(3)",3,0)))+IF(I466="BAJA(1)",1,IF(I466="MEDIA(2)",2,IF(I466="ALTA(3)",3,0)))</f>
        <v/>
      </c>
      <c r="K466">
        <f>IF(J466="", "", IF(J466&gt;=8,"ALTA",IF(J466&gt;=6,"MEDIA","BAJA")))</f>
        <v/>
      </c>
      <c r="L466">
        <f>IF(INVENTARIO!Y466="","",INVENTARIO!Y466)</f>
        <v/>
      </c>
      <c r="M466">
        <f>IF(INVENTARIO!Z466="","",INVENTARIO!Z466)</f>
        <v/>
      </c>
      <c r="N466">
        <f>IF(INVENTARIO!AA466="","",INVENTARIO!AA466)</f>
        <v/>
      </c>
      <c r="O466">
        <f>IF(INVENTARIO!AB466="","",INVENTARIO!AB466)</f>
        <v/>
      </c>
      <c r="P466">
        <f>IF(INVENTARIO!AC466="","",INVENTARIO!AC466)</f>
        <v/>
      </c>
      <c r="Q466">
        <f>IF(AND(K466="",N466="",L466=""),"",IF(AND((K466="ALTA"),OR(LEFT(N466,2)="L0",LEFT(N466,2)="L1",L466="No Iniciado")),"CRÍTICO - Incumplimiento Normativo SEPS",IF(AND(OR(LEFT(N466,2)="L4",LEFT(N466,2)="L5"),AND(P466&lt;&gt;"",P466&lt;&gt;"N/A")),"CONFORME - Control Efectivo ISO 27001","OBSERVACIÓN - Revisar Controles")))</f>
        <v/>
      </c>
    </row>
    <row r="467">
      <c r="A467">
        <f>IF(INVENTARIO!A467="","",INVENTARIO!A467)</f>
        <v/>
      </c>
      <c r="B467">
        <f>IF(INVENTARIO!E467="","",INVENTARIO!E467)</f>
        <v/>
      </c>
      <c r="C467">
        <f>IF(INVENTARIO!F467="","",INVENTARIO!F467)</f>
        <v/>
      </c>
      <c r="D467">
        <f>IF(INVENTARIO!H467="","",INVENTARIO!H467)</f>
        <v/>
      </c>
      <c r="E467">
        <f>IF(INVENTARIO!I467="","",INVENTARIO!I467)</f>
        <v/>
      </c>
      <c r="F467">
        <f>IF(INVENTARIO!N467="","",INVENTARIO!N467)</f>
        <v/>
      </c>
      <c r="G467">
        <f>IF(INVENTARIO!P467="","",INVENTARIO!P467)</f>
        <v/>
      </c>
      <c r="H467">
        <f>IF(INVENTARIO!Q467="","",INVENTARIO!Q467)</f>
        <v/>
      </c>
      <c r="I467">
        <f>IF(INVENTARIO!R467="","",INVENTARIO!R467)</f>
        <v/>
      </c>
      <c r="J467">
        <f>IF(G467="PUBLICA(1)",1,IF(G467="USO INTERNO(2)",2,IF(G467="RESTRINGIDO(3)",3,0)))+IF(H467="BAJA(1)",1,IF(H467="MEDIA(2)",2,IF(H467="ALTA(3)",3,0)))+IF(I467="BAJA(1)",1,IF(I467="MEDIA(2)",2,IF(I467="ALTA(3)",3,0)))</f>
        <v/>
      </c>
      <c r="K467">
        <f>IF(J467="", "", IF(J467&gt;=8,"ALTA",IF(J467&gt;=6,"MEDIA","BAJA")))</f>
        <v/>
      </c>
      <c r="L467">
        <f>IF(INVENTARIO!Y467="","",INVENTARIO!Y467)</f>
        <v/>
      </c>
      <c r="M467">
        <f>IF(INVENTARIO!Z467="","",INVENTARIO!Z467)</f>
        <v/>
      </c>
      <c r="N467">
        <f>IF(INVENTARIO!AA467="","",INVENTARIO!AA467)</f>
        <v/>
      </c>
      <c r="O467">
        <f>IF(INVENTARIO!AB467="","",INVENTARIO!AB467)</f>
        <v/>
      </c>
      <c r="P467">
        <f>IF(INVENTARIO!AC467="","",INVENTARIO!AC467)</f>
        <v/>
      </c>
      <c r="Q467">
        <f>IF(AND(K467="",N467="",L467=""),"",IF(AND((K467="ALTA"),OR(LEFT(N467,2)="L0",LEFT(N467,2)="L1",L467="No Iniciado")),"CRÍTICO - Incumplimiento Normativo SEPS",IF(AND(OR(LEFT(N467,2)="L4",LEFT(N467,2)="L5"),AND(P467&lt;&gt;"",P467&lt;&gt;"N/A")),"CONFORME - Control Efectivo ISO 27001","OBSERVACIÓN - Revisar Controles")))</f>
        <v/>
      </c>
    </row>
    <row r="468">
      <c r="A468">
        <f>IF(INVENTARIO!A468="","",INVENTARIO!A468)</f>
        <v/>
      </c>
      <c r="B468">
        <f>IF(INVENTARIO!E468="","",INVENTARIO!E468)</f>
        <v/>
      </c>
      <c r="C468">
        <f>IF(INVENTARIO!F468="","",INVENTARIO!F468)</f>
        <v/>
      </c>
      <c r="D468">
        <f>IF(INVENTARIO!H468="","",INVENTARIO!H468)</f>
        <v/>
      </c>
      <c r="E468">
        <f>IF(INVENTARIO!I468="","",INVENTARIO!I468)</f>
        <v/>
      </c>
      <c r="F468">
        <f>IF(INVENTARIO!N468="","",INVENTARIO!N468)</f>
        <v/>
      </c>
      <c r="G468">
        <f>IF(INVENTARIO!P468="","",INVENTARIO!P468)</f>
        <v/>
      </c>
      <c r="H468">
        <f>IF(INVENTARIO!Q468="","",INVENTARIO!Q468)</f>
        <v/>
      </c>
      <c r="I468">
        <f>IF(INVENTARIO!R468="","",INVENTARIO!R468)</f>
        <v/>
      </c>
      <c r="J468">
        <f>IF(G468="PUBLICA(1)",1,IF(G468="USO INTERNO(2)",2,IF(G468="RESTRINGIDO(3)",3,0)))+IF(H468="BAJA(1)",1,IF(H468="MEDIA(2)",2,IF(H468="ALTA(3)",3,0)))+IF(I468="BAJA(1)",1,IF(I468="MEDIA(2)",2,IF(I468="ALTA(3)",3,0)))</f>
        <v/>
      </c>
      <c r="K468">
        <f>IF(J468="", "", IF(J468&gt;=8,"ALTA",IF(J468&gt;=6,"MEDIA","BAJA")))</f>
        <v/>
      </c>
      <c r="L468">
        <f>IF(INVENTARIO!Y468="","",INVENTARIO!Y468)</f>
        <v/>
      </c>
      <c r="M468">
        <f>IF(INVENTARIO!Z468="","",INVENTARIO!Z468)</f>
        <v/>
      </c>
      <c r="N468">
        <f>IF(INVENTARIO!AA468="","",INVENTARIO!AA468)</f>
        <v/>
      </c>
      <c r="O468">
        <f>IF(INVENTARIO!AB468="","",INVENTARIO!AB468)</f>
        <v/>
      </c>
      <c r="P468">
        <f>IF(INVENTARIO!AC468="","",INVENTARIO!AC468)</f>
        <v/>
      </c>
      <c r="Q468">
        <f>IF(AND(K468="",N468="",L468=""),"",IF(AND((K468="ALTA"),OR(LEFT(N468,2)="L0",LEFT(N468,2)="L1",L468="No Iniciado")),"CRÍTICO - Incumplimiento Normativo SEPS",IF(AND(OR(LEFT(N468,2)="L4",LEFT(N468,2)="L5"),AND(P468&lt;&gt;"",P468&lt;&gt;"N/A")),"CONFORME - Control Efectivo ISO 27001","OBSERVACIÓN - Revisar Controles")))</f>
        <v/>
      </c>
    </row>
    <row r="469">
      <c r="A469">
        <f>IF(INVENTARIO!A469="","",INVENTARIO!A469)</f>
        <v/>
      </c>
      <c r="B469">
        <f>IF(INVENTARIO!E469="","",INVENTARIO!E469)</f>
        <v/>
      </c>
      <c r="C469">
        <f>IF(INVENTARIO!F469="","",INVENTARIO!F469)</f>
        <v/>
      </c>
      <c r="D469">
        <f>IF(INVENTARIO!H469="","",INVENTARIO!H469)</f>
        <v/>
      </c>
      <c r="E469">
        <f>IF(INVENTARIO!I469="","",INVENTARIO!I469)</f>
        <v/>
      </c>
      <c r="F469">
        <f>IF(INVENTARIO!N469="","",INVENTARIO!N469)</f>
        <v/>
      </c>
      <c r="G469">
        <f>IF(INVENTARIO!P469="","",INVENTARIO!P469)</f>
        <v/>
      </c>
      <c r="H469">
        <f>IF(INVENTARIO!Q469="","",INVENTARIO!Q469)</f>
        <v/>
      </c>
      <c r="I469">
        <f>IF(INVENTARIO!R469="","",INVENTARIO!R469)</f>
        <v/>
      </c>
      <c r="J469">
        <f>IF(G469="PUBLICA(1)",1,IF(G469="USO INTERNO(2)",2,IF(G469="RESTRINGIDO(3)",3,0)))+IF(H469="BAJA(1)",1,IF(H469="MEDIA(2)",2,IF(H469="ALTA(3)",3,0)))+IF(I469="BAJA(1)",1,IF(I469="MEDIA(2)",2,IF(I469="ALTA(3)",3,0)))</f>
        <v/>
      </c>
      <c r="K469">
        <f>IF(J469="", "", IF(J469&gt;=8,"ALTA",IF(J469&gt;=6,"MEDIA","BAJA")))</f>
        <v/>
      </c>
      <c r="L469">
        <f>IF(INVENTARIO!Y469="","",INVENTARIO!Y469)</f>
        <v/>
      </c>
      <c r="M469">
        <f>IF(INVENTARIO!Z469="","",INVENTARIO!Z469)</f>
        <v/>
      </c>
      <c r="N469">
        <f>IF(INVENTARIO!AA469="","",INVENTARIO!AA469)</f>
        <v/>
      </c>
      <c r="O469">
        <f>IF(INVENTARIO!AB469="","",INVENTARIO!AB469)</f>
        <v/>
      </c>
      <c r="P469">
        <f>IF(INVENTARIO!AC469="","",INVENTARIO!AC469)</f>
        <v/>
      </c>
      <c r="Q469">
        <f>IF(AND(K469="",N469="",L469=""),"",IF(AND((K469="ALTA"),OR(LEFT(N469,2)="L0",LEFT(N469,2)="L1",L469="No Iniciado")),"CRÍTICO - Incumplimiento Normativo SEPS",IF(AND(OR(LEFT(N469,2)="L4",LEFT(N469,2)="L5"),AND(P469&lt;&gt;"",P469&lt;&gt;"N/A")),"CONFORME - Control Efectivo ISO 27001","OBSERVACIÓN - Revisar Controles")))</f>
        <v/>
      </c>
    </row>
    <row r="470">
      <c r="A470">
        <f>IF(INVENTARIO!A470="","",INVENTARIO!A470)</f>
        <v/>
      </c>
      <c r="B470">
        <f>IF(INVENTARIO!E470="","",INVENTARIO!E470)</f>
        <v/>
      </c>
      <c r="C470">
        <f>IF(INVENTARIO!F470="","",INVENTARIO!F470)</f>
        <v/>
      </c>
      <c r="D470">
        <f>IF(INVENTARIO!H470="","",INVENTARIO!H470)</f>
        <v/>
      </c>
      <c r="E470">
        <f>IF(INVENTARIO!I470="","",INVENTARIO!I470)</f>
        <v/>
      </c>
      <c r="F470">
        <f>IF(INVENTARIO!N470="","",INVENTARIO!N470)</f>
        <v/>
      </c>
      <c r="G470">
        <f>IF(INVENTARIO!P470="","",INVENTARIO!P470)</f>
        <v/>
      </c>
      <c r="H470">
        <f>IF(INVENTARIO!Q470="","",INVENTARIO!Q470)</f>
        <v/>
      </c>
      <c r="I470">
        <f>IF(INVENTARIO!R470="","",INVENTARIO!R470)</f>
        <v/>
      </c>
      <c r="J470">
        <f>IF(G470="PUBLICA(1)",1,IF(G470="USO INTERNO(2)",2,IF(G470="RESTRINGIDO(3)",3,0)))+IF(H470="BAJA(1)",1,IF(H470="MEDIA(2)",2,IF(H470="ALTA(3)",3,0)))+IF(I470="BAJA(1)",1,IF(I470="MEDIA(2)",2,IF(I470="ALTA(3)",3,0)))</f>
        <v/>
      </c>
      <c r="K470">
        <f>IF(J470="", "", IF(J470&gt;=8,"ALTA",IF(J470&gt;=6,"MEDIA","BAJA")))</f>
        <v/>
      </c>
      <c r="L470">
        <f>IF(INVENTARIO!Y470="","",INVENTARIO!Y470)</f>
        <v/>
      </c>
      <c r="M470">
        <f>IF(INVENTARIO!Z470="","",INVENTARIO!Z470)</f>
        <v/>
      </c>
      <c r="N470">
        <f>IF(INVENTARIO!AA470="","",INVENTARIO!AA470)</f>
        <v/>
      </c>
      <c r="O470">
        <f>IF(INVENTARIO!AB470="","",INVENTARIO!AB470)</f>
        <v/>
      </c>
      <c r="P470">
        <f>IF(INVENTARIO!AC470="","",INVENTARIO!AC470)</f>
        <v/>
      </c>
      <c r="Q470">
        <f>IF(AND(K470="",N470="",L470=""),"",IF(AND((K470="ALTA"),OR(LEFT(N470,2)="L0",LEFT(N470,2)="L1",L470="No Iniciado")),"CRÍTICO - Incumplimiento Normativo SEPS",IF(AND(OR(LEFT(N470,2)="L4",LEFT(N470,2)="L5"),AND(P470&lt;&gt;"",P470&lt;&gt;"N/A")),"CONFORME - Control Efectivo ISO 27001","OBSERVACIÓN - Revisar Controles")))</f>
        <v/>
      </c>
    </row>
    <row r="471">
      <c r="A471">
        <f>IF(INVENTARIO!A471="","",INVENTARIO!A471)</f>
        <v/>
      </c>
      <c r="B471">
        <f>IF(INVENTARIO!E471="","",INVENTARIO!E471)</f>
        <v/>
      </c>
      <c r="C471">
        <f>IF(INVENTARIO!F471="","",INVENTARIO!F471)</f>
        <v/>
      </c>
      <c r="D471">
        <f>IF(INVENTARIO!H471="","",INVENTARIO!H471)</f>
        <v/>
      </c>
      <c r="E471">
        <f>IF(INVENTARIO!I471="","",INVENTARIO!I471)</f>
        <v/>
      </c>
      <c r="F471">
        <f>IF(INVENTARIO!N471="","",INVENTARIO!N471)</f>
        <v/>
      </c>
      <c r="G471">
        <f>IF(INVENTARIO!P471="","",INVENTARIO!P471)</f>
        <v/>
      </c>
      <c r="H471">
        <f>IF(INVENTARIO!Q471="","",INVENTARIO!Q471)</f>
        <v/>
      </c>
      <c r="I471">
        <f>IF(INVENTARIO!R471="","",INVENTARIO!R471)</f>
        <v/>
      </c>
      <c r="J471">
        <f>IF(G471="PUBLICA(1)",1,IF(G471="USO INTERNO(2)",2,IF(G471="RESTRINGIDO(3)",3,0)))+IF(H471="BAJA(1)",1,IF(H471="MEDIA(2)",2,IF(H471="ALTA(3)",3,0)))+IF(I471="BAJA(1)",1,IF(I471="MEDIA(2)",2,IF(I471="ALTA(3)",3,0)))</f>
        <v/>
      </c>
      <c r="K471">
        <f>IF(J471="", "", IF(J471&gt;=8,"ALTA",IF(J471&gt;=6,"MEDIA","BAJA")))</f>
        <v/>
      </c>
      <c r="L471">
        <f>IF(INVENTARIO!Y471="","",INVENTARIO!Y471)</f>
        <v/>
      </c>
      <c r="M471">
        <f>IF(INVENTARIO!Z471="","",INVENTARIO!Z471)</f>
        <v/>
      </c>
      <c r="N471">
        <f>IF(INVENTARIO!AA471="","",INVENTARIO!AA471)</f>
        <v/>
      </c>
      <c r="O471">
        <f>IF(INVENTARIO!AB471="","",INVENTARIO!AB471)</f>
        <v/>
      </c>
      <c r="P471">
        <f>IF(INVENTARIO!AC471="","",INVENTARIO!AC471)</f>
        <v/>
      </c>
      <c r="Q471">
        <f>IF(AND(K471="",N471="",L471=""),"",IF(AND((K471="ALTA"),OR(LEFT(N471,2)="L0",LEFT(N471,2)="L1",L471="No Iniciado")),"CRÍTICO - Incumplimiento Normativo SEPS",IF(AND(OR(LEFT(N471,2)="L4",LEFT(N471,2)="L5"),AND(P471&lt;&gt;"",P471&lt;&gt;"N/A")),"CONFORME - Control Efectivo ISO 27001","OBSERVACIÓN - Revisar Controles")))</f>
        <v/>
      </c>
    </row>
    <row r="472">
      <c r="A472">
        <f>IF(INVENTARIO!A472="","",INVENTARIO!A472)</f>
        <v/>
      </c>
      <c r="B472">
        <f>IF(INVENTARIO!E472="","",INVENTARIO!E472)</f>
        <v/>
      </c>
      <c r="C472">
        <f>IF(INVENTARIO!F472="","",INVENTARIO!F472)</f>
        <v/>
      </c>
      <c r="D472">
        <f>IF(INVENTARIO!H472="","",INVENTARIO!H472)</f>
        <v/>
      </c>
      <c r="E472">
        <f>IF(INVENTARIO!I472="","",INVENTARIO!I472)</f>
        <v/>
      </c>
      <c r="F472">
        <f>IF(INVENTARIO!N472="","",INVENTARIO!N472)</f>
        <v/>
      </c>
      <c r="G472">
        <f>IF(INVENTARIO!P472="","",INVENTARIO!P472)</f>
        <v/>
      </c>
      <c r="H472">
        <f>IF(INVENTARIO!Q472="","",INVENTARIO!Q472)</f>
        <v/>
      </c>
      <c r="I472">
        <f>IF(INVENTARIO!R472="","",INVENTARIO!R472)</f>
        <v/>
      </c>
      <c r="J472">
        <f>IF(G472="PUBLICA(1)",1,IF(G472="USO INTERNO(2)",2,IF(G472="RESTRINGIDO(3)",3,0)))+IF(H472="BAJA(1)",1,IF(H472="MEDIA(2)",2,IF(H472="ALTA(3)",3,0)))+IF(I472="BAJA(1)",1,IF(I472="MEDIA(2)",2,IF(I472="ALTA(3)",3,0)))</f>
        <v/>
      </c>
      <c r="K472">
        <f>IF(J472="", "", IF(J472&gt;=8,"ALTA",IF(J472&gt;=6,"MEDIA","BAJA")))</f>
        <v/>
      </c>
      <c r="L472">
        <f>IF(INVENTARIO!Y472="","",INVENTARIO!Y472)</f>
        <v/>
      </c>
      <c r="M472">
        <f>IF(INVENTARIO!Z472="","",INVENTARIO!Z472)</f>
        <v/>
      </c>
      <c r="N472">
        <f>IF(INVENTARIO!AA472="","",INVENTARIO!AA472)</f>
        <v/>
      </c>
      <c r="O472">
        <f>IF(INVENTARIO!AB472="","",INVENTARIO!AB472)</f>
        <v/>
      </c>
      <c r="P472">
        <f>IF(INVENTARIO!AC472="","",INVENTARIO!AC472)</f>
        <v/>
      </c>
      <c r="Q472">
        <f>IF(AND(K472="",N472="",L472=""),"",IF(AND((K472="ALTA"),OR(LEFT(N472,2)="L0",LEFT(N472,2)="L1",L472="No Iniciado")),"CRÍTICO - Incumplimiento Normativo SEPS",IF(AND(OR(LEFT(N472,2)="L4",LEFT(N472,2)="L5"),AND(P472&lt;&gt;"",P472&lt;&gt;"N/A")),"CONFORME - Control Efectivo ISO 27001","OBSERVACIÓN - Revisar Controles")))</f>
        <v/>
      </c>
    </row>
    <row r="473">
      <c r="A473">
        <f>IF(INVENTARIO!A473="","",INVENTARIO!A473)</f>
        <v/>
      </c>
      <c r="B473">
        <f>IF(INVENTARIO!E473="","",INVENTARIO!E473)</f>
        <v/>
      </c>
      <c r="C473">
        <f>IF(INVENTARIO!F473="","",INVENTARIO!F473)</f>
        <v/>
      </c>
      <c r="D473">
        <f>IF(INVENTARIO!H473="","",INVENTARIO!H473)</f>
        <v/>
      </c>
      <c r="E473">
        <f>IF(INVENTARIO!I473="","",INVENTARIO!I473)</f>
        <v/>
      </c>
      <c r="F473">
        <f>IF(INVENTARIO!N473="","",INVENTARIO!N473)</f>
        <v/>
      </c>
      <c r="G473">
        <f>IF(INVENTARIO!P473="","",INVENTARIO!P473)</f>
        <v/>
      </c>
      <c r="H473">
        <f>IF(INVENTARIO!Q473="","",INVENTARIO!Q473)</f>
        <v/>
      </c>
      <c r="I473">
        <f>IF(INVENTARIO!R473="","",INVENTARIO!R473)</f>
        <v/>
      </c>
      <c r="J473">
        <f>IF(G473="PUBLICA(1)",1,IF(G473="USO INTERNO(2)",2,IF(G473="RESTRINGIDO(3)",3,0)))+IF(H473="BAJA(1)",1,IF(H473="MEDIA(2)",2,IF(H473="ALTA(3)",3,0)))+IF(I473="BAJA(1)",1,IF(I473="MEDIA(2)",2,IF(I473="ALTA(3)",3,0)))</f>
        <v/>
      </c>
      <c r="K473">
        <f>IF(J473="", "", IF(J473&gt;=8,"ALTA",IF(J473&gt;=6,"MEDIA","BAJA")))</f>
        <v/>
      </c>
      <c r="L473">
        <f>IF(INVENTARIO!Y473="","",INVENTARIO!Y473)</f>
        <v/>
      </c>
      <c r="M473">
        <f>IF(INVENTARIO!Z473="","",INVENTARIO!Z473)</f>
        <v/>
      </c>
      <c r="N473">
        <f>IF(INVENTARIO!AA473="","",INVENTARIO!AA473)</f>
        <v/>
      </c>
      <c r="O473">
        <f>IF(INVENTARIO!AB473="","",INVENTARIO!AB473)</f>
        <v/>
      </c>
      <c r="P473">
        <f>IF(INVENTARIO!AC473="","",INVENTARIO!AC473)</f>
        <v/>
      </c>
      <c r="Q473">
        <f>IF(AND(K473="",N473="",L473=""),"",IF(AND((K473="ALTA"),OR(LEFT(N473,2)="L0",LEFT(N473,2)="L1",L473="No Iniciado")),"CRÍTICO - Incumplimiento Normativo SEPS",IF(AND(OR(LEFT(N473,2)="L4",LEFT(N473,2)="L5"),AND(P473&lt;&gt;"",P473&lt;&gt;"N/A")),"CONFORME - Control Efectivo ISO 27001","OBSERVACIÓN - Revisar Controles")))</f>
        <v/>
      </c>
    </row>
    <row r="474">
      <c r="A474">
        <f>IF(INVENTARIO!A474="","",INVENTARIO!A474)</f>
        <v/>
      </c>
      <c r="B474">
        <f>IF(INVENTARIO!E474="","",INVENTARIO!E474)</f>
        <v/>
      </c>
      <c r="C474">
        <f>IF(INVENTARIO!F474="","",INVENTARIO!F474)</f>
        <v/>
      </c>
      <c r="D474">
        <f>IF(INVENTARIO!H474="","",INVENTARIO!H474)</f>
        <v/>
      </c>
      <c r="E474">
        <f>IF(INVENTARIO!I474="","",INVENTARIO!I474)</f>
        <v/>
      </c>
      <c r="F474">
        <f>IF(INVENTARIO!N474="","",INVENTARIO!N474)</f>
        <v/>
      </c>
      <c r="G474">
        <f>IF(INVENTARIO!P474="","",INVENTARIO!P474)</f>
        <v/>
      </c>
      <c r="H474">
        <f>IF(INVENTARIO!Q474="","",INVENTARIO!Q474)</f>
        <v/>
      </c>
      <c r="I474">
        <f>IF(INVENTARIO!R474="","",INVENTARIO!R474)</f>
        <v/>
      </c>
      <c r="J474">
        <f>IF(G474="PUBLICA(1)",1,IF(G474="USO INTERNO(2)",2,IF(G474="RESTRINGIDO(3)",3,0)))+IF(H474="BAJA(1)",1,IF(H474="MEDIA(2)",2,IF(H474="ALTA(3)",3,0)))+IF(I474="BAJA(1)",1,IF(I474="MEDIA(2)",2,IF(I474="ALTA(3)",3,0)))</f>
        <v/>
      </c>
      <c r="K474">
        <f>IF(J474="", "", IF(J474&gt;=8,"ALTA",IF(J474&gt;=6,"MEDIA","BAJA")))</f>
        <v/>
      </c>
      <c r="L474">
        <f>IF(INVENTARIO!Y474="","",INVENTARIO!Y474)</f>
        <v/>
      </c>
      <c r="M474">
        <f>IF(INVENTARIO!Z474="","",INVENTARIO!Z474)</f>
        <v/>
      </c>
      <c r="N474">
        <f>IF(INVENTARIO!AA474="","",INVENTARIO!AA474)</f>
        <v/>
      </c>
      <c r="O474">
        <f>IF(INVENTARIO!AB474="","",INVENTARIO!AB474)</f>
        <v/>
      </c>
      <c r="P474">
        <f>IF(INVENTARIO!AC474="","",INVENTARIO!AC474)</f>
        <v/>
      </c>
      <c r="Q474">
        <f>IF(AND(K474="",N474="",L474=""),"",IF(AND((K474="ALTA"),OR(LEFT(N474,2)="L0",LEFT(N474,2)="L1",L474="No Iniciado")),"CRÍTICO - Incumplimiento Normativo SEPS",IF(AND(OR(LEFT(N474,2)="L4",LEFT(N474,2)="L5"),AND(P474&lt;&gt;"",P474&lt;&gt;"N/A")),"CONFORME - Control Efectivo ISO 27001","OBSERVACIÓN - Revisar Controles")))</f>
        <v/>
      </c>
    </row>
    <row r="475">
      <c r="A475">
        <f>IF(INVENTARIO!A475="","",INVENTARIO!A475)</f>
        <v/>
      </c>
      <c r="B475">
        <f>IF(INVENTARIO!E475="","",INVENTARIO!E475)</f>
        <v/>
      </c>
      <c r="C475">
        <f>IF(INVENTARIO!F475="","",INVENTARIO!F475)</f>
        <v/>
      </c>
      <c r="D475">
        <f>IF(INVENTARIO!H475="","",INVENTARIO!H475)</f>
        <v/>
      </c>
      <c r="E475">
        <f>IF(INVENTARIO!I475="","",INVENTARIO!I475)</f>
        <v/>
      </c>
      <c r="F475">
        <f>IF(INVENTARIO!N475="","",INVENTARIO!N475)</f>
        <v/>
      </c>
      <c r="G475">
        <f>IF(INVENTARIO!P475="","",INVENTARIO!P475)</f>
        <v/>
      </c>
      <c r="H475">
        <f>IF(INVENTARIO!Q475="","",INVENTARIO!Q475)</f>
        <v/>
      </c>
      <c r="I475">
        <f>IF(INVENTARIO!R475="","",INVENTARIO!R475)</f>
        <v/>
      </c>
      <c r="J475">
        <f>IF(G475="PUBLICA(1)",1,IF(G475="USO INTERNO(2)",2,IF(G475="RESTRINGIDO(3)",3,0)))+IF(H475="BAJA(1)",1,IF(H475="MEDIA(2)",2,IF(H475="ALTA(3)",3,0)))+IF(I475="BAJA(1)",1,IF(I475="MEDIA(2)",2,IF(I475="ALTA(3)",3,0)))</f>
        <v/>
      </c>
      <c r="K475">
        <f>IF(J475="", "", IF(J475&gt;=8,"ALTA",IF(J475&gt;=6,"MEDIA","BAJA")))</f>
        <v/>
      </c>
      <c r="L475">
        <f>IF(INVENTARIO!Y475="","",INVENTARIO!Y475)</f>
        <v/>
      </c>
      <c r="M475">
        <f>IF(INVENTARIO!Z475="","",INVENTARIO!Z475)</f>
        <v/>
      </c>
      <c r="N475">
        <f>IF(INVENTARIO!AA475="","",INVENTARIO!AA475)</f>
        <v/>
      </c>
      <c r="O475">
        <f>IF(INVENTARIO!AB475="","",INVENTARIO!AB475)</f>
        <v/>
      </c>
      <c r="P475">
        <f>IF(INVENTARIO!AC475="","",INVENTARIO!AC475)</f>
        <v/>
      </c>
      <c r="Q475">
        <f>IF(AND(K475="",N475="",L475=""),"",IF(AND((K475="ALTA"),OR(LEFT(N475,2)="L0",LEFT(N475,2)="L1",L475="No Iniciado")),"CRÍTICO - Incumplimiento Normativo SEPS",IF(AND(OR(LEFT(N475,2)="L4",LEFT(N475,2)="L5"),AND(P475&lt;&gt;"",P475&lt;&gt;"N/A")),"CONFORME - Control Efectivo ISO 27001","OBSERVACIÓN - Revisar Controles")))</f>
        <v/>
      </c>
    </row>
    <row r="476">
      <c r="A476">
        <f>IF(INVENTARIO!A476="","",INVENTARIO!A476)</f>
        <v/>
      </c>
      <c r="B476">
        <f>IF(INVENTARIO!E476="","",INVENTARIO!E476)</f>
        <v/>
      </c>
      <c r="C476">
        <f>IF(INVENTARIO!F476="","",INVENTARIO!F476)</f>
        <v/>
      </c>
      <c r="D476">
        <f>IF(INVENTARIO!H476="","",INVENTARIO!H476)</f>
        <v/>
      </c>
      <c r="E476">
        <f>IF(INVENTARIO!I476="","",INVENTARIO!I476)</f>
        <v/>
      </c>
      <c r="F476">
        <f>IF(INVENTARIO!N476="","",INVENTARIO!N476)</f>
        <v/>
      </c>
      <c r="G476">
        <f>IF(INVENTARIO!P476="","",INVENTARIO!P476)</f>
        <v/>
      </c>
      <c r="H476">
        <f>IF(INVENTARIO!Q476="","",INVENTARIO!Q476)</f>
        <v/>
      </c>
      <c r="I476">
        <f>IF(INVENTARIO!R476="","",INVENTARIO!R476)</f>
        <v/>
      </c>
      <c r="J476">
        <f>IF(G476="PUBLICA(1)",1,IF(G476="USO INTERNO(2)",2,IF(G476="RESTRINGIDO(3)",3,0)))+IF(H476="BAJA(1)",1,IF(H476="MEDIA(2)",2,IF(H476="ALTA(3)",3,0)))+IF(I476="BAJA(1)",1,IF(I476="MEDIA(2)",2,IF(I476="ALTA(3)",3,0)))</f>
        <v/>
      </c>
      <c r="K476">
        <f>IF(J476="", "", IF(J476&gt;=8,"ALTA",IF(J476&gt;=6,"MEDIA","BAJA")))</f>
        <v/>
      </c>
      <c r="L476">
        <f>IF(INVENTARIO!Y476="","",INVENTARIO!Y476)</f>
        <v/>
      </c>
      <c r="M476">
        <f>IF(INVENTARIO!Z476="","",INVENTARIO!Z476)</f>
        <v/>
      </c>
      <c r="N476">
        <f>IF(INVENTARIO!AA476="","",INVENTARIO!AA476)</f>
        <v/>
      </c>
      <c r="O476">
        <f>IF(INVENTARIO!AB476="","",INVENTARIO!AB476)</f>
        <v/>
      </c>
      <c r="P476">
        <f>IF(INVENTARIO!AC476="","",INVENTARIO!AC476)</f>
        <v/>
      </c>
      <c r="Q476">
        <f>IF(AND(K476="",N476="",L476=""),"",IF(AND((K476="ALTA"),OR(LEFT(N476,2)="L0",LEFT(N476,2)="L1",L476="No Iniciado")),"CRÍTICO - Incumplimiento Normativo SEPS",IF(AND(OR(LEFT(N476,2)="L4",LEFT(N476,2)="L5"),AND(P476&lt;&gt;"",P476&lt;&gt;"N/A")),"CONFORME - Control Efectivo ISO 27001","OBSERVACIÓN - Revisar Controles")))</f>
        <v/>
      </c>
    </row>
    <row r="477">
      <c r="A477">
        <f>IF(INVENTARIO!A477="","",INVENTARIO!A477)</f>
        <v/>
      </c>
      <c r="B477">
        <f>IF(INVENTARIO!E477="","",INVENTARIO!E477)</f>
        <v/>
      </c>
      <c r="C477">
        <f>IF(INVENTARIO!F477="","",INVENTARIO!F477)</f>
        <v/>
      </c>
      <c r="D477">
        <f>IF(INVENTARIO!H477="","",INVENTARIO!H477)</f>
        <v/>
      </c>
      <c r="E477">
        <f>IF(INVENTARIO!I477="","",INVENTARIO!I477)</f>
        <v/>
      </c>
      <c r="F477">
        <f>IF(INVENTARIO!N477="","",INVENTARIO!N477)</f>
        <v/>
      </c>
      <c r="G477">
        <f>IF(INVENTARIO!P477="","",INVENTARIO!P477)</f>
        <v/>
      </c>
      <c r="H477">
        <f>IF(INVENTARIO!Q477="","",INVENTARIO!Q477)</f>
        <v/>
      </c>
      <c r="I477">
        <f>IF(INVENTARIO!R477="","",INVENTARIO!R477)</f>
        <v/>
      </c>
      <c r="J477">
        <f>IF(G477="PUBLICA(1)",1,IF(G477="USO INTERNO(2)",2,IF(G477="RESTRINGIDO(3)",3,0)))+IF(H477="BAJA(1)",1,IF(H477="MEDIA(2)",2,IF(H477="ALTA(3)",3,0)))+IF(I477="BAJA(1)",1,IF(I477="MEDIA(2)",2,IF(I477="ALTA(3)",3,0)))</f>
        <v/>
      </c>
      <c r="K477">
        <f>IF(J477="", "", IF(J477&gt;=8,"ALTA",IF(J477&gt;=6,"MEDIA","BAJA")))</f>
        <v/>
      </c>
      <c r="L477">
        <f>IF(INVENTARIO!Y477="","",INVENTARIO!Y477)</f>
        <v/>
      </c>
      <c r="M477">
        <f>IF(INVENTARIO!Z477="","",INVENTARIO!Z477)</f>
        <v/>
      </c>
      <c r="N477">
        <f>IF(INVENTARIO!AA477="","",INVENTARIO!AA477)</f>
        <v/>
      </c>
      <c r="O477">
        <f>IF(INVENTARIO!AB477="","",INVENTARIO!AB477)</f>
        <v/>
      </c>
      <c r="P477">
        <f>IF(INVENTARIO!AC477="","",INVENTARIO!AC477)</f>
        <v/>
      </c>
      <c r="Q477">
        <f>IF(AND(K477="",N477="",L477=""),"",IF(AND((K477="ALTA"),OR(LEFT(N477,2)="L0",LEFT(N477,2)="L1",L477="No Iniciado")),"CRÍTICO - Incumplimiento Normativo SEPS",IF(AND(OR(LEFT(N477,2)="L4",LEFT(N477,2)="L5"),AND(P477&lt;&gt;"",P477&lt;&gt;"N/A")),"CONFORME - Control Efectivo ISO 27001","OBSERVACIÓN - Revisar Controles")))</f>
        <v/>
      </c>
    </row>
    <row r="478">
      <c r="A478">
        <f>IF(INVENTARIO!A478="","",INVENTARIO!A478)</f>
        <v/>
      </c>
      <c r="B478">
        <f>IF(INVENTARIO!E478="","",INVENTARIO!E478)</f>
        <v/>
      </c>
      <c r="C478">
        <f>IF(INVENTARIO!F478="","",INVENTARIO!F478)</f>
        <v/>
      </c>
      <c r="D478">
        <f>IF(INVENTARIO!H478="","",INVENTARIO!H478)</f>
        <v/>
      </c>
      <c r="E478">
        <f>IF(INVENTARIO!I478="","",INVENTARIO!I478)</f>
        <v/>
      </c>
      <c r="F478">
        <f>IF(INVENTARIO!N478="","",INVENTARIO!N478)</f>
        <v/>
      </c>
      <c r="G478">
        <f>IF(INVENTARIO!P478="","",INVENTARIO!P478)</f>
        <v/>
      </c>
      <c r="H478">
        <f>IF(INVENTARIO!Q478="","",INVENTARIO!Q478)</f>
        <v/>
      </c>
      <c r="I478">
        <f>IF(INVENTARIO!R478="","",INVENTARIO!R478)</f>
        <v/>
      </c>
      <c r="J478">
        <f>IF(G478="PUBLICA(1)",1,IF(G478="USO INTERNO(2)",2,IF(G478="RESTRINGIDO(3)",3,0)))+IF(H478="BAJA(1)",1,IF(H478="MEDIA(2)",2,IF(H478="ALTA(3)",3,0)))+IF(I478="BAJA(1)",1,IF(I478="MEDIA(2)",2,IF(I478="ALTA(3)",3,0)))</f>
        <v/>
      </c>
      <c r="K478">
        <f>IF(J478="", "", IF(J478&gt;=8,"ALTA",IF(J478&gt;=6,"MEDIA","BAJA")))</f>
        <v/>
      </c>
      <c r="L478">
        <f>IF(INVENTARIO!Y478="","",INVENTARIO!Y478)</f>
        <v/>
      </c>
      <c r="M478">
        <f>IF(INVENTARIO!Z478="","",INVENTARIO!Z478)</f>
        <v/>
      </c>
      <c r="N478">
        <f>IF(INVENTARIO!AA478="","",INVENTARIO!AA478)</f>
        <v/>
      </c>
      <c r="O478">
        <f>IF(INVENTARIO!AB478="","",INVENTARIO!AB478)</f>
        <v/>
      </c>
      <c r="P478">
        <f>IF(INVENTARIO!AC478="","",INVENTARIO!AC478)</f>
        <v/>
      </c>
      <c r="Q478">
        <f>IF(AND(K478="",N478="",L478=""),"",IF(AND((K478="ALTA"),OR(LEFT(N478,2)="L0",LEFT(N478,2)="L1",L478="No Iniciado")),"CRÍTICO - Incumplimiento Normativo SEPS",IF(AND(OR(LEFT(N478,2)="L4",LEFT(N478,2)="L5"),AND(P478&lt;&gt;"",P478&lt;&gt;"N/A")),"CONFORME - Control Efectivo ISO 27001","OBSERVACIÓN - Revisar Controles")))</f>
        <v/>
      </c>
    </row>
    <row r="479">
      <c r="A479">
        <f>IF(INVENTARIO!A479="","",INVENTARIO!A479)</f>
        <v/>
      </c>
      <c r="B479">
        <f>IF(INVENTARIO!E479="","",INVENTARIO!E479)</f>
        <v/>
      </c>
      <c r="C479">
        <f>IF(INVENTARIO!F479="","",INVENTARIO!F479)</f>
        <v/>
      </c>
      <c r="D479">
        <f>IF(INVENTARIO!H479="","",INVENTARIO!H479)</f>
        <v/>
      </c>
      <c r="E479">
        <f>IF(INVENTARIO!I479="","",INVENTARIO!I479)</f>
        <v/>
      </c>
      <c r="F479">
        <f>IF(INVENTARIO!N479="","",INVENTARIO!N479)</f>
        <v/>
      </c>
      <c r="G479">
        <f>IF(INVENTARIO!P479="","",INVENTARIO!P479)</f>
        <v/>
      </c>
      <c r="H479">
        <f>IF(INVENTARIO!Q479="","",INVENTARIO!Q479)</f>
        <v/>
      </c>
      <c r="I479">
        <f>IF(INVENTARIO!R479="","",INVENTARIO!R479)</f>
        <v/>
      </c>
      <c r="J479">
        <f>IF(G479="PUBLICA(1)",1,IF(G479="USO INTERNO(2)",2,IF(G479="RESTRINGIDO(3)",3,0)))+IF(H479="BAJA(1)",1,IF(H479="MEDIA(2)",2,IF(H479="ALTA(3)",3,0)))+IF(I479="BAJA(1)",1,IF(I479="MEDIA(2)",2,IF(I479="ALTA(3)",3,0)))</f>
        <v/>
      </c>
      <c r="K479">
        <f>IF(J479="", "", IF(J479&gt;=8,"ALTA",IF(J479&gt;=6,"MEDIA","BAJA")))</f>
        <v/>
      </c>
      <c r="L479">
        <f>IF(INVENTARIO!Y479="","",INVENTARIO!Y479)</f>
        <v/>
      </c>
      <c r="M479">
        <f>IF(INVENTARIO!Z479="","",INVENTARIO!Z479)</f>
        <v/>
      </c>
      <c r="N479">
        <f>IF(INVENTARIO!AA479="","",INVENTARIO!AA479)</f>
        <v/>
      </c>
      <c r="O479">
        <f>IF(INVENTARIO!AB479="","",INVENTARIO!AB479)</f>
        <v/>
      </c>
      <c r="P479">
        <f>IF(INVENTARIO!AC479="","",INVENTARIO!AC479)</f>
        <v/>
      </c>
      <c r="Q479">
        <f>IF(AND(K479="",N479="",L479=""),"",IF(AND((K479="ALTA"),OR(LEFT(N479,2)="L0",LEFT(N479,2)="L1",L479="No Iniciado")),"CRÍTICO - Incumplimiento Normativo SEPS",IF(AND(OR(LEFT(N479,2)="L4",LEFT(N479,2)="L5"),AND(P479&lt;&gt;"",P479&lt;&gt;"N/A")),"CONFORME - Control Efectivo ISO 27001","OBSERVACIÓN - Revisar Controles")))</f>
        <v/>
      </c>
    </row>
    <row r="480">
      <c r="A480">
        <f>IF(INVENTARIO!A480="","",INVENTARIO!A480)</f>
        <v/>
      </c>
      <c r="B480">
        <f>IF(INVENTARIO!E480="","",INVENTARIO!E480)</f>
        <v/>
      </c>
      <c r="C480">
        <f>IF(INVENTARIO!F480="","",INVENTARIO!F480)</f>
        <v/>
      </c>
      <c r="D480">
        <f>IF(INVENTARIO!H480="","",INVENTARIO!H480)</f>
        <v/>
      </c>
      <c r="E480">
        <f>IF(INVENTARIO!I480="","",INVENTARIO!I480)</f>
        <v/>
      </c>
      <c r="F480">
        <f>IF(INVENTARIO!N480="","",INVENTARIO!N480)</f>
        <v/>
      </c>
      <c r="G480">
        <f>IF(INVENTARIO!P480="","",INVENTARIO!P480)</f>
        <v/>
      </c>
      <c r="H480">
        <f>IF(INVENTARIO!Q480="","",INVENTARIO!Q480)</f>
        <v/>
      </c>
      <c r="I480">
        <f>IF(INVENTARIO!R480="","",INVENTARIO!R480)</f>
        <v/>
      </c>
      <c r="J480">
        <f>IF(G480="PUBLICA(1)",1,IF(G480="USO INTERNO(2)",2,IF(G480="RESTRINGIDO(3)",3,0)))+IF(H480="BAJA(1)",1,IF(H480="MEDIA(2)",2,IF(H480="ALTA(3)",3,0)))+IF(I480="BAJA(1)",1,IF(I480="MEDIA(2)",2,IF(I480="ALTA(3)",3,0)))</f>
        <v/>
      </c>
      <c r="K480">
        <f>IF(J480="", "", IF(J480&gt;=8,"ALTA",IF(J480&gt;=6,"MEDIA","BAJA")))</f>
        <v/>
      </c>
      <c r="L480">
        <f>IF(INVENTARIO!Y480="","",INVENTARIO!Y480)</f>
        <v/>
      </c>
      <c r="M480">
        <f>IF(INVENTARIO!Z480="","",INVENTARIO!Z480)</f>
        <v/>
      </c>
      <c r="N480">
        <f>IF(INVENTARIO!AA480="","",INVENTARIO!AA480)</f>
        <v/>
      </c>
      <c r="O480">
        <f>IF(INVENTARIO!AB480="","",INVENTARIO!AB480)</f>
        <v/>
      </c>
      <c r="P480">
        <f>IF(INVENTARIO!AC480="","",INVENTARIO!AC480)</f>
        <v/>
      </c>
      <c r="Q480">
        <f>IF(AND(K480="",N480="",L480=""),"",IF(AND((K480="ALTA"),OR(LEFT(N480,2)="L0",LEFT(N480,2)="L1",L480="No Iniciado")),"CRÍTICO - Incumplimiento Normativo SEPS",IF(AND(OR(LEFT(N480,2)="L4",LEFT(N480,2)="L5"),AND(P480&lt;&gt;"",P480&lt;&gt;"N/A")),"CONFORME - Control Efectivo ISO 27001","OBSERVACIÓN - Revisar Controles")))</f>
        <v/>
      </c>
    </row>
    <row r="481">
      <c r="A481">
        <f>IF(INVENTARIO!A481="","",INVENTARIO!A481)</f>
        <v/>
      </c>
      <c r="B481">
        <f>IF(INVENTARIO!E481="","",INVENTARIO!E481)</f>
        <v/>
      </c>
      <c r="C481">
        <f>IF(INVENTARIO!F481="","",INVENTARIO!F481)</f>
        <v/>
      </c>
      <c r="D481">
        <f>IF(INVENTARIO!H481="","",INVENTARIO!H481)</f>
        <v/>
      </c>
      <c r="E481">
        <f>IF(INVENTARIO!I481="","",INVENTARIO!I481)</f>
        <v/>
      </c>
      <c r="F481">
        <f>IF(INVENTARIO!N481="","",INVENTARIO!N481)</f>
        <v/>
      </c>
      <c r="G481">
        <f>IF(INVENTARIO!P481="","",INVENTARIO!P481)</f>
        <v/>
      </c>
      <c r="H481">
        <f>IF(INVENTARIO!Q481="","",INVENTARIO!Q481)</f>
        <v/>
      </c>
      <c r="I481">
        <f>IF(INVENTARIO!R481="","",INVENTARIO!R481)</f>
        <v/>
      </c>
      <c r="J481">
        <f>IF(G481="PUBLICA(1)",1,IF(G481="USO INTERNO(2)",2,IF(G481="RESTRINGIDO(3)",3,0)))+IF(H481="BAJA(1)",1,IF(H481="MEDIA(2)",2,IF(H481="ALTA(3)",3,0)))+IF(I481="BAJA(1)",1,IF(I481="MEDIA(2)",2,IF(I481="ALTA(3)",3,0)))</f>
        <v/>
      </c>
      <c r="K481">
        <f>IF(J481="", "", IF(J481&gt;=8,"ALTA",IF(J481&gt;=6,"MEDIA","BAJA")))</f>
        <v/>
      </c>
      <c r="L481">
        <f>IF(INVENTARIO!Y481="","",INVENTARIO!Y481)</f>
        <v/>
      </c>
      <c r="M481">
        <f>IF(INVENTARIO!Z481="","",INVENTARIO!Z481)</f>
        <v/>
      </c>
      <c r="N481">
        <f>IF(INVENTARIO!AA481="","",INVENTARIO!AA481)</f>
        <v/>
      </c>
      <c r="O481">
        <f>IF(INVENTARIO!AB481="","",INVENTARIO!AB481)</f>
        <v/>
      </c>
      <c r="P481">
        <f>IF(INVENTARIO!AC481="","",INVENTARIO!AC481)</f>
        <v/>
      </c>
      <c r="Q481">
        <f>IF(AND(K481="",N481="",L481=""),"",IF(AND((K481="ALTA"),OR(LEFT(N481,2)="L0",LEFT(N481,2)="L1",L481="No Iniciado")),"CRÍTICO - Incumplimiento Normativo SEPS",IF(AND(OR(LEFT(N481,2)="L4",LEFT(N481,2)="L5"),AND(P481&lt;&gt;"",P481&lt;&gt;"N/A")),"CONFORME - Control Efectivo ISO 27001","OBSERVACIÓN - Revisar Controles")))</f>
        <v/>
      </c>
    </row>
    <row r="482">
      <c r="A482">
        <f>IF(INVENTARIO!A482="","",INVENTARIO!A482)</f>
        <v/>
      </c>
      <c r="B482">
        <f>IF(INVENTARIO!E482="","",INVENTARIO!E482)</f>
        <v/>
      </c>
      <c r="C482">
        <f>IF(INVENTARIO!F482="","",INVENTARIO!F482)</f>
        <v/>
      </c>
      <c r="D482">
        <f>IF(INVENTARIO!H482="","",INVENTARIO!H482)</f>
        <v/>
      </c>
      <c r="E482">
        <f>IF(INVENTARIO!I482="","",INVENTARIO!I482)</f>
        <v/>
      </c>
      <c r="F482">
        <f>IF(INVENTARIO!N482="","",INVENTARIO!N482)</f>
        <v/>
      </c>
      <c r="G482">
        <f>IF(INVENTARIO!P482="","",INVENTARIO!P482)</f>
        <v/>
      </c>
      <c r="H482">
        <f>IF(INVENTARIO!Q482="","",INVENTARIO!Q482)</f>
        <v/>
      </c>
      <c r="I482">
        <f>IF(INVENTARIO!R482="","",INVENTARIO!R482)</f>
        <v/>
      </c>
      <c r="J482">
        <f>IF(G482="PUBLICA(1)",1,IF(G482="USO INTERNO(2)",2,IF(G482="RESTRINGIDO(3)",3,0)))+IF(H482="BAJA(1)",1,IF(H482="MEDIA(2)",2,IF(H482="ALTA(3)",3,0)))+IF(I482="BAJA(1)",1,IF(I482="MEDIA(2)",2,IF(I482="ALTA(3)",3,0)))</f>
        <v/>
      </c>
      <c r="K482">
        <f>IF(J482="", "", IF(J482&gt;=8,"ALTA",IF(J482&gt;=6,"MEDIA","BAJA")))</f>
        <v/>
      </c>
      <c r="L482">
        <f>IF(INVENTARIO!Y482="","",INVENTARIO!Y482)</f>
        <v/>
      </c>
      <c r="M482">
        <f>IF(INVENTARIO!Z482="","",INVENTARIO!Z482)</f>
        <v/>
      </c>
      <c r="N482">
        <f>IF(INVENTARIO!AA482="","",INVENTARIO!AA482)</f>
        <v/>
      </c>
      <c r="O482">
        <f>IF(INVENTARIO!AB482="","",INVENTARIO!AB482)</f>
        <v/>
      </c>
      <c r="P482">
        <f>IF(INVENTARIO!AC482="","",INVENTARIO!AC482)</f>
        <v/>
      </c>
      <c r="Q482">
        <f>IF(AND(K482="",N482="",L482=""),"",IF(AND((K482="ALTA"),OR(LEFT(N482,2)="L0",LEFT(N482,2)="L1",L482="No Iniciado")),"CRÍTICO - Incumplimiento Normativo SEPS",IF(AND(OR(LEFT(N482,2)="L4",LEFT(N482,2)="L5"),AND(P482&lt;&gt;"",P482&lt;&gt;"N/A")),"CONFORME - Control Efectivo ISO 27001","OBSERVACIÓN - Revisar Controles")))</f>
        <v/>
      </c>
    </row>
    <row r="483">
      <c r="A483">
        <f>IF(INVENTARIO!A483="","",INVENTARIO!A483)</f>
        <v/>
      </c>
      <c r="B483">
        <f>IF(INVENTARIO!E483="","",INVENTARIO!E483)</f>
        <v/>
      </c>
      <c r="C483">
        <f>IF(INVENTARIO!F483="","",INVENTARIO!F483)</f>
        <v/>
      </c>
      <c r="D483">
        <f>IF(INVENTARIO!H483="","",INVENTARIO!H483)</f>
        <v/>
      </c>
      <c r="E483">
        <f>IF(INVENTARIO!I483="","",INVENTARIO!I483)</f>
        <v/>
      </c>
      <c r="F483">
        <f>IF(INVENTARIO!N483="","",INVENTARIO!N483)</f>
        <v/>
      </c>
      <c r="G483">
        <f>IF(INVENTARIO!P483="","",INVENTARIO!P483)</f>
        <v/>
      </c>
      <c r="H483">
        <f>IF(INVENTARIO!Q483="","",INVENTARIO!Q483)</f>
        <v/>
      </c>
      <c r="I483">
        <f>IF(INVENTARIO!R483="","",INVENTARIO!R483)</f>
        <v/>
      </c>
      <c r="J483">
        <f>IF(G483="PUBLICA(1)",1,IF(G483="USO INTERNO(2)",2,IF(G483="RESTRINGIDO(3)",3,0)))+IF(H483="BAJA(1)",1,IF(H483="MEDIA(2)",2,IF(H483="ALTA(3)",3,0)))+IF(I483="BAJA(1)",1,IF(I483="MEDIA(2)",2,IF(I483="ALTA(3)",3,0)))</f>
        <v/>
      </c>
      <c r="K483">
        <f>IF(J483="", "", IF(J483&gt;=8,"ALTA",IF(J483&gt;=6,"MEDIA","BAJA")))</f>
        <v/>
      </c>
      <c r="L483">
        <f>IF(INVENTARIO!Y483="","",INVENTARIO!Y483)</f>
        <v/>
      </c>
      <c r="M483">
        <f>IF(INVENTARIO!Z483="","",INVENTARIO!Z483)</f>
        <v/>
      </c>
      <c r="N483">
        <f>IF(INVENTARIO!AA483="","",INVENTARIO!AA483)</f>
        <v/>
      </c>
      <c r="O483">
        <f>IF(INVENTARIO!AB483="","",INVENTARIO!AB483)</f>
        <v/>
      </c>
      <c r="P483">
        <f>IF(INVENTARIO!AC483="","",INVENTARIO!AC483)</f>
        <v/>
      </c>
      <c r="Q483">
        <f>IF(AND(K483="",N483="",L483=""),"",IF(AND((K483="ALTA"),OR(LEFT(N483,2)="L0",LEFT(N483,2)="L1",L483="No Iniciado")),"CRÍTICO - Incumplimiento Normativo SEPS",IF(AND(OR(LEFT(N483,2)="L4",LEFT(N483,2)="L5"),AND(P483&lt;&gt;"",P483&lt;&gt;"N/A")),"CONFORME - Control Efectivo ISO 27001","OBSERVACIÓN - Revisar Controles")))</f>
        <v/>
      </c>
    </row>
    <row r="484">
      <c r="A484">
        <f>IF(INVENTARIO!A484="","",INVENTARIO!A484)</f>
        <v/>
      </c>
      <c r="B484">
        <f>IF(INVENTARIO!E484="","",INVENTARIO!E484)</f>
        <v/>
      </c>
      <c r="C484">
        <f>IF(INVENTARIO!F484="","",INVENTARIO!F484)</f>
        <v/>
      </c>
      <c r="D484">
        <f>IF(INVENTARIO!H484="","",INVENTARIO!H484)</f>
        <v/>
      </c>
      <c r="E484">
        <f>IF(INVENTARIO!I484="","",INVENTARIO!I484)</f>
        <v/>
      </c>
      <c r="F484">
        <f>IF(INVENTARIO!N484="","",INVENTARIO!N484)</f>
        <v/>
      </c>
      <c r="G484">
        <f>IF(INVENTARIO!P484="","",INVENTARIO!P484)</f>
        <v/>
      </c>
      <c r="H484">
        <f>IF(INVENTARIO!Q484="","",INVENTARIO!Q484)</f>
        <v/>
      </c>
      <c r="I484">
        <f>IF(INVENTARIO!R484="","",INVENTARIO!R484)</f>
        <v/>
      </c>
      <c r="J484">
        <f>IF(G484="PUBLICA(1)",1,IF(G484="USO INTERNO(2)",2,IF(G484="RESTRINGIDO(3)",3,0)))+IF(H484="BAJA(1)",1,IF(H484="MEDIA(2)",2,IF(H484="ALTA(3)",3,0)))+IF(I484="BAJA(1)",1,IF(I484="MEDIA(2)",2,IF(I484="ALTA(3)",3,0)))</f>
        <v/>
      </c>
      <c r="K484">
        <f>IF(J484="", "", IF(J484&gt;=8,"ALTA",IF(J484&gt;=6,"MEDIA","BAJA")))</f>
        <v/>
      </c>
      <c r="L484">
        <f>IF(INVENTARIO!Y484="","",INVENTARIO!Y484)</f>
        <v/>
      </c>
      <c r="M484">
        <f>IF(INVENTARIO!Z484="","",INVENTARIO!Z484)</f>
        <v/>
      </c>
      <c r="N484">
        <f>IF(INVENTARIO!AA484="","",INVENTARIO!AA484)</f>
        <v/>
      </c>
      <c r="O484">
        <f>IF(INVENTARIO!AB484="","",INVENTARIO!AB484)</f>
        <v/>
      </c>
      <c r="P484">
        <f>IF(INVENTARIO!AC484="","",INVENTARIO!AC484)</f>
        <v/>
      </c>
      <c r="Q484">
        <f>IF(AND(K484="",N484="",L484=""),"",IF(AND((K484="ALTA"),OR(LEFT(N484,2)="L0",LEFT(N484,2)="L1",L484="No Iniciado")),"CRÍTICO - Incumplimiento Normativo SEPS",IF(AND(OR(LEFT(N484,2)="L4",LEFT(N484,2)="L5"),AND(P484&lt;&gt;"",P484&lt;&gt;"N/A")),"CONFORME - Control Efectivo ISO 27001","OBSERVACIÓN - Revisar Controles")))</f>
        <v/>
      </c>
    </row>
    <row r="485">
      <c r="A485">
        <f>IF(INVENTARIO!A485="","",INVENTARIO!A485)</f>
        <v/>
      </c>
      <c r="B485">
        <f>IF(INVENTARIO!E485="","",INVENTARIO!E485)</f>
        <v/>
      </c>
      <c r="C485">
        <f>IF(INVENTARIO!F485="","",INVENTARIO!F485)</f>
        <v/>
      </c>
      <c r="D485">
        <f>IF(INVENTARIO!H485="","",INVENTARIO!H485)</f>
        <v/>
      </c>
      <c r="E485">
        <f>IF(INVENTARIO!I485="","",INVENTARIO!I485)</f>
        <v/>
      </c>
      <c r="F485">
        <f>IF(INVENTARIO!N485="","",INVENTARIO!N485)</f>
        <v/>
      </c>
      <c r="G485">
        <f>IF(INVENTARIO!P485="","",INVENTARIO!P485)</f>
        <v/>
      </c>
      <c r="H485">
        <f>IF(INVENTARIO!Q485="","",INVENTARIO!Q485)</f>
        <v/>
      </c>
      <c r="I485">
        <f>IF(INVENTARIO!R485="","",INVENTARIO!R485)</f>
        <v/>
      </c>
      <c r="J485">
        <f>IF(G485="PUBLICA(1)",1,IF(G485="USO INTERNO(2)",2,IF(G485="RESTRINGIDO(3)",3,0)))+IF(H485="BAJA(1)",1,IF(H485="MEDIA(2)",2,IF(H485="ALTA(3)",3,0)))+IF(I485="BAJA(1)",1,IF(I485="MEDIA(2)",2,IF(I485="ALTA(3)",3,0)))</f>
        <v/>
      </c>
      <c r="K485">
        <f>IF(J485="", "", IF(J485&gt;=8,"ALTA",IF(J485&gt;=6,"MEDIA","BAJA")))</f>
        <v/>
      </c>
      <c r="L485">
        <f>IF(INVENTARIO!Y485="","",INVENTARIO!Y485)</f>
        <v/>
      </c>
      <c r="M485">
        <f>IF(INVENTARIO!Z485="","",INVENTARIO!Z485)</f>
        <v/>
      </c>
      <c r="N485">
        <f>IF(INVENTARIO!AA485="","",INVENTARIO!AA485)</f>
        <v/>
      </c>
      <c r="O485">
        <f>IF(INVENTARIO!AB485="","",INVENTARIO!AB485)</f>
        <v/>
      </c>
      <c r="P485">
        <f>IF(INVENTARIO!AC485="","",INVENTARIO!AC485)</f>
        <v/>
      </c>
      <c r="Q485">
        <f>IF(AND(K485="",N485="",L485=""),"",IF(AND((K485="ALTA"),OR(LEFT(N485,2)="L0",LEFT(N485,2)="L1",L485="No Iniciado")),"CRÍTICO - Incumplimiento Normativo SEPS",IF(AND(OR(LEFT(N485,2)="L4",LEFT(N485,2)="L5"),AND(P485&lt;&gt;"",P485&lt;&gt;"N/A")),"CONFORME - Control Efectivo ISO 27001","OBSERVACIÓN - Revisar Controles")))</f>
        <v/>
      </c>
    </row>
    <row r="486">
      <c r="A486">
        <f>IF(INVENTARIO!A486="","",INVENTARIO!A486)</f>
        <v/>
      </c>
      <c r="B486">
        <f>IF(INVENTARIO!E486="","",INVENTARIO!E486)</f>
        <v/>
      </c>
      <c r="C486">
        <f>IF(INVENTARIO!F486="","",INVENTARIO!F486)</f>
        <v/>
      </c>
      <c r="D486">
        <f>IF(INVENTARIO!H486="","",INVENTARIO!H486)</f>
        <v/>
      </c>
      <c r="E486">
        <f>IF(INVENTARIO!I486="","",INVENTARIO!I486)</f>
        <v/>
      </c>
      <c r="F486">
        <f>IF(INVENTARIO!N486="","",INVENTARIO!N486)</f>
        <v/>
      </c>
      <c r="G486">
        <f>IF(INVENTARIO!P486="","",INVENTARIO!P486)</f>
        <v/>
      </c>
      <c r="H486">
        <f>IF(INVENTARIO!Q486="","",INVENTARIO!Q486)</f>
        <v/>
      </c>
      <c r="I486">
        <f>IF(INVENTARIO!R486="","",INVENTARIO!R486)</f>
        <v/>
      </c>
      <c r="J486">
        <f>IF(G486="PUBLICA(1)",1,IF(G486="USO INTERNO(2)",2,IF(G486="RESTRINGIDO(3)",3,0)))+IF(H486="BAJA(1)",1,IF(H486="MEDIA(2)",2,IF(H486="ALTA(3)",3,0)))+IF(I486="BAJA(1)",1,IF(I486="MEDIA(2)",2,IF(I486="ALTA(3)",3,0)))</f>
        <v/>
      </c>
      <c r="K486">
        <f>IF(J486="", "", IF(J486&gt;=8,"ALTA",IF(J486&gt;=6,"MEDIA","BAJA")))</f>
        <v/>
      </c>
      <c r="L486">
        <f>IF(INVENTARIO!Y486="","",INVENTARIO!Y486)</f>
        <v/>
      </c>
      <c r="M486">
        <f>IF(INVENTARIO!Z486="","",INVENTARIO!Z486)</f>
        <v/>
      </c>
      <c r="N486">
        <f>IF(INVENTARIO!AA486="","",INVENTARIO!AA486)</f>
        <v/>
      </c>
      <c r="O486">
        <f>IF(INVENTARIO!AB486="","",INVENTARIO!AB486)</f>
        <v/>
      </c>
      <c r="P486">
        <f>IF(INVENTARIO!AC486="","",INVENTARIO!AC486)</f>
        <v/>
      </c>
      <c r="Q486">
        <f>IF(AND(K486="",N486="",L486=""),"",IF(AND((K486="ALTA"),OR(LEFT(N486,2)="L0",LEFT(N486,2)="L1",L486="No Iniciado")),"CRÍTICO - Incumplimiento Normativo SEPS",IF(AND(OR(LEFT(N486,2)="L4",LEFT(N486,2)="L5"),AND(P486&lt;&gt;"",P486&lt;&gt;"N/A")),"CONFORME - Control Efectivo ISO 27001","OBSERVACIÓN - Revisar Controles")))</f>
        <v/>
      </c>
    </row>
    <row r="487">
      <c r="A487">
        <f>IF(INVENTARIO!A487="","",INVENTARIO!A487)</f>
        <v/>
      </c>
      <c r="B487">
        <f>IF(INVENTARIO!E487="","",INVENTARIO!E487)</f>
        <v/>
      </c>
      <c r="C487">
        <f>IF(INVENTARIO!F487="","",INVENTARIO!F487)</f>
        <v/>
      </c>
      <c r="D487">
        <f>IF(INVENTARIO!H487="","",INVENTARIO!H487)</f>
        <v/>
      </c>
      <c r="E487">
        <f>IF(INVENTARIO!I487="","",INVENTARIO!I487)</f>
        <v/>
      </c>
      <c r="F487">
        <f>IF(INVENTARIO!N487="","",INVENTARIO!N487)</f>
        <v/>
      </c>
      <c r="G487">
        <f>IF(INVENTARIO!P487="","",INVENTARIO!P487)</f>
        <v/>
      </c>
      <c r="H487">
        <f>IF(INVENTARIO!Q487="","",INVENTARIO!Q487)</f>
        <v/>
      </c>
      <c r="I487">
        <f>IF(INVENTARIO!R487="","",INVENTARIO!R487)</f>
        <v/>
      </c>
      <c r="J487">
        <f>IF(G487="PUBLICA(1)",1,IF(G487="USO INTERNO(2)",2,IF(G487="RESTRINGIDO(3)",3,0)))+IF(H487="BAJA(1)",1,IF(H487="MEDIA(2)",2,IF(H487="ALTA(3)",3,0)))+IF(I487="BAJA(1)",1,IF(I487="MEDIA(2)",2,IF(I487="ALTA(3)",3,0)))</f>
        <v/>
      </c>
      <c r="K487">
        <f>IF(J487="", "", IF(J487&gt;=8,"ALTA",IF(J487&gt;=6,"MEDIA","BAJA")))</f>
        <v/>
      </c>
      <c r="L487">
        <f>IF(INVENTARIO!Y487="","",INVENTARIO!Y487)</f>
        <v/>
      </c>
      <c r="M487">
        <f>IF(INVENTARIO!Z487="","",INVENTARIO!Z487)</f>
        <v/>
      </c>
      <c r="N487">
        <f>IF(INVENTARIO!AA487="","",INVENTARIO!AA487)</f>
        <v/>
      </c>
      <c r="O487">
        <f>IF(INVENTARIO!AB487="","",INVENTARIO!AB487)</f>
        <v/>
      </c>
      <c r="P487">
        <f>IF(INVENTARIO!AC487="","",INVENTARIO!AC487)</f>
        <v/>
      </c>
      <c r="Q487">
        <f>IF(AND(K487="",N487="",L487=""),"",IF(AND((K487="ALTA"),OR(LEFT(N487,2)="L0",LEFT(N487,2)="L1",L487="No Iniciado")),"CRÍTICO - Incumplimiento Normativo SEPS",IF(AND(OR(LEFT(N487,2)="L4",LEFT(N487,2)="L5"),AND(P487&lt;&gt;"",P487&lt;&gt;"N/A")),"CONFORME - Control Efectivo ISO 27001","OBSERVACIÓN - Revisar Controles")))</f>
        <v/>
      </c>
    </row>
    <row r="488">
      <c r="A488">
        <f>IF(INVENTARIO!A488="","",INVENTARIO!A488)</f>
        <v/>
      </c>
      <c r="B488">
        <f>IF(INVENTARIO!E488="","",INVENTARIO!E488)</f>
        <v/>
      </c>
      <c r="C488">
        <f>IF(INVENTARIO!F488="","",INVENTARIO!F488)</f>
        <v/>
      </c>
      <c r="D488">
        <f>IF(INVENTARIO!H488="","",INVENTARIO!H488)</f>
        <v/>
      </c>
      <c r="E488">
        <f>IF(INVENTARIO!I488="","",INVENTARIO!I488)</f>
        <v/>
      </c>
      <c r="F488">
        <f>IF(INVENTARIO!N488="","",INVENTARIO!N488)</f>
        <v/>
      </c>
      <c r="G488">
        <f>IF(INVENTARIO!P488="","",INVENTARIO!P488)</f>
        <v/>
      </c>
      <c r="H488">
        <f>IF(INVENTARIO!Q488="","",INVENTARIO!Q488)</f>
        <v/>
      </c>
      <c r="I488">
        <f>IF(INVENTARIO!R488="","",INVENTARIO!R488)</f>
        <v/>
      </c>
      <c r="J488">
        <f>IF(G488="PUBLICA(1)",1,IF(G488="USO INTERNO(2)",2,IF(G488="RESTRINGIDO(3)",3,0)))+IF(H488="BAJA(1)",1,IF(H488="MEDIA(2)",2,IF(H488="ALTA(3)",3,0)))+IF(I488="BAJA(1)",1,IF(I488="MEDIA(2)",2,IF(I488="ALTA(3)",3,0)))</f>
        <v/>
      </c>
      <c r="K488">
        <f>IF(J488="", "", IF(J488&gt;=8,"ALTA",IF(J488&gt;=6,"MEDIA","BAJA")))</f>
        <v/>
      </c>
      <c r="L488">
        <f>IF(INVENTARIO!Y488="","",INVENTARIO!Y488)</f>
        <v/>
      </c>
      <c r="M488">
        <f>IF(INVENTARIO!Z488="","",INVENTARIO!Z488)</f>
        <v/>
      </c>
      <c r="N488">
        <f>IF(INVENTARIO!AA488="","",INVENTARIO!AA488)</f>
        <v/>
      </c>
      <c r="O488">
        <f>IF(INVENTARIO!AB488="","",INVENTARIO!AB488)</f>
        <v/>
      </c>
      <c r="P488">
        <f>IF(INVENTARIO!AC488="","",INVENTARIO!AC488)</f>
        <v/>
      </c>
      <c r="Q488">
        <f>IF(AND(K488="",N488="",L488=""),"",IF(AND((K488="ALTA"),OR(LEFT(N488,2)="L0",LEFT(N488,2)="L1",L488="No Iniciado")),"CRÍTICO - Incumplimiento Normativo SEPS",IF(AND(OR(LEFT(N488,2)="L4",LEFT(N488,2)="L5"),AND(P488&lt;&gt;"",P488&lt;&gt;"N/A")),"CONFORME - Control Efectivo ISO 27001","OBSERVACIÓN - Revisar Controles")))</f>
        <v/>
      </c>
    </row>
    <row r="489">
      <c r="A489">
        <f>IF(INVENTARIO!A489="","",INVENTARIO!A489)</f>
        <v/>
      </c>
      <c r="B489">
        <f>IF(INVENTARIO!E489="","",INVENTARIO!E489)</f>
        <v/>
      </c>
      <c r="C489">
        <f>IF(INVENTARIO!F489="","",INVENTARIO!F489)</f>
        <v/>
      </c>
      <c r="D489">
        <f>IF(INVENTARIO!H489="","",INVENTARIO!H489)</f>
        <v/>
      </c>
      <c r="E489">
        <f>IF(INVENTARIO!I489="","",INVENTARIO!I489)</f>
        <v/>
      </c>
      <c r="F489">
        <f>IF(INVENTARIO!N489="","",INVENTARIO!N489)</f>
        <v/>
      </c>
      <c r="G489">
        <f>IF(INVENTARIO!P489="","",INVENTARIO!P489)</f>
        <v/>
      </c>
      <c r="H489">
        <f>IF(INVENTARIO!Q489="","",INVENTARIO!Q489)</f>
        <v/>
      </c>
      <c r="I489">
        <f>IF(INVENTARIO!R489="","",INVENTARIO!R489)</f>
        <v/>
      </c>
      <c r="J489">
        <f>IF(G489="PUBLICA(1)",1,IF(G489="USO INTERNO(2)",2,IF(G489="RESTRINGIDO(3)",3,0)))+IF(H489="BAJA(1)",1,IF(H489="MEDIA(2)",2,IF(H489="ALTA(3)",3,0)))+IF(I489="BAJA(1)",1,IF(I489="MEDIA(2)",2,IF(I489="ALTA(3)",3,0)))</f>
        <v/>
      </c>
      <c r="K489">
        <f>IF(J489="", "", IF(J489&gt;=8,"ALTA",IF(J489&gt;=6,"MEDIA","BAJA")))</f>
        <v/>
      </c>
      <c r="L489">
        <f>IF(INVENTARIO!Y489="","",INVENTARIO!Y489)</f>
        <v/>
      </c>
      <c r="M489">
        <f>IF(INVENTARIO!Z489="","",INVENTARIO!Z489)</f>
        <v/>
      </c>
      <c r="N489">
        <f>IF(INVENTARIO!AA489="","",INVENTARIO!AA489)</f>
        <v/>
      </c>
      <c r="O489">
        <f>IF(INVENTARIO!AB489="","",INVENTARIO!AB489)</f>
        <v/>
      </c>
      <c r="P489">
        <f>IF(INVENTARIO!AC489="","",INVENTARIO!AC489)</f>
        <v/>
      </c>
      <c r="Q489">
        <f>IF(AND(K489="",N489="",L489=""),"",IF(AND((K489="ALTA"),OR(LEFT(N489,2)="L0",LEFT(N489,2)="L1",L489="No Iniciado")),"CRÍTICO - Incumplimiento Normativo SEPS",IF(AND(OR(LEFT(N489,2)="L4",LEFT(N489,2)="L5"),AND(P489&lt;&gt;"",P489&lt;&gt;"N/A")),"CONFORME - Control Efectivo ISO 27001","OBSERVACIÓN - Revisar Controles")))</f>
        <v/>
      </c>
    </row>
    <row r="490">
      <c r="A490">
        <f>IF(INVENTARIO!A490="","",INVENTARIO!A490)</f>
        <v/>
      </c>
      <c r="B490">
        <f>IF(INVENTARIO!E490="","",INVENTARIO!E490)</f>
        <v/>
      </c>
      <c r="C490">
        <f>IF(INVENTARIO!F490="","",INVENTARIO!F490)</f>
        <v/>
      </c>
      <c r="D490">
        <f>IF(INVENTARIO!H490="","",INVENTARIO!H490)</f>
        <v/>
      </c>
      <c r="E490">
        <f>IF(INVENTARIO!I490="","",INVENTARIO!I490)</f>
        <v/>
      </c>
      <c r="F490">
        <f>IF(INVENTARIO!N490="","",INVENTARIO!N490)</f>
        <v/>
      </c>
      <c r="G490">
        <f>IF(INVENTARIO!P490="","",INVENTARIO!P490)</f>
        <v/>
      </c>
      <c r="H490">
        <f>IF(INVENTARIO!Q490="","",INVENTARIO!Q490)</f>
        <v/>
      </c>
      <c r="I490">
        <f>IF(INVENTARIO!R490="","",INVENTARIO!R490)</f>
        <v/>
      </c>
      <c r="J490">
        <f>IF(G490="PUBLICA(1)",1,IF(G490="USO INTERNO(2)",2,IF(G490="RESTRINGIDO(3)",3,0)))+IF(H490="BAJA(1)",1,IF(H490="MEDIA(2)",2,IF(H490="ALTA(3)",3,0)))+IF(I490="BAJA(1)",1,IF(I490="MEDIA(2)",2,IF(I490="ALTA(3)",3,0)))</f>
        <v/>
      </c>
      <c r="K490">
        <f>IF(J490="", "", IF(J490&gt;=8,"ALTA",IF(J490&gt;=6,"MEDIA","BAJA")))</f>
        <v/>
      </c>
      <c r="L490">
        <f>IF(INVENTARIO!Y490="","",INVENTARIO!Y490)</f>
        <v/>
      </c>
      <c r="M490">
        <f>IF(INVENTARIO!Z490="","",INVENTARIO!Z490)</f>
        <v/>
      </c>
      <c r="N490">
        <f>IF(INVENTARIO!AA490="","",INVENTARIO!AA490)</f>
        <v/>
      </c>
      <c r="O490">
        <f>IF(INVENTARIO!AB490="","",INVENTARIO!AB490)</f>
        <v/>
      </c>
      <c r="P490">
        <f>IF(INVENTARIO!AC490="","",INVENTARIO!AC490)</f>
        <v/>
      </c>
      <c r="Q490">
        <f>IF(AND(K490="",N490="",L490=""),"",IF(AND((K490="ALTA"),OR(LEFT(N490,2)="L0",LEFT(N490,2)="L1",L490="No Iniciado")),"CRÍTICO - Incumplimiento Normativo SEPS",IF(AND(OR(LEFT(N490,2)="L4",LEFT(N490,2)="L5"),AND(P490&lt;&gt;"",P490&lt;&gt;"N/A")),"CONFORME - Control Efectivo ISO 27001","OBSERVACIÓN - Revisar Controles")))</f>
        <v/>
      </c>
    </row>
    <row r="491">
      <c r="A491">
        <f>IF(INVENTARIO!A491="","",INVENTARIO!A491)</f>
        <v/>
      </c>
      <c r="B491">
        <f>IF(INVENTARIO!E491="","",INVENTARIO!E491)</f>
        <v/>
      </c>
      <c r="C491">
        <f>IF(INVENTARIO!F491="","",INVENTARIO!F491)</f>
        <v/>
      </c>
      <c r="D491">
        <f>IF(INVENTARIO!H491="","",INVENTARIO!H491)</f>
        <v/>
      </c>
      <c r="E491">
        <f>IF(INVENTARIO!I491="","",INVENTARIO!I491)</f>
        <v/>
      </c>
      <c r="F491">
        <f>IF(INVENTARIO!N491="","",INVENTARIO!N491)</f>
        <v/>
      </c>
      <c r="G491">
        <f>IF(INVENTARIO!P491="","",INVENTARIO!P491)</f>
        <v/>
      </c>
      <c r="H491">
        <f>IF(INVENTARIO!Q491="","",INVENTARIO!Q491)</f>
        <v/>
      </c>
      <c r="I491">
        <f>IF(INVENTARIO!R491="","",INVENTARIO!R491)</f>
        <v/>
      </c>
      <c r="J491">
        <f>IF(G491="PUBLICA(1)",1,IF(G491="USO INTERNO(2)",2,IF(G491="RESTRINGIDO(3)",3,0)))+IF(H491="BAJA(1)",1,IF(H491="MEDIA(2)",2,IF(H491="ALTA(3)",3,0)))+IF(I491="BAJA(1)",1,IF(I491="MEDIA(2)",2,IF(I491="ALTA(3)",3,0)))</f>
        <v/>
      </c>
      <c r="K491">
        <f>IF(J491="", "", IF(J491&gt;=8,"ALTA",IF(J491&gt;=6,"MEDIA","BAJA")))</f>
        <v/>
      </c>
      <c r="L491">
        <f>IF(INVENTARIO!Y491="","",INVENTARIO!Y491)</f>
        <v/>
      </c>
      <c r="M491">
        <f>IF(INVENTARIO!Z491="","",INVENTARIO!Z491)</f>
        <v/>
      </c>
      <c r="N491">
        <f>IF(INVENTARIO!AA491="","",INVENTARIO!AA491)</f>
        <v/>
      </c>
      <c r="O491">
        <f>IF(INVENTARIO!AB491="","",INVENTARIO!AB491)</f>
        <v/>
      </c>
      <c r="P491">
        <f>IF(INVENTARIO!AC491="","",INVENTARIO!AC491)</f>
        <v/>
      </c>
      <c r="Q491">
        <f>IF(AND(K491="",N491="",L491=""),"",IF(AND((K491="ALTA"),OR(LEFT(N491,2)="L0",LEFT(N491,2)="L1",L491="No Iniciado")),"CRÍTICO - Incumplimiento Normativo SEPS",IF(AND(OR(LEFT(N491,2)="L4",LEFT(N491,2)="L5"),AND(P491&lt;&gt;"",P491&lt;&gt;"N/A")),"CONFORME - Control Efectivo ISO 27001","OBSERVACIÓN - Revisar Controles")))</f>
        <v/>
      </c>
    </row>
    <row r="492">
      <c r="A492">
        <f>IF(INVENTARIO!A492="","",INVENTARIO!A492)</f>
        <v/>
      </c>
      <c r="B492">
        <f>IF(INVENTARIO!E492="","",INVENTARIO!E492)</f>
        <v/>
      </c>
      <c r="C492">
        <f>IF(INVENTARIO!F492="","",INVENTARIO!F492)</f>
        <v/>
      </c>
      <c r="D492">
        <f>IF(INVENTARIO!H492="","",INVENTARIO!H492)</f>
        <v/>
      </c>
      <c r="E492">
        <f>IF(INVENTARIO!I492="","",INVENTARIO!I492)</f>
        <v/>
      </c>
      <c r="F492">
        <f>IF(INVENTARIO!N492="","",INVENTARIO!N492)</f>
        <v/>
      </c>
      <c r="G492">
        <f>IF(INVENTARIO!P492="","",INVENTARIO!P492)</f>
        <v/>
      </c>
      <c r="H492">
        <f>IF(INVENTARIO!Q492="","",INVENTARIO!Q492)</f>
        <v/>
      </c>
      <c r="I492">
        <f>IF(INVENTARIO!R492="","",INVENTARIO!R492)</f>
        <v/>
      </c>
      <c r="J492">
        <f>IF(G492="PUBLICA(1)",1,IF(G492="USO INTERNO(2)",2,IF(G492="RESTRINGIDO(3)",3,0)))+IF(H492="BAJA(1)",1,IF(H492="MEDIA(2)",2,IF(H492="ALTA(3)",3,0)))+IF(I492="BAJA(1)",1,IF(I492="MEDIA(2)",2,IF(I492="ALTA(3)",3,0)))</f>
        <v/>
      </c>
      <c r="K492">
        <f>IF(J492="", "", IF(J492&gt;=8,"ALTA",IF(J492&gt;=6,"MEDIA","BAJA")))</f>
        <v/>
      </c>
      <c r="L492">
        <f>IF(INVENTARIO!Y492="","",INVENTARIO!Y492)</f>
        <v/>
      </c>
      <c r="M492">
        <f>IF(INVENTARIO!Z492="","",INVENTARIO!Z492)</f>
        <v/>
      </c>
      <c r="N492">
        <f>IF(INVENTARIO!AA492="","",INVENTARIO!AA492)</f>
        <v/>
      </c>
      <c r="O492">
        <f>IF(INVENTARIO!AB492="","",INVENTARIO!AB492)</f>
        <v/>
      </c>
      <c r="P492">
        <f>IF(INVENTARIO!AC492="","",INVENTARIO!AC492)</f>
        <v/>
      </c>
      <c r="Q492">
        <f>IF(AND(K492="",N492="",L492=""),"",IF(AND((K492="ALTA"),OR(LEFT(N492,2)="L0",LEFT(N492,2)="L1",L492="No Iniciado")),"CRÍTICO - Incumplimiento Normativo SEPS",IF(AND(OR(LEFT(N492,2)="L4",LEFT(N492,2)="L5"),AND(P492&lt;&gt;"",P492&lt;&gt;"N/A")),"CONFORME - Control Efectivo ISO 27001","OBSERVACIÓN - Revisar Controles")))</f>
        <v/>
      </c>
    </row>
    <row r="493">
      <c r="A493">
        <f>IF(INVENTARIO!A493="","",INVENTARIO!A493)</f>
        <v/>
      </c>
      <c r="B493">
        <f>IF(INVENTARIO!E493="","",INVENTARIO!E493)</f>
        <v/>
      </c>
      <c r="C493">
        <f>IF(INVENTARIO!F493="","",INVENTARIO!F493)</f>
        <v/>
      </c>
      <c r="D493">
        <f>IF(INVENTARIO!H493="","",INVENTARIO!H493)</f>
        <v/>
      </c>
      <c r="E493">
        <f>IF(INVENTARIO!I493="","",INVENTARIO!I493)</f>
        <v/>
      </c>
      <c r="F493">
        <f>IF(INVENTARIO!N493="","",INVENTARIO!N493)</f>
        <v/>
      </c>
      <c r="G493">
        <f>IF(INVENTARIO!P493="","",INVENTARIO!P493)</f>
        <v/>
      </c>
      <c r="H493">
        <f>IF(INVENTARIO!Q493="","",INVENTARIO!Q493)</f>
        <v/>
      </c>
      <c r="I493">
        <f>IF(INVENTARIO!R493="","",INVENTARIO!R493)</f>
        <v/>
      </c>
      <c r="J493">
        <f>IF(G493="PUBLICA(1)",1,IF(G493="USO INTERNO(2)",2,IF(G493="RESTRINGIDO(3)",3,0)))+IF(H493="BAJA(1)",1,IF(H493="MEDIA(2)",2,IF(H493="ALTA(3)",3,0)))+IF(I493="BAJA(1)",1,IF(I493="MEDIA(2)",2,IF(I493="ALTA(3)",3,0)))</f>
        <v/>
      </c>
      <c r="K493">
        <f>IF(J493="", "", IF(J493&gt;=8,"ALTA",IF(J493&gt;=6,"MEDIA","BAJA")))</f>
        <v/>
      </c>
      <c r="L493">
        <f>IF(INVENTARIO!Y493="","",INVENTARIO!Y493)</f>
        <v/>
      </c>
      <c r="M493">
        <f>IF(INVENTARIO!Z493="","",INVENTARIO!Z493)</f>
        <v/>
      </c>
      <c r="N493">
        <f>IF(INVENTARIO!AA493="","",INVENTARIO!AA493)</f>
        <v/>
      </c>
      <c r="O493">
        <f>IF(INVENTARIO!AB493="","",INVENTARIO!AB493)</f>
        <v/>
      </c>
      <c r="P493">
        <f>IF(INVENTARIO!AC493="","",INVENTARIO!AC493)</f>
        <v/>
      </c>
      <c r="Q493">
        <f>IF(AND(K493="",N493="",L493=""),"",IF(AND((K493="ALTA"),OR(LEFT(N493,2)="L0",LEFT(N493,2)="L1",L493="No Iniciado")),"CRÍTICO - Incumplimiento Normativo SEPS",IF(AND(OR(LEFT(N493,2)="L4",LEFT(N493,2)="L5"),AND(P493&lt;&gt;"",P493&lt;&gt;"N/A")),"CONFORME - Control Efectivo ISO 27001","OBSERVACIÓN - Revisar Controles")))</f>
        <v/>
      </c>
    </row>
    <row r="494">
      <c r="A494">
        <f>IF(INVENTARIO!A494="","",INVENTARIO!A494)</f>
        <v/>
      </c>
      <c r="B494">
        <f>IF(INVENTARIO!E494="","",INVENTARIO!E494)</f>
        <v/>
      </c>
      <c r="C494">
        <f>IF(INVENTARIO!F494="","",INVENTARIO!F494)</f>
        <v/>
      </c>
      <c r="D494">
        <f>IF(INVENTARIO!H494="","",INVENTARIO!H494)</f>
        <v/>
      </c>
      <c r="E494">
        <f>IF(INVENTARIO!I494="","",INVENTARIO!I494)</f>
        <v/>
      </c>
      <c r="F494">
        <f>IF(INVENTARIO!N494="","",INVENTARIO!N494)</f>
        <v/>
      </c>
      <c r="G494">
        <f>IF(INVENTARIO!P494="","",INVENTARIO!P494)</f>
        <v/>
      </c>
      <c r="H494">
        <f>IF(INVENTARIO!Q494="","",INVENTARIO!Q494)</f>
        <v/>
      </c>
      <c r="I494">
        <f>IF(INVENTARIO!R494="","",INVENTARIO!R494)</f>
        <v/>
      </c>
      <c r="J494">
        <f>IF(G494="PUBLICA(1)",1,IF(G494="USO INTERNO(2)",2,IF(G494="RESTRINGIDO(3)",3,0)))+IF(H494="BAJA(1)",1,IF(H494="MEDIA(2)",2,IF(H494="ALTA(3)",3,0)))+IF(I494="BAJA(1)",1,IF(I494="MEDIA(2)",2,IF(I494="ALTA(3)",3,0)))</f>
        <v/>
      </c>
      <c r="K494">
        <f>IF(J494="", "", IF(J494&gt;=8,"ALTA",IF(J494&gt;=6,"MEDIA","BAJA")))</f>
        <v/>
      </c>
      <c r="L494">
        <f>IF(INVENTARIO!Y494="","",INVENTARIO!Y494)</f>
        <v/>
      </c>
      <c r="M494">
        <f>IF(INVENTARIO!Z494="","",INVENTARIO!Z494)</f>
        <v/>
      </c>
      <c r="N494">
        <f>IF(INVENTARIO!AA494="","",INVENTARIO!AA494)</f>
        <v/>
      </c>
      <c r="O494">
        <f>IF(INVENTARIO!AB494="","",INVENTARIO!AB494)</f>
        <v/>
      </c>
      <c r="P494">
        <f>IF(INVENTARIO!AC494="","",INVENTARIO!AC494)</f>
        <v/>
      </c>
      <c r="Q494">
        <f>IF(AND(K494="",N494="",L494=""),"",IF(AND((K494="ALTA"),OR(LEFT(N494,2)="L0",LEFT(N494,2)="L1",L494="No Iniciado")),"CRÍTICO - Incumplimiento Normativo SEPS",IF(AND(OR(LEFT(N494,2)="L4",LEFT(N494,2)="L5"),AND(P494&lt;&gt;"",P494&lt;&gt;"N/A")),"CONFORME - Control Efectivo ISO 27001","OBSERVACIÓN - Revisar Controles")))</f>
        <v/>
      </c>
    </row>
    <row r="495">
      <c r="A495">
        <f>IF(INVENTARIO!A495="","",INVENTARIO!A495)</f>
        <v/>
      </c>
      <c r="B495">
        <f>IF(INVENTARIO!E495="","",INVENTARIO!E495)</f>
        <v/>
      </c>
      <c r="C495">
        <f>IF(INVENTARIO!F495="","",INVENTARIO!F495)</f>
        <v/>
      </c>
      <c r="D495">
        <f>IF(INVENTARIO!H495="","",INVENTARIO!H495)</f>
        <v/>
      </c>
      <c r="E495">
        <f>IF(INVENTARIO!I495="","",INVENTARIO!I495)</f>
        <v/>
      </c>
      <c r="F495">
        <f>IF(INVENTARIO!N495="","",INVENTARIO!N495)</f>
        <v/>
      </c>
      <c r="G495">
        <f>IF(INVENTARIO!P495="","",INVENTARIO!P495)</f>
        <v/>
      </c>
      <c r="H495">
        <f>IF(INVENTARIO!Q495="","",INVENTARIO!Q495)</f>
        <v/>
      </c>
      <c r="I495">
        <f>IF(INVENTARIO!R495="","",INVENTARIO!R495)</f>
        <v/>
      </c>
      <c r="J495">
        <f>IF(G495="PUBLICA(1)",1,IF(G495="USO INTERNO(2)",2,IF(G495="RESTRINGIDO(3)",3,0)))+IF(H495="BAJA(1)",1,IF(H495="MEDIA(2)",2,IF(H495="ALTA(3)",3,0)))+IF(I495="BAJA(1)",1,IF(I495="MEDIA(2)",2,IF(I495="ALTA(3)",3,0)))</f>
        <v/>
      </c>
      <c r="K495">
        <f>IF(J495="", "", IF(J495&gt;=8,"ALTA",IF(J495&gt;=6,"MEDIA","BAJA")))</f>
        <v/>
      </c>
      <c r="L495">
        <f>IF(INVENTARIO!Y495="","",INVENTARIO!Y495)</f>
        <v/>
      </c>
      <c r="M495">
        <f>IF(INVENTARIO!Z495="","",INVENTARIO!Z495)</f>
        <v/>
      </c>
      <c r="N495">
        <f>IF(INVENTARIO!AA495="","",INVENTARIO!AA495)</f>
        <v/>
      </c>
      <c r="O495">
        <f>IF(INVENTARIO!AB495="","",INVENTARIO!AB495)</f>
        <v/>
      </c>
      <c r="P495">
        <f>IF(INVENTARIO!AC495="","",INVENTARIO!AC495)</f>
        <v/>
      </c>
      <c r="Q495">
        <f>IF(AND(K495="",N495="",L495=""),"",IF(AND((K495="ALTA"),OR(LEFT(N495,2)="L0",LEFT(N495,2)="L1",L495="No Iniciado")),"CRÍTICO - Incumplimiento Normativo SEPS",IF(AND(OR(LEFT(N495,2)="L4",LEFT(N495,2)="L5"),AND(P495&lt;&gt;"",P495&lt;&gt;"N/A")),"CONFORME - Control Efectivo ISO 27001","OBSERVACIÓN - Revisar Controles")))</f>
        <v/>
      </c>
    </row>
    <row r="496">
      <c r="A496">
        <f>IF(INVENTARIO!A496="","",INVENTARIO!A496)</f>
        <v/>
      </c>
      <c r="B496">
        <f>IF(INVENTARIO!E496="","",INVENTARIO!E496)</f>
        <v/>
      </c>
      <c r="C496">
        <f>IF(INVENTARIO!F496="","",INVENTARIO!F496)</f>
        <v/>
      </c>
      <c r="D496">
        <f>IF(INVENTARIO!H496="","",INVENTARIO!H496)</f>
        <v/>
      </c>
      <c r="E496">
        <f>IF(INVENTARIO!I496="","",INVENTARIO!I496)</f>
        <v/>
      </c>
      <c r="F496">
        <f>IF(INVENTARIO!N496="","",INVENTARIO!N496)</f>
        <v/>
      </c>
      <c r="G496">
        <f>IF(INVENTARIO!P496="","",INVENTARIO!P496)</f>
        <v/>
      </c>
      <c r="H496">
        <f>IF(INVENTARIO!Q496="","",INVENTARIO!Q496)</f>
        <v/>
      </c>
      <c r="I496">
        <f>IF(INVENTARIO!R496="","",INVENTARIO!R496)</f>
        <v/>
      </c>
      <c r="J496">
        <f>IF(G496="PUBLICA(1)",1,IF(G496="USO INTERNO(2)",2,IF(G496="RESTRINGIDO(3)",3,0)))+IF(H496="BAJA(1)",1,IF(H496="MEDIA(2)",2,IF(H496="ALTA(3)",3,0)))+IF(I496="BAJA(1)",1,IF(I496="MEDIA(2)",2,IF(I496="ALTA(3)",3,0)))</f>
        <v/>
      </c>
      <c r="K496">
        <f>IF(J496="", "", IF(J496&gt;=8,"ALTA",IF(J496&gt;=6,"MEDIA","BAJA")))</f>
        <v/>
      </c>
      <c r="L496">
        <f>IF(INVENTARIO!Y496="","",INVENTARIO!Y496)</f>
        <v/>
      </c>
      <c r="M496">
        <f>IF(INVENTARIO!Z496="","",INVENTARIO!Z496)</f>
        <v/>
      </c>
      <c r="N496">
        <f>IF(INVENTARIO!AA496="","",INVENTARIO!AA496)</f>
        <v/>
      </c>
      <c r="O496">
        <f>IF(INVENTARIO!AB496="","",INVENTARIO!AB496)</f>
        <v/>
      </c>
      <c r="P496">
        <f>IF(INVENTARIO!AC496="","",INVENTARIO!AC496)</f>
        <v/>
      </c>
      <c r="Q496">
        <f>IF(AND(K496="",N496="",L496=""),"",IF(AND((K496="ALTA"),OR(LEFT(N496,2)="L0",LEFT(N496,2)="L1",L496="No Iniciado")),"CRÍTICO - Incumplimiento Normativo SEPS",IF(AND(OR(LEFT(N496,2)="L4",LEFT(N496,2)="L5"),AND(P496&lt;&gt;"",P496&lt;&gt;"N/A")),"CONFORME - Control Efectivo ISO 27001","OBSERVACIÓN - Revisar Controles")))</f>
        <v/>
      </c>
    </row>
    <row r="497">
      <c r="A497">
        <f>IF(INVENTARIO!A497="","",INVENTARIO!A497)</f>
        <v/>
      </c>
      <c r="B497">
        <f>IF(INVENTARIO!E497="","",INVENTARIO!E497)</f>
        <v/>
      </c>
      <c r="C497">
        <f>IF(INVENTARIO!F497="","",INVENTARIO!F497)</f>
        <v/>
      </c>
      <c r="D497">
        <f>IF(INVENTARIO!H497="","",INVENTARIO!H497)</f>
        <v/>
      </c>
      <c r="E497">
        <f>IF(INVENTARIO!I497="","",INVENTARIO!I497)</f>
        <v/>
      </c>
      <c r="F497">
        <f>IF(INVENTARIO!N497="","",INVENTARIO!N497)</f>
        <v/>
      </c>
      <c r="G497">
        <f>IF(INVENTARIO!P497="","",INVENTARIO!P497)</f>
        <v/>
      </c>
      <c r="H497">
        <f>IF(INVENTARIO!Q497="","",INVENTARIO!Q497)</f>
        <v/>
      </c>
      <c r="I497">
        <f>IF(INVENTARIO!R497="","",INVENTARIO!R497)</f>
        <v/>
      </c>
      <c r="J497">
        <f>IF(G497="PUBLICA(1)",1,IF(G497="USO INTERNO(2)",2,IF(G497="RESTRINGIDO(3)",3,0)))+IF(H497="BAJA(1)",1,IF(H497="MEDIA(2)",2,IF(H497="ALTA(3)",3,0)))+IF(I497="BAJA(1)",1,IF(I497="MEDIA(2)",2,IF(I497="ALTA(3)",3,0)))</f>
        <v/>
      </c>
      <c r="K497">
        <f>IF(J497="", "", IF(J497&gt;=8,"ALTA",IF(J497&gt;=6,"MEDIA","BAJA")))</f>
        <v/>
      </c>
      <c r="L497">
        <f>IF(INVENTARIO!Y497="","",INVENTARIO!Y497)</f>
        <v/>
      </c>
      <c r="M497">
        <f>IF(INVENTARIO!Z497="","",INVENTARIO!Z497)</f>
        <v/>
      </c>
      <c r="N497">
        <f>IF(INVENTARIO!AA497="","",INVENTARIO!AA497)</f>
        <v/>
      </c>
      <c r="O497">
        <f>IF(INVENTARIO!AB497="","",INVENTARIO!AB497)</f>
        <v/>
      </c>
      <c r="P497">
        <f>IF(INVENTARIO!AC497="","",INVENTARIO!AC497)</f>
        <v/>
      </c>
      <c r="Q497">
        <f>IF(AND(K497="",N497="",L497=""),"",IF(AND((K497="ALTA"),OR(LEFT(N497,2)="L0",LEFT(N497,2)="L1",L497="No Iniciado")),"CRÍTICO - Incumplimiento Normativo SEPS",IF(AND(OR(LEFT(N497,2)="L4",LEFT(N497,2)="L5"),AND(P497&lt;&gt;"",P497&lt;&gt;"N/A")),"CONFORME - Control Efectivo ISO 27001","OBSERVACIÓN - Revisar Controles")))</f>
        <v/>
      </c>
    </row>
    <row r="498">
      <c r="A498">
        <f>IF(INVENTARIO!A498="","",INVENTARIO!A498)</f>
        <v/>
      </c>
      <c r="B498">
        <f>IF(INVENTARIO!E498="","",INVENTARIO!E498)</f>
        <v/>
      </c>
      <c r="C498">
        <f>IF(INVENTARIO!F498="","",INVENTARIO!F498)</f>
        <v/>
      </c>
      <c r="D498">
        <f>IF(INVENTARIO!H498="","",INVENTARIO!H498)</f>
        <v/>
      </c>
      <c r="E498">
        <f>IF(INVENTARIO!I498="","",INVENTARIO!I498)</f>
        <v/>
      </c>
      <c r="F498">
        <f>IF(INVENTARIO!N498="","",INVENTARIO!N498)</f>
        <v/>
      </c>
      <c r="G498">
        <f>IF(INVENTARIO!P498="","",INVENTARIO!P498)</f>
        <v/>
      </c>
      <c r="H498">
        <f>IF(INVENTARIO!Q498="","",INVENTARIO!Q498)</f>
        <v/>
      </c>
      <c r="I498">
        <f>IF(INVENTARIO!R498="","",INVENTARIO!R498)</f>
        <v/>
      </c>
      <c r="J498">
        <f>IF(G498="PUBLICA(1)",1,IF(G498="USO INTERNO(2)",2,IF(G498="RESTRINGIDO(3)",3,0)))+IF(H498="BAJA(1)",1,IF(H498="MEDIA(2)",2,IF(H498="ALTA(3)",3,0)))+IF(I498="BAJA(1)",1,IF(I498="MEDIA(2)",2,IF(I498="ALTA(3)",3,0)))</f>
        <v/>
      </c>
      <c r="K498">
        <f>IF(J498="", "", IF(J498&gt;=8,"ALTA",IF(J498&gt;=6,"MEDIA","BAJA")))</f>
        <v/>
      </c>
      <c r="L498">
        <f>IF(INVENTARIO!Y498="","",INVENTARIO!Y498)</f>
        <v/>
      </c>
      <c r="M498">
        <f>IF(INVENTARIO!Z498="","",INVENTARIO!Z498)</f>
        <v/>
      </c>
      <c r="N498">
        <f>IF(INVENTARIO!AA498="","",INVENTARIO!AA498)</f>
        <v/>
      </c>
      <c r="O498">
        <f>IF(INVENTARIO!AB498="","",INVENTARIO!AB498)</f>
        <v/>
      </c>
      <c r="P498">
        <f>IF(INVENTARIO!AC498="","",INVENTARIO!AC498)</f>
        <v/>
      </c>
      <c r="Q498">
        <f>IF(AND(K498="",N498="",L498=""),"",IF(AND((K498="ALTA"),OR(LEFT(N498,2)="L0",LEFT(N498,2)="L1",L498="No Iniciado")),"CRÍTICO - Incumplimiento Normativo SEPS",IF(AND(OR(LEFT(N498,2)="L4",LEFT(N498,2)="L5"),AND(P498&lt;&gt;"",P498&lt;&gt;"N/A")),"CONFORME - Control Efectivo ISO 27001","OBSERVACIÓN - Revisar Controles")))</f>
        <v/>
      </c>
    </row>
    <row r="499">
      <c r="A499">
        <f>IF(INVENTARIO!A499="","",INVENTARIO!A499)</f>
        <v/>
      </c>
      <c r="B499">
        <f>IF(INVENTARIO!E499="","",INVENTARIO!E499)</f>
        <v/>
      </c>
      <c r="C499">
        <f>IF(INVENTARIO!F499="","",INVENTARIO!F499)</f>
        <v/>
      </c>
      <c r="D499">
        <f>IF(INVENTARIO!H499="","",INVENTARIO!H499)</f>
        <v/>
      </c>
      <c r="E499">
        <f>IF(INVENTARIO!I499="","",INVENTARIO!I499)</f>
        <v/>
      </c>
      <c r="F499">
        <f>IF(INVENTARIO!N499="","",INVENTARIO!N499)</f>
        <v/>
      </c>
      <c r="G499">
        <f>IF(INVENTARIO!P499="","",INVENTARIO!P499)</f>
        <v/>
      </c>
      <c r="H499">
        <f>IF(INVENTARIO!Q499="","",INVENTARIO!Q499)</f>
        <v/>
      </c>
      <c r="I499">
        <f>IF(INVENTARIO!R499="","",INVENTARIO!R499)</f>
        <v/>
      </c>
      <c r="J499">
        <f>IF(G499="PUBLICA(1)",1,IF(G499="USO INTERNO(2)",2,IF(G499="RESTRINGIDO(3)",3,0)))+IF(H499="BAJA(1)",1,IF(H499="MEDIA(2)",2,IF(H499="ALTA(3)",3,0)))+IF(I499="BAJA(1)",1,IF(I499="MEDIA(2)",2,IF(I499="ALTA(3)",3,0)))</f>
        <v/>
      </c>
      <c r="K499">
        <f>IF(J499="", "", IF(J499&gt;=8,"ALTA",IF(J499&gt;=6,"MEDIA","BAJA")))</f>
        <v/>
      </c>
      <c r="L499">
        <f>IF(INVENTARIO!Y499="","",INVENTARIO!Y499)</f>
        <v/>
      </c>
      <c r="M499">
        <f>IF(INVENTARIO!Z499="","",INVENTARIO!Z499)</f>
        <v/>
      </c>
      <c r="N499">
        <f>IF(INVENTARIO!AA499="","",INVENTARIO!AA499)</f>
        <v/>
      </c>
      <c r="O499">
        <f>IF(INVENTARIO!AB499="","",INVENTARIO!AB499)</f>
        <v/>
      </c>
      <c r="P499">
        <f>IF(INVENTARIO!AC499="","",INVENTARIO!AC499)</f>
        <v/>
      </c>
      <c r="Q499">
        <f>IF(AND(K499="",N499="",L499=""),"",IF(AND((K499="ALTA"),OR(LEFT(N499,2)="L0",LEFT(N499,2)="L1",L499="No Iniciado")),"CRÍTICO - Incumplimiento Normativo SEPS",IF(AND(OR(LEFT(N499,2)="L4",LEFT(N499,2)="L5"),AND(P499&lt;&gt;"",P499&lt;&gt;"N/A")),"CONFORME - Control Efectivo ISO 27001","OBSERVACIÓN - Revisar Controles")))</f>
        <v/>
      </c>
    </row>
    <row r="500">
      <c r="A500">
        <f>IF(INVENTARIO!A500="","",INVENTARIO!A500)</f>
        <v/>
      </c>
      <c r="B500">
        <f>IF(INVENTARIO!E500="","",INVENTARIO!E500)</f>
        <v/>
      </c>
      <c r="C500">
        <f>IF(INVENTARIO!F500="","",INVENTARIO!F500)</f>
        <v/>
      </c>
      <c r="D500">
        <f>IF(INVENTARIO!H500="","",INVENTARIO!H500)</f>
        <v/>
      </c>
      <c r="E500">
        <f>IF(INVENTARIO!I500="","",INVENTARIO!I500)</f>
        <v/>
      </c>
      <c r="F500">
        <f>IF(INVENTARIO!N500="","",INVENTARIO!N500)</f>
        <v/>
      </c>
      <c r="G500">
        <f>IF(INVENTARIO!P500="","",INVENTARIO!P500)</f>
        <v/>
      </c>
      <c r="H500">
        <f>IF(INVENTARIO!Q500="","",INVENTARIO!Q500)</f>
        <v/>
      </c>
      <c r="I500">
        <f>IF(INVENTARIO!R500="","",INVENTARIO!R500)</f>
        <v/>
      </c>
      <c r="J500">
        <f>IF(G500="PUBLICA(1)",1,IF(G500="USO INTERNO(2)",2,IF(G500="RESTRINGIDO(3)",3,0)))+IF(H500="BAJA(1)",1,IF(H500="MEDIA(2)",2,IF(H500="ALTA(3)",3,0)))+IF(I500="BAJA(1)",1,IF(I500="MEDIA(2)",2,IF(I500="ALTA(3)",3,0)))</f>
        <v/>
      </c>
      <c r="K500">
        <f>IF(J500="", "", IF(J500&gt;=8,"ALTA",IF(J500&gt;=6,"MEDIA","BAJA")))</f>
        <v/>
      </c>
      <c r="L500">
        <f>IF(INVENTARIO!Y500="","",INVENTARIO!Y500)</f>
        <v/>
      </c>
      <c r="M500">
        <f>IF(INVENTARIO!Z500="","",INVENTARIO!Z500)</f>
        <v/>
      </c>
      <c r="N500">
        <f>IF(INVENTARIO!AA500="","",INVENTARIO!AA500)</f>
        <v/>
      </c>
      <c r="O500">
        <f>IF(INVENTARIO!AB500="","",INVENTARIO!AB500)</f>
        <v/>
      </c>
      <c r="P500">
        <f>IF(INVENTARIO!AC500="","",INVENTARIO!AC500)</f>
        <v/>
      </c>
      <c r="Q500">
        <f>IF(AND(K500="",N500="",L500=""),"",IF(AND((K500="ALTA"),OR(LEFT(N500,2)="L0",LEFT(N500,2)="L1",L500="No Iniciado")),"CRÍTICO - Incumplimiento Normativo SEPS",IF(AND(OR(LEFT(N500,2)="L4",LEFT(N500,2)="L5"),AND(P500&lt;&gt;"",P500&lt;&gt;"N/A")),"CONFORME - Control Efectivo ISO 27001","OBSERVACIÓN - Revisar Controles")))</f>
        <v/>
      </c>
    </row>
    <row r="501">
      <c r="A501">
        <f>IF(INVENTARIO!A501="","",INVENTARIO!A501)</f>
        <v/>
      </c>
      <c r="B501">
        <f>IF(INVENTARIO!E501="","",INVENTARIO!E501)</f>
        <v/>
      </c>
      <c r="C501">
        <f>IF(INVENTARIO!F501="","",INVENTARIO!F501)</f>
        <v/>
      </c>
      <c r="D501">
        <f>IF(INVENTARIO!H501="","",INVENTARIO!H501)</f>
        <v/>
      </c>
      <c r="E501">
        <f>IF(INVENTARIO!I501="","",INVENTARIO!I501)</f>
        <v/>
      </c>
      <c r="F501">
        <f>IF(INVENTARIO!N501="","",INVENTARIO!N501)</f>
        <v/>
      </c>
      <c r="G501">
        <f>IF(INVENTARIO!P501="","",INVENTARIO!P501)</f>
        <v/>
      </c>
      <c r="H501">
        <f>IF(INVENTARIO!Q501="","",INVENTARIO!Q501)</f>
        <v/>
      </c>
      <c r="I501">
        <f>IF(INVENTARIO!R501="","",INVENTARIO!R501)</f>
        <v/>
      </c>
      <c r="J501">
        <f>IF(G501="PUBLICA(1)",1,IF(G501="USO INTERNO(2)",2,IF(G501="RESTRINGIDO(3)",3,0)))+IF(H501="BAJA(1)",1,IF(H501="MEDIA(2)",2,IF(H501="ALTA(3)",3,0)))+IF(I501="BAJA(1)",1,IF(I501="MEDIA(2)",2,IF(I501="ALTA(3)",3,0)))</f>
        <v/>
      </c>
      <c r="K501">
        <f>IF(J501="", "", IF(J501&gt;=8,"ALTA",IF(J501&gt;=6,"MEDIA","BAJA")))</f>
        <v/>
      </c>
      <c r="L501">
        <f>IF(INVENTARIO!Y501="","",INVENTARIO!Y501)</f>
        <v/>
      </c>
      <c r="M501">
        <f>IF(INVENTARIO!Z501="","",INVENTARIO!Z501)</f>
        <v/>
      </c>
      <c r="N501">
        <f>IF(INVENTARIO!AA501="","",INVENTARIO!AA501)</f>
        <v/>
      </c>
      <c r="O501">
        <f>IF(INVENTARIO!AB501="","",INVENTARIO!AB501)</f>
        <v/>
      </c>
      <c r="P501">
        <f>IF(INVENTARIO!AC501="","",INVENTARIO!AC501)</f>
        <v/>
      </c>
      <c r="Q501">
        <f>IF(AND(K501="",N501="",L501=""),"",IF(AND((K501="ALTA"),OR(LEFT(N501,2)="L0",LEFT(N501,2)="L1",L501="No Iniciado")),"CRÍTICO - Incumplimiento Normativo SEPS",IF(AND(OR(LEFT(N501,2)="L4",LEFT(N501,2)="L5"),AND(P501&lt;&gt;"",P501&lt;&gt;"N/A")),"CONFORME - Control Efectivo ISO 27001","OBSERVACIÓN - Revisar Controles")))</f>
        <v/>
      </c>
    </row>
    <row r="502">
      <c r="A502">
        <f>IF(INVENTARIO!A502="","",INVENTARIO!A502)</f>
        <v/>
      </c>
      <c r="B502">
        <f>IF(INVENTARIO!E502="","",INVENTARIO!E502)</f>
        <v/>
      </c>
      <c r="C502">
        <f>IF(INVENTARIO!F502="","",INVENTARIO!F502)</f>
        <v/>
      </c>
      <c r="D502">
        <f>IF(INVENTARIO!H502="","",INVENTARIO!H502)</f>
        <v/>
      </c>
      <c r="E502">
        <f>IF(INVENTARIO!I502="","",INVENTARIO!I502)</f>
        <v/>
      </c>
      <c r="F502">
        <f>IF(INVENTARIO!N502="","",INVENTARIO!N502)</f>
        <v/>
      </c>
      <c r="G502">
        <f>IF(INVENTARIO!P502="","",INVENTARIO!P502)</f>
        <v/>
      </c>
      <c r="H502">
        <f>IF(INVENTARIO!Q502="","",INVENTARIO!Q502)</f>
        <v/>
      </c>
      <c r="I502">
        <f>IF(INVENTARIO!R502="","",INVENTARIO!R502)</f>
        <v/>
      </c>
      <c r="J502">
        <f>IF(G502="PUBLICA(1)",1,IF(G502="USO INTERNO(2)",2,IF(G502="RESTRINGIDO(3)",3,0)))+IF(H502="BAJA(1)",1,IF(H502="MEDIA(2)",2,IF(H502="ALTA(3)",3,0)))+IF(I502="BAJA(1)",1,IF(I502="MEDIA(2)",2,IF(I502="ALTA(3)",3,0)))</f>
        <v/>
      </c>
      <c r="K502">
        <f>IF(J502="", "", IF(J502&gt;=8,"ALTA",IF(J502&gt;=6,"MEDIA","BAJA")))</f>
        <v/>
      </c>
      <c r="L502">
        <f>IF(INVENTARIO!Y502="","",INVENTARIO!Y502)</f>
        <v/>
      </c>
      <c r="M502">
        <f>IF(INVENTARIO!Z502="","",INVENTARIO!Z502)</f>
        <v/>
      </c>
      <c r="N502">
        <f>IF(INVENTARIO!AA502="","",INVENTARIO!AA502)</f>
        <v/>
      </c>
      <c r="O502">
        <f>IF(INVENTARIO!AB502="","",INVENTARIO!AB502)</f>
        <v/>
      </c>
      <c r="P502">
        <f>IF(INVENTARIO!AC502="","",INVENTARIO!AC502)</f>
        <v/>
      </c>
      <c r="Q502">
        <f>IF(AND(K502="",N502="",L502=""),"",IF(AND((K502="ALTA"),OR(LEFT(N502,2)="L0",LEFT(N502,2)="L1",L502="No Iniciado")),"CRÍTICO - Incumplimiento Normativo SEPS",IF(AND(OR(LEFT(N502,2)="L4",LEFT(N502,2)="L5"),AND(P502&lt;&gt;"",P502&lt;&gt;"N/A")),"CONFORME - Control Efectivo ISO 27001","OBSERVACIÓN - Revisar Controles")))</f>
        <v/>
      </c>
    </row>
    <row r="503">
      <c r="A503">
        <f>IF(INVENTARIO!A503="","",INVENTARIO!A503)</f>
        <v/>
      </c>
      <c r="B503">
        <f>IF(INVENTARIO!E503="","",INVENTARIO!E503)</f>
        <v/>
      </c>
      <c r="C503">
        <f>IF(INVENTARIO!F503="","",INVENTARIO!F503)</f>
        <v/>
      </c>
      <c r="D503">
        <f>IF(INVENTARIO!H503="","",INVENTARIO!H503)</f>
        <v/>
      </c>
      <c r="E503">
        <f>IF(INVENTARIO!I503="","",INVENTARIO!I503)</f>
        <v/>
      </c>
      <c r="F503">
        <f>IF(INVENTARIO!N503="","",INVENTARIO!N503)</f>
        <v/>
      </c>
      <c r="G503">
        <f>IF(INVENTARIO!P503="","",INVENTARIO!P503)</f>
        <v/>
      </c>
      <c r="H503">
        <f>IF(INVENTARIO!Q503="","",INVENTARIO!Q503)</f>
        <v/>
      </c>
      <c r="I503">
        <f>IF(INVENTARIO!R503="","",INVENTARIO!R503)</f>
        <v/>
      </c>
      <c r="J503">
        <f>IF(G503="PUBLICA(1)",1,IF(G503="USO INTERNO(2)",2,IF(G503="RESTRINGIDO(3)",3,0)))+IF(H503="BAJA(1)",1,IF(H503="MEDIA(2)",2,IF(H503="ALTA(3)",3,0)))+IF(I503="BAJA(1)",1,IF(I503="MEDIA(2)",2,IF(I503="ALTA(3)",3,0)))</f>
        <v/>
      </c>
      <c r="K503">
        <f>IF(J503="", "", IF(J503&gt;=8,"ALTA",IF(J503&gt;=6,"MEDIA","BAJA")))</f>
        <v/>
      </c>
      <c r="L503">
        <f>IF(INVENTARIO!Y503="","",INVENTARIO!Y503)</f>
        <v/>
      </c>
      <c r="M503">
        <f>IF(INVENTARIO!Z503="","",INVENTARIO!Z503)</f>
        <v/>
      </c>
      <c r="N503">
        <f>IF(INVENTARIO!AA503="","",INVENTARIO!AA503)</f>
        <v/>
      </c>
      <c r="O503">
        <f>IF(INVENTARIO!AB503="","",INVENTARIO!AB503)</f>
        <v/>
      </c>
      <c r="P503">
        <f>IF(INVENTARIO!AC503="","",INVENTARIO!AC503)</f>
        <v/>
      </c>
      <c r="Q503">
        <f>IF(AND(K503="",N503="",L503=""),"",IF(AND((K503="ALTA"),OR(LEFT(N503,2)="L0",LEFT(N503,2)="L1",L503="No Iniciado")),"CRÍTICO - Incumplimiento Normativo SEPS",IF(AND(OR(LEFT(N503,2)="L4",LEFT(N503,2)="L5"),AND(P503&lt;&gt;"",P503&lt;&gt;"N/A")),"CONFORME - Control Efectivo ISO 27001","OBSERVACIÓN - Revisar Controles")))</f>
        <v/>
      </c>
    </row>
    <row r="504">
      <c r="A504">
        <f>IF(INVENTARIO!A504="","",INVENTARIO!A504)</f>
        <v/>
      </c>
      <c r="B504">
        <f>IF(INVENTARIO!E504="","",INVENTARIO!E504)</f>
        <v/>
      </c>
      <c r="C504">
        <f>IF(INVENTARIO!F504="","",INVENTARIO!F504)</f>
        <v/>
      </c>
      <c r="D504">
        <f>IF(INVENTARIO!H504="","",INVENTARIO!H504)</f>
        <v/>
      </c>
      <c r="E504">
        <f>IF(INVENTARIO!I504="","",INVENTARIO!I504)</f>
        <v/>
      </c>
      <c r="F504">
        <f>IF(INVENTARIO!N504="","",INVENTARIO!N504)</f>
        <v/>
      </c>
      <c r="G504">
        <f>IF(INVENTARIO!P504="","",INVENTARIO!P504)</f>
        <v/>
      </c>
      <c r="H504">
        <f>IF(INVENTARIO!Q504="","",INVENTARIO!Q504)</f>
        <v/>
      </c>
      <c r="I504">
        <f>IF(INVENTARIO!R504="","",INVENTARIO!R504)</f>
        <v/>
      </c>
      <c r="J504">
        <f>IF(G504="PUBLICA(1)",1,IF(G504="USO INTERNO(2)",2,IF(G504="RESTRINGIDO(3)",3,0)))+IF(H504="BAJA(1)",1,IF(H504="MEDIA(2)",2,IF(H504="ALTA(3)",3,0)))+IF(I504="BAJA(1)",1,IF(I504="MEDIA(2)",2,IF(I504="ALTA(3)",3,0)))</f>
        <v/>
      </c>
      <c r="K504">
        <f>IF(J504="", "", IF(J504&gt;=8,"ALTA",IF(J504&gt;=6,"MEDIA","BAJA")))</f>
        <v/>
      </c>
      <c r="L504">
        <f>IF(INVENTARIO!Y504="","",INVENTARIO!Y504)</f>
        <v/>
      </c>
      <c r="M504">
        <f>IF(INVENTARIO!Z504="","",INVENTARIO!Z504)</f>
        <v/>
      </c>
      <c r="N504">
        <f>IF(INVENTARIO!AA504="","",INVENTARIO!AA504)</f>
        <v/>
      </c>
      <c r="O504">
        <f>IF(INVENTARIO!AB504="","",INVENTARIO!AB504)</f>
        <v/>
      </c>
      <c r="P504">
        <f>IF(INVENTARIO!AC504="","",INVENTARIO!AC504)</f>
        <v/>
      </c>
      <c r="Q504">
        <f>IF(AND(K504="",N504="",L504=""),"",IF(AND((K504="ALTA"),OR(LEFT(N504,2)="L0",LEFT(N504,2)="L1",L504="No Iniciado")),"CRÍTICO - Incumplimiento Normativo SEPS",IF(AND(OR(LEFT(N504,2)="L4",LEFT(N504,2)="L5"),AND(P504&lt;&gt;"",P504&lt;&gt;"N/A")),"CONFORME - Control Efectivo ISO 27001","OBSERVACIÓN - Revisar Controles")))</f>
        <v/>
      </c>
    </row>
    <row r="505">
      <c r="A505">
        <f>IF(INVENTARIO!A505="","",INVENTARIO!A505)</f>
        <v/>
      </c>
      <c r="B505">
        <f>IF(INVENTARIO!E505="","",INVENTARIO!E505)</f>
        <v/>
      </c>
      <c r="C505">
        <f>IF(INVENTARIO!F505="","",INVENTARIO!F505)</f>
        <v/>
      </c>
      <c r="D505">
        <f>IF(INVENTARIO!H505="","",INVENTARIO!H505)</f>
        <v/>
      </c>
      <c r="E505">
        <f>IF(INVENTARIO!I505="","",INVENTARIO!I505)</f>
        <v/>
      </c>
      <c r="F505">
        <f>IF(INVENTARIO!N505="","",INVENTARIO!N505)</f>
        <v/>
      </c>
      <c r="G505">
        <f>IF(INVENTARIO!P505="","",INVENTARIO!P505)</f>
        <v/>
      </c>
      <c r="H505">
        <f>IF(INVENTARIO!Q505="","",INVENTARIO!Q505)</f>
        <v/>
      </c>
      <c r="I505">
        <f>IF(INVENTARIO!R505="","",INVENTARIO!R505)</f>
        <v/>
      </c>
      <c r="J505">
        <f>IF(G505="PUBLICA(1)",1,IF(G505="USO INTERNO(2)",2,IF(G505="RESTRINGIDO(3)",3,0)))+IF(H505="BAJA(1)",1,IF(H505="MEDIA(2)",2,IF(H505="ALTA(3)",3,0)))+IF(I505="BAJA(1)",1,IF(I505="MEDIA(2)",2,IF(I505="ALTA(3)",3,0)))</f>
        <v/>
      </c>
      <c r="K505">
        <f>IF(J505="", "", IF(J505&gt;=8,"ALTA",IF(J505&gt;=6,"MEDIA","BAJA")))</f>
        <v/>
      </c>
      <c r="L505">
        <f>IF(INVENTARIO!Y505="","",INVENTARIO!Y505)</f>
        <v/>
      </c>
      <c r="M505">
        <f>IF(INVENTARIO!Z505="","",INVENTARIO!Z505)</f>
        <v/>
      </c>
      <c r="N505">
        <f>IF(INVENTARIO!AA505="","",INVENTARIO!AA505)</f>
        <v/>
      </c>
      <c r="O505">
        <f>IF(INVENTARIO!AB505="","",INVENTARIO!AB505)</f>
        <v/>
      </c>
      <c r="P505">
        <f>IF(INVENTARIO!AC505="","",INVENTARIO!AC505)</f>
        <v/>
      </c>
      <c r="Q505">
        <f>IF(AND(K505="",N505="",L505=""),"",IF(AND((K505="ALTA"),OR(LEFT(N505,2)="L0",LEFT(N505,2)="L1",L505="No Iniciado")),"CRÍTICO - Incumplimiento Normativo SEPS",IF(AND(OR(LEFT(N505,2)="L4",LEFT(N505,2)="L5"),AND(P505&lt;&gt;"",P505&lt;&gt;"N/A")),"CONFORME - Control Efectivo ISO 27001","OBSERVACIÓN - Revisar Controles")))</f>
        <v/>
      </c>
    </row>
    <row r="506">
      <c r="A506">
        <f>IF(INVENTARIO!A506="","",INVENTARIO!A506)</f>
        <v/>
      </c>
      <c r="B506">
        <f>IF(INVENTARIO!E506="","",INVENTARIO!E506)</f>
        <v/>
      </c>
      <c r="C506">
        <f>IF(INVENTARIO!F506="","",INVENTARIO!F506)</f>
        <v/>
      </c>
      <c r="D506">
        <f>IF(INVENTARIO!H506="","",INVENTARIO!H506)</f>
        <v/>
      </c>
      <c r="E506">
        <f>IF(INVENTARIO!I506="","",INVENTARIO!I506)</f>
        <v/>
      </c>
      <c r="F506">
        <f>IF(INVENTARIO!N506="","",INVENTARIO!N506)</f>
        <v/>
      </c>
      <c r="G506">
        <f>IF(INVENTARIO!P506="","",INVENTARIO!P506)</f>
        <v/>
      </c>
      <c r="H506">
        <f>IF(INVENTARIO!Q506="","",INVENTARIO!Q506)</f>
        <v/>
      </c>
      <c r="I506">
        <f>IF(INVENTARIO!R506="","",INVENTARIO!R506)</f>
        <v/>
      </c>
      <c r="J506">
        <f>IF(G506="PUBLICA(1)",1,IF(G506="USO INTERNO(2)",2,IF(G506="RESTRINGIDO(3)",3,0)))+IF(H506="BAJA(1)",1,IF(H506="MEDIA(2)",2,IF(H506="ALTA(3)",3,0)))+IF(I506="BAJA(1)",1,IF(I506="MEDIA(2)",2,IF(I506="ALTA(3)",3,0)))</f>
        <v/>
      </c>
      <c r="K506">
        <f>IF(J506="", "", IF(J506&gt;=8,"ALTA",IF(J506&gt;=6,"MEDIA","BAJA")))</f>
        <v/>
      </c>
      <c r="L506">
        <f>IF(INVENTARIO!Y506="","",INVENTARIO!Y506)</f>
        <v/>
      </c>
      <c r="M506">
        <f>IF(INVENTARIO!Z506="","",INVENTARIO!Z506)</f>
        <v/>
      </c>
      <c r="N506">
        <f>IF(INVENTARIO!AA506="","",INVENTARIO!AA506)</f>
        <v/>
      </c>
      <c r="O506">
        <f>IF(INVENTARIO!AB506="","",INVENTARIO!AB506)</f>
        <v/>
      </c>
      <c r="P506">
        <f>IF(INVENTARIO!AC506="","",INVENTARIO!AC506)</f>
        <v/>
      </c>
      <c r="Q506">
        <f>IF(AND(K506="",N506="",L506=""),"",IF(AND((K506="ALTA"),OR(LEFT(N506,2)="L0",LEFT(N506,2)="L1",L506="No Iniciado")),"CRÍTICO - Incumplimiento Normativo SEPS",IF(AND(OR(LEFT(N506,2)="L4",LEFT(N506,2)="L5"),AND(P506&lt;&gt;"",P506&lt;&gt;"N/A")),"CONFORME - Control Efectivo ISO 27001","OBSERVACIÓN - Revisar Controles")))</f>
        <v/>
      </c>
    </row>
    <row r="507">
      <c r="A507">
        <f>IF(INVENTARIO!A507="","",INVENTARIO!A507)</f>
        <v/>
      </c>
      <c r="B507">
        <f>IF(INVENTARIO!E507="","",INVENTARIO!E507)</f>
        <v/>
      </c>
      <c r="C507">
        <f>IF(INVENTARIO!F507="","",INVENTARIO!F507)</f>
        <v/>
      </c>
      <c r="D507">
        <f>IF(INVENTARIO!H507="","",INVENTARIO!H507)</f>
        <v/>
      </c>
      <c r="E507">
        <f>IF(INVENTARIO!I507="","",INVENTARIO!I507)</f>
        <v/>
      </c>
      <c r="F507">
        <f>IF(INVENTARIO!N507="","",INVENTARIO!N507)</f>
        <v/>
      </c>
      <c r="G507">
        <f>IF(INVENTARIO!P507="","",INVENTARIO!P507)</f>
        <v/>
      </c>
      <c r="H507">
        <f>IF(INVENTARIO!Q507="","",INVENTARIO!Q507)</f>
        <v/>
      </c>
      <c r="I507">
        <f>IF(INVENTARIO!R507="","",INVENTARIO!R507)</f>
        <v/>
      </c>
      <c r="J507">
        <f>IF(G507="PUBLICA(1)",1,IF(G507="USO INTERNO(2)",2,IF(G507="RESTRINGIDO(3)",3,0)))+IF(H507="BAJA(1)",1,IF(H507="MEDIA(2)",2,IF(H507="ALTA(3)",3,0)))+IF(I507="BAJA(1)",1,IF(I507="MEDIA(2)",2,IF(I507="ALTA(3)",3,0)))</f>
        <v/>
      </c>
      <c r="K507">
        <f>IF(J507="", "", IF(J507&gt;=8,"ALTA",IF(J507&gt;=6,"MEDIA","BAJA")))</f>
        <v/>
      </c>
      <c r="L507">
        <f>IF(INVENTARIO!Y507="","",INVENTARIO!Y507)</f>
        <v/>
      </c>
      <c r="M507">
        <f>IF(INVENTARIO!Z507="","",INVENTARIO!Z507)</f>
        <v/>
      </c>
      <c r="N507">
        <f>IF(INVENTARIO!AA507="","",INVENTARIO!AA507)</f>
        <v/>
      </c>
      <c r="O507">
        <f>IF(INVENTARIO!AB507="","",INVENTARIO!AB507)</f>
        <v/>
      </c>
      <c r="P507">
        <f>IF(INVENTARIO!AC507="","",INVENTARIO!AC507)</f>
        <v/>
      </c>
      <c r="Q507">
        <f>IF(AND(K507="",N507="",L507=""),"",IF(AND((K507="ALTA"),OR(LEFT(N507,2)="L0",LEFT(N507,2)="L1",L507="No Iniciado")),"CRÍTICO - Incumplimiento Normativo SEPS",IF(AND(OR(LEFT(N507,2)="L4",LEFT(N507,2)="L5"),AND(P507&lt;&gt;"",P507&lt;&gt;"N/A")),"CONFORME - Control Efectivo ISO 27001","OBSERVACIÓN - Revisar Controles")))</f>
        <v/>
      </c>
    </row>
    <row r="508">
      <c r="A508">
        <f>IF(INVENTARIO!A508="","",INVENTARIO!A508)</f>
        <v/>
      </c>
      <c r="B508">
        <f>IF(INVENTARIO!E508="","",INVENTARIO!E508)</f>
        <v/>
      </c>
      <c r="C508">
        <f>IF(INVENTARIO!F508="","",INVENTARIO!F508)</f>
        <v/>
      </c>
      <c r="D508">
        <f>IF(INVENTARIO!H508="","",INVENTARIO!H508)</f>
        <v/>
      </c>
      <c r="E508">
        <f>IF(INVENTARIO!I508="","",INVENTARIO!I508)</f>
        <v/>
      </c>
      <c r="F508">
        <f>IF(INVENTARIO!N508="","",INVENTARIO!N508)</f>
        <v/>
      </c>
      <c r="G508">
        <f>IF(INVENTARIO!P508="","",INVENTARIO!P508)</f>
        <v/>
      </c>
      <c r="H508">
        <f>IF(INVENTARIO!Q508="","",INVENTARIO!Q508)</f>
        <v/>
      </c>
      <c r="I508">
        <f>IF(INVENTARIO!R508="","",INVENTARIO!R508)</f>
        <v/>
      </c>
      <c r="J508">
        <f>IF(G508="PUBLICA(1)",1,IF(G508="USO INTERNO(2)",2,IF(G508="RESTRINGIDO(3)",3,0)))+IF(H508="BAJA(1)",1,IF(H508="MEDIA(2)",2,IF(H508="ALTA(3)",3,0)))+IF(I508="BAJA(1)",1,IF(I508="MEDIA(2)",2,IF(I508="ALTA(3)",3,0)))</f>
        <v/>
      </c>
      <c r="K508">
        <f>IF(J508="", "", IF(J508&gt;=8,"ALTA",IF(J508&gt;=6,"MEDIA","BAJA")))</f>
        <v/>
      </c>
      <c r="L508">
        <f>IF(INVENTARIO!Y508="","",INVENTARIO!Y508)</f>
        <v/>
      </c>
      <c r="M508">
        <f>IF(INVENTARIO!Z508="","",INVENTARIO!Z508)</f>
        <v/>
      </c>
      <c r="N508">
        <f>IF(INVENTARIO!AA508="","",INVENTARIO!AA508)</f>
        <v/>
      </c>
      <c r="O508">
        <f>IF(INVENTARIO!AB508="","",INVENTARIO!AB508)</f>
        <v/>
      </c>
      <c r="P508">
        <f>IF(INVENTARIO!AC508="","",INVENTARIO!AC508)</f>
        <v/>
      </c>
      <c r="Q508">
        <f>IF(AND(K508="",N508="",L508=""),"",IF(AND((K508="ALTA"),OR(LEFT(N508,2)="L0",LEFT(N508,2)="L1",L508="No Iniciado")),"CRÍTICO - Incumplimiento Normativo SEPS",IF(AND(OR(LEFT(N508,2)="L4",LEFT(N508,2)="L5"),AND(P508&lt;&gt;"",P508&lt;&gt;"N/A")),"CONFORME - Control Efectivo ISO 27001","OBSERVACIÓN - Revisar Controles")))</f>
        <v/>
      </c>
    </row>
    <row r="509">
      <c r="A509">
        <f>IF(INVENTARIO!A509="","",INVENTARIO!A509)</f>
        <v/>
      </c>
      <c r="B509">
        <f>IF(INVENTARIO!E509="","",INVENTARIO!E509)</f>
        <v/>
      </c>
      <c r="C509">
        <f>IF(INVENTARIO!F509="","",INVENTARIO!F509)</f>
        <v/>
      </c>
      <c r="D509">
        <f>IF(INVENTARIO!H509="","",INVENTARIO!H509)</f>
        <v/>
      </c>
      <c r="E509">
        <f>IF(INVENTARIO!I509="","",INVENTARIO!I509)</f>
        <v/>
      </c>
      <c r="F509">
        <f>IF(INVENTARIO!N509="","",INVENTARIO!N509)</f>
        <v/>
      </c>
      <c r="G509">
        <f>IF(INVENTARIO!P509="","",INVENTARIO!P509)</f>
        <v/>
      </c>
      <c r="H509">
        <f>IF(INVENTARIO!Q509="","",INVENTARIO!Q509)</f>
        <v/>
      </c>
      <c r="I509">
        <f>IF(INVENTARIO!R509="","",INVENTARIO!R509)</f>
        <v/>
      </c>
      <c r="J509">
        <f>IF(G509="PUBLICA(1)",1,IF(G509="USO INTERNO(2)",2,IF(G509="RESTRINGIDO(3)",3,0)))+IF(H509="BAJA(1)",1,IF(H509="MEDIA(2)",2,IF(H509="ALTA(3)",3,0)))+IF(I509="BAJA(1)",1,IF(I509="MEDIA(2)",2,IF(I509="ALTA(3)",3,0)))</f>
        <v/>
      </c>
      <c r="K509">
        <f>IF(J509="", "", IF(J509&gt;=8,"ALTA",IF(J509&gt;=6,"MEDIA","BAJA")))</f>
        <v/>
      </c>
      <c r="L509">
        <f>IF(INVENTARIO!Y509="","",INVENTARIO!Y509)</f>
        <v/>
      </c>
      <c r="M509">
        <f>IF(INVENTARIO!Z509="","",INVENTARIO!Z509)</f>
        <v/>
      </c>
      <c r="N509">
        <f>IF(INVENTARIO!AA509="","",INVENTARIO!AA509)</f>
        <v/>
      </c>
      <c r="O509">
        <f>IF(INVENTARIO!AB509="","",INVENTARIO!AB509)</f>
        <v/>
      </c>
      <c r="P509">
        <f>IF(INVENTARIO!AC509="","",INVENTARIO!AC509)</f>
        <v/>
      </c>
      <c r="Q509">
        <f>IF(AND(K509="",N509="",L509=""),"",IF(AND((K509="ALTA"),OR(LEFT(N509,2)="L0",LEFT(N509,2)="L1",L509="No Iniciado")),"CRÍTICO - Incumplimiento Normativo SEPS",IF(AND(OR(LEFT(N509,2)="L4",LEFT(N509,2)="L5"),AND(P509&lt;&gt;"",P509&lt;&gt;"N/A")),"CONFORME - Control Efectivo ISO 27001","OBSERVACIÓN - Revisar Controles")))</f>
        <v/>
      </c>
    </row>
    <row r="510">
      <c r="A510">
        <f>IF(INVENTARIO!A510="","",INVENTARIO!A510)</f>
        <v/>
      </c>
      <c r="B510">
        <f>IF(INVENTARIO!E510="","",INVENTARIO!E510)</f>
        <v/>
      </c>
      <c r="C510">
        <f>IF(INVENTARIO!F510="","",INVENTARIO!F510)</f>
        <v/>
      </c>
      <c r="D510">
        <f>IF(INVENTARIO!H510="","",INVENTARIO!H510)</f>
        <v/>
      </c>
      <c r="E510">
        <f>IF(INVENTARIO!I510="","",INVENTARIO!I510)</f>
        <v/>
      </c>
      <c r="F510">
        <f>IF(INVENTARIO!N510="","",INVENTARIO!N510)</f>
        <v/>
      </c>
      <c r="G510">
        <f>IF(INVENTARIO!P510="","",INVENTARIO!P510)</f>
        <v/>
      </c>
      <c r="H510">
        <f>IF(INVENTARIO!Q510="","",INVENTARIO!Q510)</f>
        <v/>
      </c>
      <c r="I510">
        <f>IF(INVENTARIO!R510="","",INVENTARIO!R510)</f>
        <v/>
      </c>
      <c r="J510">
        <f>IF(G510="PUBLICA(1)",1,IF(G510="USO INTERNO(2)",2,IF(G510="RESTRINGIDO(3)",3,0)))+IF(H510="BAJA(1)",1,IF(H510="MEDIA(2)",2,IF(H510="ALTA(3)",3,0)))+IF(I510="BAJA(1)",1,IF(I510="MEDIA(2)",2,IF(I510="ALTA(3)",3,0)))</f>
        <v/>
      </c>
      <c r="K510">
        <f>IF(J510="", "", IF(J510&gt;=8,"ALTA",IF(J510&gt;=6,"MEDIA","BAJA")))</f>
        <v/>
      </c>
      <c r="L510">
        <f>IF(INVENTARIO!Y510="","",INVENTARIO!Y510)</f>
        <v/>
      </c>
      <c r="M510">
        <f>IF(INVENTARIO!Z510="","",INVENTARIO!Z510)</f>
        <v/>
      </c>
      <c r="N510">
        <f>IF(INVENTARIO!AA510="","",INVENTARIO!AA510)</f>
        <v/>
      </c>
      <c r="O510">
        <f>IF(INVENTARIO!AB510="","",INVENTARIO!AB510)</f>
        <v/>
      </c>
      <c r="P510">
        <f>IF(INVENTARIO!AC510="","",INVENTARIO!AC510)</f>
        <v/>
      </c>
      <c r="Q510">
        <f>IF(AND(K510="",N510="",L510=""),"",IF(AND((K510="ALTA"),OR(LEFT(N510,2)="L0",LEFT(N510,2)="L1",L510="No Iniciado")),"CRÍTICO - Incumplimiento Normativo SEPS",IF(AND(OR(LEFT(N510,2)="L4",LEFT(N510,2)="L5"),AND(P510&lt;&gt;"",P510&lt;&gt;"N/A")),"CONFORME - Control Efectivo ISO 27001","OBSERVACIÓN - Revisar Controles")))</f>
        <v/>
      </c>
    </row>
    <row r="511">
      <c r="A511">
        <f>IF(INVENTARIO!A511="","",INVENTARIO!A511)</f>
        <v/>
      </c>
      <c r="B511">
        <f>IF(INVENTARIO!E511="","",INVENTARIO!E511)</f>
        <v/>
      </c>
      <c r="C511">
        <f>IF(INVENTARIO!F511="","",INVENTARIO!F511)</f>
        <v/>
      </c>
      <c r="D511">
        <f>IF(INVENTARIO!H511="","",INVENTARIO!H511)</f>
        <v/>
      </c>
      <c r="E511">
        <f>IF(INVENTARIO!I511="","",INVENTARIO!I511)</f>
        <v/>
      </c>
      <c r="F511">
        <f>IF(INVENTARIO!N511="","",INVENTARIO!N511)</f>
        <v/>
      </c>
      <c r="G511">
        <f>IF(INVENTARIO!P511="","",INVENTARIO!P511)</f>
        <v/>
      </c>
      <c r="H511">
        <f>IF(INVENTARIO!Q511="","",INVENTARIO!Q511)</f>
        <v/>
      </c>
      <c r="I511">
        <f>IF(INVENTARIO!R511="","",INVENTARIO!R511)</f>
        <v/>
      </c>
      <c r="J511">
        <f>IF(G511="PUBLICA(1)",1,IF(G511="USO INTERNO(2)",2,IF(G511="RESTRINGIDO(3)",3,0)))+IF(H511="BAJA(1)",1,IF(H511="MEDIA(2)",2,IF(H511="ALTA(3)",3,0)))+IF(I511="BAJA(1)",1,IF(I511="MEDIA(2)",2,IF(I511="ALTA(3)",3,0)))</f>
        <v/>
      </c>
      <c r="K511">
        <f>IF(J511="", "", IF(J511&gt;=8,"ALTA",IF(J511&gt;=6,"MEDIA","BAJA")))</f>
        <v/>
      </c>
      <c r="L511">
        <f>IF(INVENTARIO!Y511="","",INVENTARIO!Y511)</f>
        <v/>
      </c>
      <c r="M511">
        <f>IF(INVENTARIO!Z511="","",INVENTARIO!Z511)</f>
        <v/>
      </c>
      <c r="N511">
        <f>IF(INVENTARIO!AA511="","",INVENTARIO!AA511)</f>
        <v/>
      </c>
      <c r="O511">
        <f>IF(INVENTARIO!AB511="","",INVENTARIO!AB511)</f>
        <v/>
      </c>
      <c r="P511">
        <f>IF(INVENTARIO!AC511="","",INVENTARIO!AC511)</f>
        <v/>
      </c>
      <c r="Q511">
        <f>IF(AND(K511="",N511="",L511=""),"",IF(AND((K511="ALTA"),OR(LEFT(N511,2)="L0",LEFT(N511,2)="L1",L511="No Iniciado")),"CRÍTICO - Incumplimiento Normativo SEPS",IF(AND(OR(LEFT(N511,2)="L4",LEFT(N511,2)="L5"),AND(P511&lt;&gt;"",P511&lt;&gt;"N/A")),"CONFORME - Control Efectivo ISO 27001","OBSERVACIÓN - Revisar Controles")))</f>
        <v/>
      </c>
    </row>
    <row r="512">
      <c r="A512">
        <f>IF(INVENTARIO!A512="","",INVENTARIO!A512)</f>
        <v/>
      </c>
      <c r="B512">
        <f>IF(INVENTARIO!E512="","",INVENTARIO!E512)</f>
        <v/>
      </c>
      <c r="C512">
        <f>IF(INVENTARIO!F512="","",INVENTARIO!F512)</f>
        <v/>
      </c>
      <c r="D512">
        <f>IF(INVENTARIO!H512="","",INVENTARIO!H512)</f>
        <v/>
      </c>
      <c r="E512">
        <f>IF(INVENTARIO!I512="","",INVENTARIO!I512)</f>
        <v/>
      </c>
      <c r="F512">
        <f>IF(INVENTARIO!N512="","",INVENTARIO!N512)</f>
        <v/>
      </c>
      <c r="G512">
        <f>IF(INVENTARIO!P512="","",INVENTARIO!P512)</f>
        <v/>
      </c>
      <c r="H512">
        <f>IF(INVENTARIO!Q512="","",INVENTARIO!Q512)</f>
        <v/>
      </c>
      <c r="I512">
        <f>IF(INVENTARIO!R512="","",INVENTARIO!R512)</f>
        <v/>
      </c>
      <c r="J512">
        <f>IF(G512="PUBLICA(1)",1,IF(G512="USO INTERNO(2)",2,IF(G512="RESTRINGIDO(3)",3,0)))+IF(H512="BAJA(1)",1,IF(H512="MEDIA(2)",2,IF(H512="ALTA(3)",3,0)))+IF(I512="BAJA(1)",1,IF(I512="MEDIA(2)",2,IF(I512="ALTA(3)",3,0)))</f>
        <v/>
      </c>
      <c r="K512">
        <f>IF(J512="", "", IF(J512&gt;=8,"ALTA",IF(J512&gt;=6,"MEDIA","BAJA")))</f>
        <v/>
      </c>
      <c r="L512">
        <f>IF(INVENTARIO!Y512="","",INVENTARIO!Y512)</f>
        <v/>
      </c>
      <c r="M512">
        <f>IF(INVENTARIO!Z512="","",INVENTARIO!Z512)</f>
        <v/>
      </c>
      <c r="N512">
        <f>IF(INVENTARIO!AA512="","",INVENTARIO!AA512)</f>
        <v/>
      </c>
      <c r="O512">
        <f>IF(INVENTARIO!AB512="","",INVENTARIO!AB512)</f>
        <v/>
      </c>
      <c r="P512">
        <f>IF(INVENTARIO!AC512="","",INVENTARIO!AC512)</f>
        <v/>
      </c>
      <c r="Q512">
        <f>IF(AND(K512="",N512="",L512=""),"",IF(AND((K512="ALTA"),OR(LEFT(N512,2)="L0",LEFT(N512,2)="L1",L512="No Iniciado")),"CRÍTICO - Incumplimiento Normativo SEPS",IF(AND(OR(LEFT(N512,2)="L4",LEFT(N512,2)="L5"),AND(P512&lt;&gt;"",P512&lt;&gt;"N/A")),"CONFORME - Control Efectivo ISO 27001","OBSERVACIÓN - Revisar Controles")))</f>
        <v/>
      </c>
    </row>
    <row r="513">
      <c r="A513">
        <f>IF(INVENTARIO!A513="","",INVENTARIO!A513)</f>
        <v/>
      </c>
      <c r="B513">
        <f>IF(INVENTARIO!E513="","",INVENTARIO!E513)</f>
        <v/>
      </c>
      <c r="C513">
        <f>IF(INVENTARIO!F513="","",INVENTARIO!F513)</f>
        <v/>
      </c>
      <c r="D513">
        <f>IF(INVENTARIO!H513="","",INVENTARIO!H513)</f>
        <v/>
      </c>
      <c r="E513">
        <f>IF(INVENTARIO!I513="","",INVENTARIO!I513)</f>
        <v/>
      </c>
      <c r="F513">
        <f>IF(INVENTARIO!N513="","",INVENTARIO!N513)</f>
        <v/>
      </c>
      <c r="G513">
        <f>IF(INVENTARIO!P513="","",INVENTARIO!P513)</f>
        <v/>
      </c>
      <c r="H513">
        <f>IF(INVENTARIO!Q513="","",INVENTARIO!Q513)</f>
        <v/>
      </c>
      <c r="I513">
        <f>IF(INVENTARIO!R513="","",INVENTARIO!R513)</f>
        <v/>
      </c>
      <c r="J513">
        <f>IF(G513="PUBLICA(1)",1,IF(G513="USO INTERNO(2)",2,IF(G513="RESTRINGIDO(3)",3,0)))+IF(H513="BAJA(1)",1,IF(H513="MEDIA(2)",2,IF(H513="ALTA(3)",3,0)))+IF(I513="BAJA(1)",1,IF(I513="MEDIA(2)",2,IF(I513="ALTA(3)",3,0)))</f>
        <v/>
      </c>
      <c r="K513">
        <f>IF(J513="", "", IF(J513&gt;=8,"ALTA",IF(J513&gt;=6,"MEDIA","BAJA")))</f>
        <v/>
      </c>
      <c r="L513">
        <f>IF(INVENTARIO!Y513="","",INVENTARIO!Y513)</f>
        <v/>
      </c>
      <c r="M513">
        <f>IF(INVENTARIO!Z513="","",INVENTARIO!Z513)</f>
        <v/>
      </c>
      <c r="N513">
        <f>IF(INVENTARIO!AA513="","",INVENTARIO!AA513)</f>
        <v/>
      </c>
      <c r="O513">
        <f>IF(INVENTARIO!AB513="","",INVENTARIO!AB513)</f>
        <v/>
      </c>
      <c r="P513">
        <f>IF(INVENTARIO!AC513="","",INVENTARIO!AC513)</f>
        <v/>
      </c>
      <c r="Q513">
        <f>IF(AND(K513="",N513="",L513=""),"",IF(AND((K513="ALTA"),OR(LEFT(N513,2)="L0",LEFT(N513,2)="L1",L513="No Iniciado")),"CRÍTICO - Incumplimiento Normativo SEPS",IF(AND(OR(LEFT(N513,2)="L4",LEFT(N513,2)="L5"),AND(P513&lt;&gt;"",P513&lt;&gt;"N/A")),"CONFORME - Control Efectivo ISO 27001","OBSERVACIÓN - Revisar Controles")))</f>
        <v/>
      </c>
    </row>
    <row r="514">
      <c r="A514">
        <f>IF(INVENTARIO!A514="","",INVENTARIO!A514)</f>
        <v/>
      </c>
      <c r="B514">
        <f>IF(INVENTARIO!E514="","",INVENTARIO!E514)</f>
        <v/>
      </c>
      <c r="C514">
        <f>IF(INVENTARIO!F514="","",INVENTARIO!F514)</f>
        <v/>
      </c>
      <c r="D514">
        <f>IF(INVENTARIO!H514="","",INVENTARIO!H514)</f>
        <v/>
      </c>
      <c r="E514">
        <f>IF(INVENTARIO!I514="","",INVENTARIO!I514)</f>
        <v/>
      </c>
      <c r="F514">
        <f>IF(INVENTARIO!N514="","",INVENTARIO!N514)</f>
        <v/>
      </c>
      <c r="G514">
        <f>IF(INVENTARIO!P514="","",INVENTARIO!P514)</f>
        <v/>
      </c>
      <c r="H514">
        <f>IF(INVENTARIO!Q514="","",INVENTARIO!Q514)</f>
        <v/>
      </c>
      <c r="I514">
        <f>IF(INVENTARIO!R514="","",INVENTARIO!R514)</f>
        <v/>
      </c>
      <c r="J514">
        <f>IF(G514="PUBLICA(1)",1,IF(G514="USO INTERNO(2)",2,IF(G514="RESTRINGIDO(3)",3,0)))+IF(H514="BAJA(1)",1,IF(H514="MEDIA(2)",2,IF(H514="ALTA(3)",3,0)))+IF(I514="BAJA(1)",1,IF(I514="MEDIA(2)",2,IF(I514="ALTA(3)",3,0)))</f>
        <v/>
      </c>
      <c r="K514">
        <f>IF(J514="", "", IF(J514&gt;=8,"ALTA",IF(J514&gt;=6,"MEDIA","BAJA")))</f>
        <v/>
      </c>
      <c r="L514">
        <f>IF(INVENTARIO!Y514="","",INVENTARIO!Y514)</f>
        <v/>
      </c>
      <c r="M514">
        <f>IF(INVENTARIO!Z514="","",INVENTARIO!Z514)</f>
        <v/>
      </c>
      <c r="N514">
        <f>IF(INVENTARIO!AA514="","",INVENTARIO!AA514)</f>
        <v/>
      </c>
      <c r="O514">
        <f>IF(INVENTARIO!AB514="","",INVENTARIO!AB514)</f>
        <v/>
      </c>
      <c r="P514">
        <f>IF(INVENTARIO!AC514="","",INVENTARIO!AC514)</f>
        <v/>
      </c>
      <c r="Q514">
        <f>IF(AND(K514="",N514="",L514=""),"",IF(AND((K514="ALTA"),OR(LEFT(N514,2)="L0",LEFT(N514,2)="L1",L514="No Iniciado")),"CRÍTICO - Incumplimiento Normativo SEPS",IF(AND(OR(LEFT(N514,2)="L4",LEFT(N514,2)="L5"),AND(P514&lt;&gt;"",P514&lt;&gt;"N/A")),"CONFORME - Control Efectivo ISO 27001","OBSERVACIÓN - Revisar Controles")))</f>
        <v/>
      </c>
    </row>
    <row r="515">
      <c r="A515">
        <f>IF(INVENTARIO!A515="","",INVENTARIO!A515)</f>
        <v/>
      </c>
      <c r="B515">
        <f>IF(INVENTARIO!E515="","",INVENTARIO!E515)</f>
        <v/>
      </c>
      <c r="C515">
        <f>IF(INVENTARIO!F515="","",INVENTARIO!F515)</f>
        <v/>
      </c>
      <c r="D515">
        <f>IF(INVENTARIO!H515="","",INVENTARIO!H515)</f>
        <v/>
      </c>
      <c r="E515">
        <f>IF(INVENTARIO!I515="","",INVENTARIO!I515)</f>
        <v/>
      </c>
      <c r="F515">
        <f>IF(INVENTARIO!N515="","",INVENTARIO!N515)</f>
        <v/>
      </c>
      <c r="G515">
        <f>IF(INVENTARIO!P515="","",INVENTARIO!P515)</f>
        <v/>
      </c>
      <c r="H515">
        <f>IF(INVENTARIO!Q515="","",INVENTARIO!Q515)</f>
        <v/>
      </c>
      <c r="I515">
        <f>IF(INVENTARIO!R515="","",INVENTARIO!R515)</f>
        <v/>
      </c>
      <c r="J515">
        <f>IF(G515="PUBLICA(1)",1,IF(G515="USO INTERNO(2)",2,IF(G515="RESTRINGIDO(3)",3,0)))+IF(H515="BAJA(1)",1,IF(H515="MEDIA(2)",2,IF(H515="ALTA(3)",3,0)))+IF(I515="BAJA(1)",1,IF(I515="MEDIA(2)",2,IF(I515="ALTA(3)",3,0)))</f>
        <v/>
      </c>
      <c r="K515">
        <f>IF(J515="", "", IF(J515&gt;=8,"ALTA",IF(J515&gt;=6,"MEDIA","BAJA")))</f>
        <v/>
      </c>
      <c r="L515">
        <f>IF(INVENTARIO!Y515="","",INVENTARIO!Y515)</f>
        <v/>
      </c>
      <c r="M515">
        <f>IF(INVENTARIO!Z515="","",INVENTARIO!Z515)</f>
        <v/>
      </c>
      <c r="N515">
        <f>IF(INVENTARIO!AA515="","",INVENTARIO!AA515)</f>
        <v/>
      </c>
      <c r="O515">
        <f>IF(INVENTARIO!AB515="","",INVENTARIO!AB515)</f>
        <v/>
      </c>
      <c r="P515">
        <f>IF(INVENTARIO!AC515="","",INVENTARIO!AC515)</f>
        <v/>
      </c>
      <c r="Q515">
        <f>IF(AND(K515="",N515="",L515=""),"",IF(AND((K515="ALTA"),OR(LEFT(N515,2)="L0",LEFT(N515,2)="L1",L515="No Iniciado")),"CRÍTICO - Incumplimiento Normativo SEPS",IF(AND(OR(LEFT(N515,2)="L4",LEFT(N515,2)="L5"),AND(P515&lt;&gt;"",P515&lt;&gt;"N/A")),"CONFORME - Control Efectivo ISO 27001","OBSERVACIÓN - Revisar Controles")))</f>
        <v/>
      </c>
    </row>
    <row r="516">
      <c r="A516">
        <f>IF(INVENTARIO!A516="","",INVENTARIO!A516)</f>
        <v/>
      </c>
      <c r="B516">
        <f>IF(INVENTARIO!E516="","",INVENTARIO!E516)</f>
        <v/>
      </c>
      <c r="C516">
        <f>IF(INVENTARIO!F516="","",INVENTARIO!F516)</f>
        <v/>
      </c>
      <c r="D516">
        <f>IF(INVENTARIO!H516="","",INVENTARIO!H516)</f>
        <v/>
      </c>
      <c r="E516">
        <f>IF(INVENTARIO!I516="","",INVENTARIO!I516)</f>
        <v/>
      </c>
      <c r="F516">
        <f>IF(INVENTARIO!N516="","",INVENTARIO!N516)</f>
        <v/>
      </c>
      <c r="G516">
        <f>IF(INVENTARIO!P516="","",INVENTARIO!P516)</f>
        <v/>
      </c>
      <c r="H516">
        <f>IF(INVENTARIO!Q516="","",INVENTARIO!Q516)</f>
        <v/>
      </c>
      <c r="I516">
        <f>IF(INVENTARIO!R516="","",INVENTARIO!R516)</f>
        <v/>
      </c>
      <c r="J516">
        <f>IF(G516="PUBLICA(1)",1,IF(G516="USO INTERNO(2)",2,IF(G516="RESTRINGIDO(3)",3,0)))+IF(H516="BAJA(1)",1,IF(H516="MEDIA(2)",2,IF(H516="ALTA(3)",3,0)))+IF(I516="BAJA(1)",1,IF(I516="MEDIA(2)",2,IF(I516="ALTA(3)",3,0)))</f>
        <v/>
      </c>
      <c r="K516">
        <f>IF(J516="", "", IF(J516&gt;=8,"ALTA",IF(J516&gt;=6,"MEDIA","BAJA")))</f>
        <v/>
      </c>
      <c r="L516">
        <f>IF(INVENTARIO!Y516="","",INVENTARIO!Y516)</f>
        <v/>
      </c>
      <c r="M516">
        <f>IF(INVENTARIO!Z516="","",INVENTARIO!Z516)</f>
        <v/>
      </c>
      <c r="N516">
        <f>IF(INVENTARIO!AA516="","",INVENTARIO!AA516)</f>
        <v/>
      </c>
      <c r="O516">
        <f>IF(INVENTARIO!AB516="","",INVENTARIO!AB516)</f>
        <v/>
      </c>
      <c r="P516">
        <f>IF(INVENTARIO!AC516="","",INVENTARIO!AC516)</f>
        <v/>
      </c>
      <c r="Q516">
        <f>IF(AND(K516="",N516="",L516=""),"",IF(AND((K516="ALTA"),OR(LEFT(N516,2)="L0",LEFT(N516,2)="L1",L516="No Iniciado")),"CRÍTICO - Incumplimiento Normativo SEPS",IF(AND(OR(LEFT(N516,2)="L4",LEFT(N516,2)="L5"),AND(P516&lt;&gt;"",P516&lt;&gt;"N/A")),"CONFORME - Control Efectivo ISO 27001","OBSERVACIÓN - Revisar Controles")))</f>
        <v/>
      </c>
    </row>
    <row r="517">
      <c r="A517">
        <f>IF(INVENTARIO!A517="","",INVENTARIO!A517)</f>
        <v/>
      </c>
      <c r="B517">
        <f>IF(INVENTARIO!E517="","",INVENTARIO!E517)</f>
        <v/>
      </c>
      <c r="C517">
        <f>IF(INVENTARIO!F517="","",INVENTARIO!F517)</f>
        <v/>
      </c>
      <c r="D517">
        <f>IF(INVENTARIO!H517="","",INVENTARIO!H517)</f>
        <v/>
      </c>
      <c r="E517">
        <f>IF(INVENTARIO!I517="","",INVENTARIO!I517)</f>
        <v/>
      </c>
      <c r="F517">
        <f>IF(INVENTARIO!N517="","",INVENTARIO!N517)</f>
        <v/>
      </c>
      <c r="G517">
        <f>IF(INVENTARIO!P517="","",INVENTARIO!P517)</f>
        <v/>
      </c>
      <c r="H517">
        <f>IF(INVENTARIO!Q517="","",INVENTARIO!Q517)</f>
        <v/>
      </c>
      <c r="I517">
        <f>IF(INVENTARIO!R517="","",INVENTARIO!R517)</f>
        <v/>
      </c>
      <c r="J517">
        <f>IF(G517="PUBLICA(1)",1,IF(G517="USO INTERNO(2)",2,IF(G517="RESTRINGIDO(3)",3,0)))+IF(H517="BAJA(1)",1,IF(H517="MEDIA(2)",2,IF(H517="ALTA(3)",3,0)))+IF(I517="BAJA(1)",1,IF(I517="MEDIA(2)",2,IF(I517="ALTA(3)",3,0)))</f>
        <v/>
      </c>
      <c r="K517">
        <f>IF(J517="", "", IF(J517&gt;=8,"ALTA",IF(J517&gt;=6,"MEDIA","BAJA")))</f>
        <v/>
      </c>
      <c r="L517">
        <f>IF(INVENTARIO!Y517="","",INVENTARIO!Y517)</f>
        <v/>
      </c>
      <c r="M517">
        <f>IF(INVENTARIO!Z517="","",INVENTARIO!Z517)</f>
        <v/>
      </c>
      <c r="N517">
        <f>IF(INVENTARIO!AA517="","",INVENTARIO!AA517)</f>
        <v/>
      </c>
      <c r="O517">
        <f>IF(INVENTARIO!AB517="","",INVENTARIO!AB517)</f>
        <v/>
      </c>
      <c r="P517">
        <f>IF(INVENTARIO!AC517="","",INVENTARIO!AC517)</f>
        <v/>
      </c>
      <c r="Q517">
        <f>IF(AND(K517="",N517="",L517=""),"",IF(AND((K517="ALTA"),OR(LEFT(N517,2)="L0",LEFT(N517,2)="L1",L517="No Iniciado")),"CRÍTICO - Incumplimiento Normativo SEPS",IF(AND(OR(LEFT(N517,2)="L4",LEFT(N517,2)="L5"),AND(P517&lt;&gt;"",P517&lt;&gt;"N/A")),"CONFORME - Control Efectivo ISO 27001","OBSERVACIÓN - Revisar Controles")))</f>
        <v/>
      </c>
    </row>
    <row r="518">
      <c r="A518">
        <f>IF(INVENTARIO!A518="","",INVENTARIO!A518)</f>
        <v/>
      </c>
      <c r="B518">
        <f>IF(INVENTARIO!E518="","",INVENTARIO!E518)</f>
        <v/>
      </c>
      <c r="C518">
        <f>IF(INVENTARIO!F518="","",INVENTARIO!F518)</f>
        <v/>
      </c>
      <c r="D518">
        <f>IF(INVENTARIO!H518="","",INVENTARIO!H518)</f>
        <v/>
      </c>
      <c r="E518">
        <f>IF(INVENTARIO!I518="","",INVENTARIO!I518)</f>
        <v/>
      </c>
      <c r="F518">
        <f>IF(INVENTARIO!N518="","",INVENTARIO!N518)</f>
        <v/>
      </c>
      <c r="G518">
        <f>IF(INVENTARIO!P518="","",INVENTARIO!P518)</f>
        <v/>
      </c>
      <c r="H518">
        <f>IF(INVENTARIO!Q518="","",INVENTARIO!Q518)</f>
        <v/>
      </c>
      <c r="I518">
        <f>IF(INVENTARIO!R518="","",INVENTARIO!R518)</f>
        <v/>
      </c>
      <c r="J518">
        <f>IF(G518="PUBLICA(1)",1,IF(G518="USO INTERNO(2)",2,IF(G518="RESTRINGIDO(3)",3,0)))+IF(H518="BAJA(1)",1,IF(H518="MEDIA(2)",2,IF(H518="ALTA(3)",3,0)))+IF(I518="BAJA(1)",1,IF(I518="MEDIA(2)",2,IF(I518="ALTA(3)",3,0)))</f>
        <v/>
      </c>
      <c r="K518">
        <f>IF(J518="", "", IF(J518&gt;=8,"ALTA",IF(J518&gt;=6,"MEDIA","BAJA")))</f>
        <v/>
      </c>
      <c r="L518">
        <f>IF(INVENTARIO!Y518="","",INVENTARIO!Y518)</f>
        <v/>
      </c>
      <c r="M518">
        <f>IF(INVENTARIO!Z518="","",INVENTARIO!Z518)</f>
        <v/>
      </c>
      <c r="N518">
        <f>IF(INVENTARIO!AA518="","",INVENTARIO!AA518)</f>
        <v/>
      </c>
      <c r="O518">
        <f>IF(INVENTARIO!AB518="","",INVENTARIO!AB518)</f>
        <v/>
      </c>
      <c r="P518">
        <f>IF(INVENTARIO!AC518="","",INVENTARIO!AC518)</f>
        <v/>
      </c>
      <c r="Q518">
        <f>IF(AND(K518="",N518="",L518=""),"",IF(AND((K518="ALTA"),OR(LEFT(N518,2)="L0",LEFT(N518,2)="L1",L518="No Iniciado")),"CRÍTICO - Incumplimiento Normativo SEPS",IF(AND(OR(LEFT(N518,2)="L4",LEFT(N518,2)="L5"),AND(P518&lt;&gt;"",P518&lt;&gt;"N/A")),"CONFORME - Control Efectivo ISO 27001","OBSERVACIÓN - Revisar Controles")))</f>
        <v/>
      </c>
    </row>
    <row r="519">
      <c r="A519">
        <f>IF(INVENTARIO!A519="","",INVENTARIO!A519)</f>
        <v/>
      </c>
      <c r="B519">
        <f>IF(INVENTARIO!E519="","",INVENTARIO!E519)</f>
        <v/>
      </c>
      <c r="C519">
        <f>IF(INVENTARIO!F519="","",INVENTARIO!F519)</f>
        <v/>
      </c>
      <c r="D519">
        <f>IF(INVENTARIO!H519="","",INVENTARIO!H519)</f>
        <v/>
      </c>
      <c r="E519">
        <f>IF(INVENTARIO!I519="","",INVENTARIO!I519)</f>
        <v/>
      </c>
      <c r="F519">
        <f>IF(INVENTARIO!N519="","",INVENTARIO!N519)</f>
        <v/>
      </c>
      <c r="G519">
        <f>IF(INVENTARIO!P519="","",INVENTARIO!P519)</f>
        <v/>
      </c>
      <c r="H519">
        <f>IF(INVENTARIO!Q519="","",INVENTARIO!Q519)</f>
        <v/>
      </c>
      <c r="I519">
        <f>IF(INVENTARIO!R519="","",INVENTARIO!R519)</f>
        <v/>
      </c>
      <c r="J519">
        <f>IF(G519="PUBLICA(1)",1,IF(G519="USO INTERNO(2)",2,IF(G519="RESTRINGIDO(3)",3,0)))+IF(H519="BAJA(1)",1,IF(H519="MEDIA(2)",2,IF(H519="ALTA(3)",3,0)))+IF(I519="BAJA(1)",1,IF(I519="MEDIA(2)",2,IF(I519="ALTA(3)",3,0)))</f>
        <v/>
      </c>
      <c r="K519">
        <f>IF(J519="", "", IF(J519&gt;=8,"ALTA",IF(J519&gt;=6,"MEDIA","BAJA")))</f>
        <v/>
      </c>
      <c r="L519">
        <f>IF(INVENTARIO!Y519="","",INVENTARIO!Y519)</f>
        <v/>
      </c>
      <c r="M519">
        <f>IF(INVENTARIO!Z519="","",INVENTARIO!Z519)</f>
        <v/>
      </c>
      <c r="N519">
        <f>IF(INVENTARIO!AA519="","",INVENTARIO!AA519)</f>
        <v/>
      </c>
      <c r="O519">
        <f>IF(INVENTARIO!AB519="","",INVENTARIO!AB519)</f>
        <v/>
      </c>
      <c r="P519">
        <f>IF(INVENTARIO!AC519="","",INVENTARIO!AC519)</f>
        <v/>
      </c>
      <c r="Q519">
        <f>IF(AND(K519="",N519="",L519=""),"",IF(AND((K519="ALTA"),OR(LEFT(N519,2)="L0",LEFT(N519,2)="L1",L519="No Iniciado")),"CRÍTICO - Incumplimiento Normativo SEPS",IF(AND(OR(LEFT(N519,2)="L4",LEFT(N519,2)="L5"),AND(P519&lt;&gt;"",P519&lt;&gt;"N/A")),"CONFORME - Control Efectivo ISO 27001","OBSERVACIÓN - Revisar Controles")))</f>
        <v/>
      </c>
    </row>
    <row r="520">
      <c r="A520">
        <f>IF(INVENTARIO!A520="","",INVENTARIO!A520)</f>
        <v/>
      </c>
      <c r="B520">
        <f>IF(INVENTARIO!E520="","",INVENTARIO!E520)</f>
        <v/>
      </c>
      <c r="C520">
        <f>IF(INVENTARIO!F520="","",INVENTARIO!F520)</f>
        <v/>
      </c>
      <c r="D520">
        <f>IF(INVENTARIO!H520="","",INVENTARIO!H520)</f>
        <v/>
      </c>
      <c r="E520">
        <f>IF(INVENTARIO!I520="","",INVENTARIO!I520)</f>
        <v/>
      </c>
      <c r="F520">
        <f>IF(INVENTARIO!N520="","",INVENTARIO!N520)</f>
        <v/>
      </c>
      <c r="G520">
        <f>IF(INVENTARIO!P520="","",INVENTARIO!P520)</f>
        <v/>
      </c>
      <c r="H520">
        <f>IF(INVENTARIO!Q520="","",INVENTARIO!Q520)</f>
        <v/>
      </c>
      <c r="I520">
        <f>IF(INVENTARIO!R520="","",INVENTARIO!R520)</f>
        <v/>
      </c>
      <c r="J520">
        <f>IF(G520="PUBLICA(1)",1,IF(G520="USO INTERNO(2)",2,IF(G520="RESTRINGIDO(3)",3,0)))+IF(H520="BAJA(1)",1,IF(H520="MEDIA(2)",2,IF(H520="ALTA(3)",3,0)))+IF(I520="BAJA(1)",1,IF(I520="MEDIA(2)",2,IF(I520="ALTA(3)",3,0)))</f>
        <v/>
      </c>
      <c r="K520">
        <f>IF(J520="", "", IF(J520&gt;=8,"ALTA",IF(J520&gt;=6,"MEDIA","BAJA")))</f>
        <v/>
      </c>
      <c r="L520">
        <f>IF(INVENTARIO!Y520="","",INVENTARIO!Y520)</f>
        <v/>
      </c>
      <c r="M520">
        <f>IF(INVENTARIO!Z520="","",INVENTARIO!Z520)</f>
        <v/>
      </c>
      <c r="N520">
        <f>IF(INVENTARIO!AA520="","",INVENTARIO!AA520)</f>
        <v/>
      </c>
      <c r="O520">
        <f>IF(INVENTARIO!AB520="","",INVENTARIO!AB520)</f>
        <v/>
      </c>
      <c r="P520">
        <f>IF(INVENTARIO!AC520="","",INVENTARIO!AC520)</f>
        <v/>
      </c>
      <c r="Q520">
        <f>IF(AND(K520="",N520="",L520=""),"",IF(AND((K520="ALTA"),OR(LEFT(N520,2)="L0",LEFT(N520,2)="L1",L520="No Iniciado")),"CRÍTICO - Incumplimiento Normativo SEPS",IF(AND(OR(LEFT(N520,2)="L4",LEFT(N520,2)="L5"),AND(P520&lt;&gt;"",P520&lt;&gt;"N/A")),"CONFORME - Control Efectivo ISO 27001","OBSERVACIÓN - Revisar Controles")))</f>
        <v/>
      </c>
    </row>
    <row r="521">
      <c r="A521">
        <f>IF(INVENTARIO!A521="","",INVENTARIO!A521)</f>
        <v/>
      </c>
      <c r="B521">
        <f>IF(INVENTARIO!E521="","",INVENTARIO!E521)</f>
        <v/>
      </c>
      <c r="C521">
        <f>IF(INVENTARIO!F521="","",INVENTARIO!F521)</f>
        <v/>
      </c>
      <c r="D521">
        <f>IF(INVENTARIO!H521="","",INVENTARIO!H521)</f>
        <v/>
      </c>
      <c r="E521">
        <f>IF(INVENTARIO!I521="","",INVENTARIO!I521)</f>
        <v/>
      </c>
      <c r="F521">
        <f>IF(INVENTARIO!N521="","",INVENTARIO!N521)</f>
        <v/>
      </c>
      <c r="G521">
        <f>IF(INVENTARIO!P521="","",INVENTARIO!P521)</f>
        <v/>
      </c>
      <c r="H521">
        <f>IF(INVENTARIO!Q521="","",INVENTARIO!Q521)</f>
        <v/>
      </c>
      <c r="I521">
        <f>IF(INVENTARIO!R521="","",INVENTARIO!R521)</f>
        <v/>
      </c>
      <c r="J521">
        <f>IF(G521="PUBLICA(1)",1,IF(G521="USO INTERNO(2)",2,IF(G521="RESTRINGIDO(3)",3,0)))+IF(H521="BAJA(1)",1,IF(H521="MEDIA(2)",2,IF(H521="ALTA(3)",3,0)))+IF(I521="BAJA(1)",1,IF(I521="MEDIA(2)",2,IF(I521="ALTA(3)",3,0)))</f>
        <v/>
      </c>
      <c r="K521">
        <f>IF(J521="", "", IF(J521&gt;=8,"ALTA",IF(J521&gt;=6,"MEDIA","BAJA")))</f>
        <v/>
      </c>
      <c r="L521">
        <f>IF(INVENTARIO!Y521="","",INVENTARIO!Y521)</f>
        <v/>
      </c>
      <c r="M521">
        <f>IF(INVENTARIO!Z521="","",INVENTARIO!Z521)</f>
        <v/>
      </c>
      <c r="N521">
        <f>IF(INVENTARIO!AA521="","",INVENTARIO!AA521)</f>
        <v/>
      </c>
      <c r="O521">
        <f>IF(INVENTARIO!AB521="","",INVENTARIO!AB521)</f>
        <v/>
      </c>
      <c r="P521">
        <f>IF(INVENTARIO!AC521="","",INVENTARIO!AC521)</f>
        <v/>
      </c>
      <c r="Q521">
        <f>IF(AND(K521="",N521="",L521=""),"",IF(AND((K521="ALTA"),OR(LEFT(N521,2)="L0",LEFT(N521,2)="L1",L521="No Iniciado")),"CRÍTICO - Incumplimiento Normativo SEPS",IF(AND(OR(LEFT(N521,2)="L4",LEFT(N521,2)="L5"),AND(P521&lt;&gt;"",P521&lt;&gt;"N/A")),"CONFORME - Control Efectivo ISO 27001","OBSERVACIÓN - Revisar Controles")))</f>
        <v/>
      </c>
    </row>
    <row r="522">
      <c r="A522">
        <f>IF(INVENTARIO!A522="","",INVENTARIO!A522)</f>
        <v/>
      </c>
      <c r="B522">
        <f>IF(INVENTARIO!E522="","",INVENTARIO!E522)</f>
        <v/>
      </c>
      <c r="C522">
        <f>IF(INVENTARIO!F522="","",INVENTARIO!F522)</f>
        <v/>
      </c>
      <c r="D522">
        <f>IF(INVENTARIO!H522="","",INVENTARIO!H522)</f>
        <v/>
      </c>
      <c r="E522">
        <f>IF(INVENTARIO!I522="","",INVENTARIO!I522)</f>
        <v/>
      </c>
      <c r="F522">
        <f>IF(INVENTARIO!N522="","",INVENTARIO!N522)</f>
        <v/>
      </c>
      <c r="G522">
        <f>IF(INVENTARIO!P522="","",INVENTARIO!P522)</f>
        <v/>
      </c>
      <c r="H522">
        <f>IF(INVENTARIO!Q522="","",INVENTARIO!Q522)</f>
        <v/>
      </c>
      <c r="I522">
        <f>IF(INVENTARIO!R522="","",INVENTARIO!R522)</f>
        <v/>
      </c>
      <c r="J522">
        <f>IF(G522="PUBLICA(1)",1,IF(G522="USO INTERNO(2)",2,IF(G522="RESTRINGIDO(3)",3,0)))+IF(H522="BAJA(1)",1,IF(H522="MEDIA(2)",2,IF(H522="ALTA(3)",3,0)))+IF(I522="BAJA(1)",1,IF(I522="MEDIA(2)",2,IF(I522="ALTA(3)",3,0)))</f>
        <v/>
      </c>
      <c r="K522">
        <f>IF(J522="", "", IF(J522&gt;=8,"ALTA",IF(J522&gt;=6,"MEDIA","BAJA")))</f>
        <v/>
      </c>
      <c r="L522">
        <f>IF(INVENTARIO!Y522="","",INVENTARIO!Y522)</f>
        <v/>
      </c>
      <c r="M522">
        <f>IF(INVENTARIO!Z522="","",INVENTARIO!Z522)</f>
        <v/>
      </c>
      <c r="N522">
        <f>IF(INVENTARIO!AA522="","",INVENTARIO!AA522)</f>
        <v/>
      </c>
      <c r="O522">
        <f>IF(INVENTARIO!AB522="","",INVENTARIO!AB522)</f>
        <v/>
      </c>
      <c r="P522">
        <f>IF(INVENTARIO!AC522="","",INVENTARIO!AC522)</f>
        <v/>
      </c>
      <c r="Q522">
        <f>IF(AND(K522="",N522="",L522=""),"",IF(AND((K522="ALTA"),OR(LEFT(N522,2)="L0",LEFT(N522,2)="L1",L522="No Iniciado")),"CRÍTICO - Incumplimiento Normativo SEPS",IF(AND(OR(LEFT(N522,2)="L4",LEFT(N522,2)="L5"),AND(P522&lt;&gt;"",P522&lt;&gt;"N/A")),"CONFORME - Control Efectivo ISO 27001","OBSERVACIÓN - Revisar Controles")))</f>
        <v/>
      </c>
    </row>
    <row r="523">
      <c r="A523">
        <f>IF(INVENTARIO!A523="","",INVENTARIO!A523)</f>
        <v/>
      </c>
      <c r="B523">
        <f>IF(INVENTARIO!E523="","",INVENTARIO!E523)</f>
        <v/>
      </c>
      <c r="C523">
        <f>IF(INVENTARIO!F523="","",INVENTARIO!F523)</f>
        <v/>
      </c>
      <c r="D523">
        <f>IF(INVENTARIO!H523="","",INVENTARIO!H523)</f>
        <v/>
      </c>
      <c r="E523">
        <f>IF(INVENTARIO!I523="","",INVENTARIO!I523)</f>
        <v/>
      </c>
      <c r="F523">
        <f>IF(INVENTARIO!N523="","",INVENTARIO!N523)</f>
        <v/>
      </c>
      <c r="G523">
        <f>IF(INVENTARIO!P523="","",INVENTARIO!P523)</f>
        <v/>
      </c>
      <c r="H523">
        <f>IF(INVENTARIO!Q523="","",INVENTARIO!Q523)</f>
        <v/>
      </c>
      <c r="I523">
        <f>IF(INVENTARIO!R523="","",INVENTARIO!R523)</f>
        <v/>
      </c>
      <c r="J523">
        <f>IF(G523="PUBLICA(1)",1,IF(G523="USO INTERNO(2)",2,IF(G523="RESTRINGIDO(3)",3,0)))+IF(H523="BAJA(1)",1,IF(H523="MEDIA(2)",2,IF(H523="ALTA(3)",3,0)))+IF(I523="BAJA(1)",1,IF(I523="MEDIA(2)",2,IF(I523="ALTA(3)",3,0)))</f>
        <v/>
      </c>
      <c r="K523">
        <f>IF(J523="", "", IF(J523&gt;=8,"ALTA",IF(J523&gt;=6,"MEDIA","BAJA")))</f>
        <v/>
      </c>
      <c r="L523">
        <f>IF(INVENTARIO!Y523="","",INVENTARIO!Y523)</f>
        <v/>
      </c>
      <c r="M523">
        <f>IF(INVENTARIO!Z523="","",INVENTARIO!Z523)</f>
        <v/>
      </c>
      <c r="N523">
        <f>IF(INVENTARIO!AA523="","",INVENTARIO!AA523)</f>
        <v/>
      </c>
      <c r="O523">
        <f>IF(INVENTARIO!AB523="","",INVENTARIO!AB523)</f>
        <v/>
      </c>
      <c r="P523">
        <f>IF(INVENTARIO!AC523="","",INVENTARIO!AC523)</f>
        <v/>
      </c>
      <c r="Q523">
        <f>IF(AND(K523="",N523="",L523=""),"",IF(AND((K523="ALTA"),OR(LEFT(N523,2)="L0",LEFT(N523,2)="L1",L523="No Iniciado")),"CRÍTICO - Incumplimiento Normativo SEPS",IF(AND(OR(LEFT(N523,2)="L4",LEFT(N523,2)="L5"),AND(P523&lt;&gt;"",P523&lt;&gt;"N/A")),"CONFORME - Control Efectivo ISO 27001","OBSERVACIÓN - Revisar Controles")))</f>
        <v/>
      </c>
    </row>
    <row r="524">
      <c r="A524">
        <f>IF(INVENTARIO!A524="","",INVENTARIO!A524)</f>
        <v/>
      </c>
      <c r="B524">
        <f>IF(INVENTARIO!E524="","",INVENTARIO!E524)</f>
        <v/>
      </c>
      <c r="C524">
        <f>IF(INVENTARIO!F524="","",INVENTARIO!F524)</f>
        <v/>
      </c>
      <c r="D524">
        <f>IF(INVENTARIO!H524="","",INVENTARIO!H524)</f>
        <v/>
      </c>
      <c r="E524">
        <f>IF(INVENTARIO!I524="","",INVENTARIO!I524)</f>
        <v/>
      </c>
      <c r="F524">
        <f>IF(INVENTARIO!N524="","",INVENTARIO!N524)</f>
        <v/>
      </c>
      <c r="G524">
        <f>IF(INVENTARIO!P524="","",INVENTARIO!P524)</f>
        <v/>
      </c>
      <c r="H524">
        <f>IF(INVENTARIO!Q524="","",INVENTARIO!Q524)</f>
        <v/>
      </c>
      <c r="I524">
        <f>IF(INVENTARIO!R524="","",INVENTARIO!R524)</f>
        <v/>
      </c>
      <c r="J524">
        <f>IF(G524="PUBLICA(1)",1,IF(G524="USO INTERNO(2)",2,IF(G524="RESTRINGIDO(3)",3,0)))+IF(H524="BAJA(1)",1,IF(H524="MEDIA(2)",2,IF(H524="ALTA(3)",3,0)))+IF(I524="BAJA(1)",1,IF(I524="MEDIA(2)",2,IF(I524="ALTA(3)",3,0)))</f>
        <v/>
      </c>
      <c r="K524">
        <f>IF(J524="", "", IF(J524&gt;=8,"ALTA",IF(J524&gt;=6,"MEDIA","BAJA")))</f>
        <v/>
      </c>
      <c r="L524">
        <f>IF(INVENTARIO!Y524="","",INVENTARIO!Y524)</f>
        <v/>
      </c>
      <c r="M524">
        <f>IF(INVENTARIO!Z524="","",INVENTARIO!Z524)</f>
        <v/>
      </c>
      <c r="N524">
        <f>IF(INVENTARIO!AA524="","",INVENTARIO!AA524)</f>
        <v/>
      </c>
      <c r="O524">
        <f>IF(INVENTARIO!AB524="","",INVENTARIO!AB524)</f>
        <v/>
      </c>
      <c r="P524">
        <f>IF(INVENTARIO!AC524="","",INVENTARIO!AC524)</f>
        <v/>
      </c>
      <c r="Q524">
        <f>IF(AND(K524="",N524="",L524=""),"",IF(AND((K524="ALTA"),OR(LEFT(N524,2)="L0",LEFT(N524,2)="L1",L524="No Iniciado")),"CRÍTICO - Incumplimiento Normativo SEPS",IF(AND(OR(LEFT(N524,2)="L4",LEFT(N524,2)="L5"),AND(P524&lt;&gt;"",P524&lt;&gt;"N/A")),"CONFORME - Control Efectivo ISO 27001","OBSERVACIÓN - Revisar Controles")))</f>
        <v/>
      </c>
    </row>
    <row r="525">
      <c r="A525">
        <f>IF(INVENTARIO!A525="","",INVENTARIO!A525)</f>
        <v/>
      </c>
      <c r="B525">
        <f>IF(INVENTARIO!E525="","",INVENTARIO!E525)</f>
        <v/>
      </c>
      <c r="C525">
        <f>IF(INVENTARIO!F525="","",INVENTARIO!F525)</f>
        <v/>
      </c>
      <c r="D525">
        <f>IF(INVENTARIO!H525="","",INVENTARIO!H525)</f>
        <v/>
      </c>
      <c r="E525">
        <f>IF(INVENTARIO!I525="","",INVENTARIO!I525)</f>
        <v/>
      </c>
      <c r="F525">
        <f>IF(INVENTARIO!N525="","",INVENTARIO!N525)</f>
        <v/>
      </c>
      <c r="G525">
        <f>IF(INVENTARIO!P525="","",INVENTARIO!P525)</f>
        <v/>
      </c>
      <c r="H525">
        <f>IF(INVENTARIO!Q525="","",INVENTARIO!Q525)</f>
        <v/>
      </c>
      <c r="I525">
        <f>IF(INVENTARIO!R525="","",INVENTARIO!R525)</f>
        <v/>
      </c>
      <c r="J525">
        <f>IF(G525="PUBLICA(1)",1,IF(G525="USO INTERNO(2)",2,IF(G525="RESTRINGIDO(3)",3,0)))+IF(H525="BAJA(1)",1,IF(H525="MEDIA(2)",2,IF(H525="ALTA(3)",3,0)))+IF(I525="BAJA(1)",1,IF(I525="MEDIA(2)",2,IF(I525="ALTA(3)",3,0)))</f>
        <v/>
      </c>
      <c r="K525">
        <f>IF(J525="", "", IF(J525&gt;=8,"ALTA",IF(J525&gt;=6,"MEDIA","BAJA")))</f>
        <v/>
      </c>
      <c r="L525">
        <f>IF(INVENTARIO!Y525="","",INVENTARIO!Y525)</f>
        <v/>
      </c>
      <c r="M525">
        <f>IF(INVENTARIO!Z525="","",INVENTARIO!Z525)</f>
        <v/>
      </c>
      <c r="N525">
        <f>IF(INVENTARIO!AA525="","",INVENTARIO!AA525)</f>
        <v/>
      </c>
      <c r="O525">
        <f>IF(INVENTARIO!AB525="","",INVENTARIO!AB525)</f>
        <v/>
      </c>
      <c r="P525">
        <f>IF(INVENTARIO!AC525="","",INVENTARIO!AC525)</f>
        <v/>
      </c>
      <c r="Q525">
        <f>IF(AND(K525="",N525="",L525=""),"",IF(AND((K525="ALTA"),OR(LEFT(N525,2)="L0",LEFT(N525,2)="L1",L525="No Iniciado")),"CRÍTICO - Incumplimiento Normativo SEPS",IF(AND(OR(LEFT(N525,2)="L4",LEFT(N525,2)="L5"),AND(P525&lt;&gt;"",P525&lt;&gt;"N/A")),"CONFORME - Control Efectivo ISO 27001","OBSERVACIÓN - Revisar Controles")))</f>
        <v/>
      </c>
    </row>
    <row r="526">
      <c r="A526">
        <f>IF(INVENTARIO!A526="","",INVENTARIO!A526)</f>
        <v/>
      </c>
      <c r="B526">
        <f>IF(INVENTARIO!E526="","",INVENTARIO!E526)</f>
        <v/>
      </c>
      <c r="C526">
        <f>IF(INVENTARIO!F526="","",INVENTARIO!F526)</f>
        <v/>
      </c>
      <c r="D526">
        <f>IF(INVENTARIO!H526="","",INVENTARIO!H526)</f>
        <v/>
      </c>
      <c r="E526">
        <f>IF(INVENTARIO!I526="","",INVENTARIO!I526)</f>
        <v/>
      </c>
      <c r="F526">
        <f>IF(INVENTARIO!N526="","",INVENTARIO!N526)</f>
        <v/>
      </c>
      <c r="G526">
        <f>IF(INVENTARIO!P526="","",INVENTARIO!P526)</f>
        <v/>
      </c>
      <c r="H526">
        <f>IF(INVENTARIO!Q526="","",INVENTARIO!Q526)</f>
        <v/>
      </c>
      <c r="I526">
        <f>IF(INVENTARIO!R526="","",INVENTARIO!R526)</f>
        <v/>
      </c>
      <c r="J526">
        <f>IF(G526="PUBLICA(1)",1,IF(G526="USO INTERNO(2)",2,IF(G526="RESTRINGIDO(3)",3,0)))+IF(H526="BAJA(1)",1,IF(H526="MEDIA(2)",2,IF(H526="ALTA(3)",3,0)))+IF(I526="BAJA(1)",1,IF(I526="MEDIA(2)",2,IF(I526="ALTA(3)",3,0)))</f>
        <v/>
      </c>
      <c r="K526">
        <f>IF(J526="", "", IF(J526&gt;=8,"ALTA",IF(J526&gt;=6,"MEDIA","BAJA")))</f>
        <v/>
      </c>
      <c r="L526">
        <f>IF(INVENTARIO!Y526="","",INVENTARIO!Y526)</f>
        <v/>
      </c>
      <c r="M526">
        <f>IF(INVENTARIO!Z526="","",INVENTARIO!Z526)</f>
        <v/>
      </c>
      <c r="N526">
        <f>IF(INVENTARIO!AA526="","",INVENTARIO!AA526)</f>
        <v/>
      </c>
      <c r="O526">
        <f>IF(INVENTARIO!AB526="","",INVENTARIO!AB526)</f>
        <v/>
      </c>
      <c r="P526">
        <f>IF(INVENTARIO!AC526="","",INVENTARIO!AC526)</f>
        <v/>
      </c>
      <c r="Q526">
        <f>IF(AND(K526="",N526="",L526=""),"",IF(AND((K526="ALTA"),OR(LEFT(N526,2)="L0",LEFT(N526,2)="L1",L526="No Iniciado")),"CRÍTICO - Incumplimiento Normativo SEPS",IF(AND(OR(LEFT(N526,2)="L4",LEFT(N526,2)="L5"),AND(P526&lt;&gt;"",P526&lt;&gt;"N/A")),"CONFORME - Control Efectivo ISO 27001","OBSERVACIÓN - Revisar Controles")))</f>
        <v/>
      </c>
    </row>
    <row r="527">
      <c r="A527">
        <f>IF(INVENTARIO!A527="","",INVENTARIO!A527)</f>
        <v/>
      </c>
      <c r="B527">
        <f>IF(INVENTARIO!E527="","",INVENTARIO!E527)</f>
        <v/>
      </c>
      <c r="C527">
        <f>IF(INVENTARIO!F527="","",INVENTARIO!F527)</f>
        <v/>
      </c>
      <c r="D527">
        <f>IF(INVENTARIO!H527="","",INVENTARIO!H527)</f>
        <v/>
      </c>
      <c r="E527">
        <f>IF(INVENTARIO!I527="","",INVENTARIO!I527)</f>
        <v/>
      </c>
      <c r="F527">
        <f>IF(INVENTARIO!N527="","",INVENTARIO!N527)</f>
        <v/>
      </c>
      <c r="G527">
        <f>IF(INVENTARIO!P527="","",INVENTARIO!P527)</f>
        <v/>
      </c>
      <c r="H527">
        <f>IF(INVENTARIO!Q527="","",INVENTARIO!Q527)</f>
        <v/>
      </c>
      <c r="I527">
        <f>IF(INVENTARIO!R527="","",INVENTARIO!R527)</f>
        <v/>
      </c>
      <c r="J527">
        <f>IF(G527="PUBLICA(1)",1,IF(G527="USO INTERNO(2)",2,IF(G527="RESTRINGIDO(3)",3,0)))+IF(H527="BAJA(1)",1,IF(H527="MEDIA(2)",2,IF(H527="ALTA(3)",3,0)))+IF(I527="BAJA(1)",1,IF(I527="MEDIA(2)",2,IF(I527="ALTA(3)",3,0)))</f>
        <v/>
      </c>
      <c r="K527">
        <f>IF(J527="", "", IF(J527&gt;=8,"ALTA",IF(J527&gt;=6,"MEDIA","BAJA")))</f>
        <v/>
      </c>
      <c r="L527">
        <f>IF(INVENTARIO!Y527="","",INVENTARIO!Y527)</f>
        <v/>
      </c>
      <c r="M527">
        <f>IF(INVENTARIO!Z527="","",INVENTARIO!Z527)</f>
        <v/>
      </c>
      <c r="N527">
        <f>IF(INVENTARIO!AA527="","",INVENTARIO!AA527)</f>
        <v/>
      </c>
      <c r="O527">
        <f>IF(INVENTARIO!AB527="","",INVENTARIO!AB527)</f>
        <v/>
      </c>
      <c r="P527">
        <f>IF(INVENTARIO!AC527="","",INVENTARIO!AC527)</f>
        <v/>
      </c>
      <c r="Q527">
        <f>IF(AND(K527="",N527="",L527=""),"",IF(AND((K527="ALTA"),OR(LEFT(N527,2)="L0",LEFT(N527,2)="L1",L527="No Iniciado")),"CRÍTICO - Incumplimiento Normativo SEPS",IF(AND(OR(LEFT(N527,2)="L4",LEFT(N527,2)="L5"),AND(P527&lt;&gt;"",P527&lt;&gt;"N/A")),"CONFORME - Control Efectivo ISO 27001","OBSERVACIÓN - Revisar Controles")))</f>
        <v/>
      </c>
    </row>
    <row r="528">
      <c r="A528">
        <f>IF(INVENTARIO!A528="","",INVENTARIO!A528)</f>
        <v/>
      </c>
      <c r="B528">
        <f>IF(INVENTARIO!E528="","",INVENTARIO!E528)</f>
        <v/>
      </c>
      <c r="C528">
        <f>IF(INVENTARIO!F528="","",INVENTARIO!F528)</f>
        <v/>
      </c>
      <c r="D528">
        <f>IF(INVENTARIO!H528="","",INVENTARIO!H528)</f>
        <v/>
      </c>
      <c r="E528">
        <f>IF(INVENTARIO!I528="","",INVENTARIO!I528)</f>
        <v/>
      </c>
      <c r="F528">
        <f>IF(INVENTARIO!N528="","",INVENTARIO!N528)</f>
        <v/>
      </c>
      <c r="G528">
        <f>IF(INVENTARIO!P528="","",INVENTARIO!P528)</f>
        <v/>
      </c>
      <c r="H528">
        <f>IF(INVENTARIO!Q528="","",INVENTARIO!Q528)</f>
        <v/>
      </c>
      <c r="I528">
        <f>IF(INVENTARIO!R528="","",INVENTARIO!R528)</f>
        <v/>
      </c>
      <c r="J528">
        <f>IF(G528="PUBLICA(1)",1,IF(G528="USO INTERNO(2)",2,IF(G528="RESTRINGIDO(3)",3,0)))+IF(H528="BAJA(1)",1,IF(H528="MEDIA(2)",2,IF(H528="ALTA(3)",3,0)))+IF(I528="BAJA(1)",1,IF(I528="MEDIA(2)",2,IF(I528="ALTA(3)",3,0)))</f>
        <v/>
      </c>
      <c r="K528">
        <f>IF(J528="", "", IF(J528&gt;=8,"ALTA",IF(J528&gt;=6,"MEDIA","BAJA")))</f>
        <v/>
      </c>
      <c r="L528">
        <f>IF(INVENTARIO!Y528="","",INVENTARIO!Y528)</f>
        <v/>
      </c>
      <c r="M528">
        <f>IF(INVENTARIO!Z528="","",INVENTARIO!Z528)</f>
        <v/>
      </c>
      <c r="N528">
        <f>IF(INVENTARIO!AA528="","",INVENTARIO!AA528)</f>
        <v/>
      </c>
      <c r="O528">
        <f>IF(INVENTARIO!AB528="","",INVENTARIO!AB528)</f>
        <v/>
      </c>
      <c r="P528">
        <f>IF(INVENTARIO!AC528="","",INVENTARIO!AC528)</f>
        <v/>
      </c>
      <c r="Q528">
        <f>IF(AND(K528="",N528="",L528=""),"",IF(AND((K528="ALTA"),OR(LEFT(N528,2)="L0",LEFT(N528,2)="L1",L528="No Iniciado")),"CRÍTICO - Incumplimiento Normativo SEPS",IF(AND(OR(LEFT(N528,2)="L4",LEFT(N528,2)="L5"),AND(P528&lt;&gt;"",P528&lt;&gt;"N/A")),"CONFORME - Control Efectivo ISO 27001","OBSERVACIÓN - Revisar Controles")))</f>
        <v/>
      </c>
    </row>
    <row r="529">
      <c r="A529">
        <f>IF(INVENTARIO!A529="","",INVENTARIO!A529)</f>
        <v/>
      </c>
      <c r="B529">
        <f>IF(INVENTARIO!E529="","",INVENTARIO!E529)</f>
        <v/>
      </c>
      <c r="C529">
        <f>IF(INVENTARIO!F529="","",INVENTARIO!F529)</f>
        <v/>
      </c>
      <c r="D529">
        <f>IF(INVENTARIO!H529="","",INVENTARIO!H529)</f>
        <v/>
      </c>
      <c r="E529">
        <f>IF(INVENTARIO!I529="","",INVENTARIO!I529)</f>
        <v/>
      </c>
      <c r="F529">
        <f>IF(INVENTARIO!N529="","",INVENTARIO!N529)</f>
        <v/>
      </c>
      <c r="G529">
        <f>IF(INVENTARIO!P529="","",INVENTARIO!P529)</f>
        <v/>
      </c>
      <c r="H529">
        <f>IF(INVENTARIO!Q529="","",INVENTARIO!Q529)</f>
        <v/>
      </c>
      <c r="I529">
        <f>IF(INVENTARIO!R529="","",INVENTARIO!R529)</f>
        <v/>
      </c>
      <c r="J529">
        <f>IF(G529="PUBLICA(1)",1,IF(G529="USO INTERNO(2)",2,IF(G529="RESTRINGIDO(3)",3,0)))+IF(H529="BAJA(1)",1,IF(H529="MEDIA(2)",2,IF(H529="ALTA(3)",3,0)))+IF(I529="BAJA(1)",1,IF(I529="MEDIA(2)",2,IF(I529="ALTA(3)",3,0)))</f>
        <v/>
      </c>
      <c r="K529">
        <f>IF(J529="", "", IF(J529&gt;=8,"ALTA",IF(J529&gt;=6,"MEDIA","BAJA")))</f>
        <v/>
      </c>
      <c r="L529">
        <f>IF(INVENTARIO!Y529="","",INVENTARIO!Y529)</f>
        <v/>
      </c>
      <c r="M529">
        <f>IF(INVENTARIO!Z529="","",INVENTARIO!Z529)</f>
        <v/>
      </c>
      <c r="N529">
        <f>IF(INVENTARIO!AA529="","",INVENTARIO!AA529)</f>
        <v/>
      </c>
      <c r="O529">
        <f>IF(INVENTARIO!AB529="","",INVENTARIO!AB529)</f>
        <v/>
      </c>
      <c r="P529">
        <f>IF(INVENTARIO!AC529="","",INVENTARIO!AC529)</f>
        <v/>
      </c>
      <c r="Q529">
        <f>IF(AND(K529="",N529="",L529=""),"",IF(AND((K529="ALTA"),OR(LEFT(N529,2)="L0",LEFT(N529,2)="L1",L529="No Iniciado")),"CRÍTICO - Incumplimiento Normativo SEPS",IF(AND(OR(LEFT(N529,2)="L4",LEFT(N529,2)="L5"),AND(P529&lt;&gt;"",P529&lt;&gt;"N/A")),"CONFORME - Control Efectivo ISO 27001","OBSERVACIÓN - Revisar Controles")))</f>
        <v/>
      </c>
    </row>
    <row r="530">
      <c r="A530">
        <f>IF(INVENTARIO!A530="","",INVENTARIO!A530)</f>
        <v/>
      </c>
      <c r="B530">
        <f>IF(INVENTARIO!E530="","",INVENTARIO!E530)</f>
        <v/>
      </c>
      <c r="C530">
        <f>IF(INVENTARIO!F530="","",INVENTARIO!F530)</f>
        <v/>
      </c>
      <c r="D530">
        <f>IF(INVENTARIO!H530="","",INVENTARIO!H530)</f>
        <v/>
      </c>
      <c r="E530">
        <f>IF(INVENTARIO!I530="","",INVENTARIO!I530)</f>
        <v/>
      </c>
      <c r="F530">
        <f>IF(INVENTARIO!N530="","",INVENTARIO!N530)</f>
        <v/>
      </c>
      <c r="G530">
        <f>IF(INVENTARIO!P530="","",INVENTARIO!P530)</f>
        <v/>
      </c>
      <c r="H530">
        <f>IF(INVENTARIO!Q530="","",INVENTARIO!Q530)</f>
        <v/>
      </c>
      <c r="I530">
        <f>IF(INVENTARIO!R530="","",INVENTARIO!R530)</f>
        <v/>
      </c>
      <c r="J530">
        <f>IF(G530="PUBLICA(1)",1,IF(G530="USO INTERNO(2)",2,IF(G530="RESTRINGIDO(3)",3,0)))+IF(H530="BAJA(1)",1,IF(H530="MEDIA(2)",2,IF(H530="ALTA(3)",3,0)))+IF(I530="BAJA(1)",1,IF(I530="MEDIA(2)",2,IF(I530="ALTA(3)",3,0)))</f>
        <v/>
      </c>
      <c r="K530">
        <f>IF(J530="", "", IF(J530&gt;=8,"ALTA",IF(J530&gt;=6,"MEDIA","BAJA")))</f>
        <v/>
      </c>
      <c r="L530">
        <f>IF(INVENTARIO!Y530="","",INVENTARIO!Y530)</f>
        <v/>
      </c>
      <c r="M530">
        <f>IF(INVENTARIO!Z530="","",INVENTARIO!Z530)</f>
        <v/>
      </c>
      <c r="N530">
        <f>IF(INVENTARIO!AA530="","",INVENTARIO!AA530)</f>
        <v/>
      </c>
      <c r="O530">
        <f>IF(INVENTARIO!AB530="","",INVENTARIO!AB530)</f>
        <v/>
      </c>
      <c r="P530">
        <f>IF(INVENTARIO!AC530="","",INVENTARIO!AC530)</f>
        <v/>
      </c>
      <c r="Q530">
        <f>IF(AND(K530="",N530="",L530=""),"",IF(AND((K530="ALTA"),OR(LEFT(N530,2)="L0",LEFT(N530,2)="L1",L530="No Iniciado")),"CRÍTICO - Incumplimiento Normativo SEPS",IF(AND(OR(LEFT(N530,2)="L4",LEFT(N530,2)="L5"),AND(P530&lt;&gt;"",P530&lt;&gt;"N/A")),"CONFORME - Control Efectivo ISO 27001","OBSERVACIÓN - Revisar Controles")))</f>
        <v/>
      </c>
    </row>
    <row r="531">
      <c r="A531">
        <f>IF(INVENTARIO!A531="","",INVENTARIO!A531)</f>
        <v/>
      </c>
      <c r="B531">
        <f>IF(INVENTARIO!E531="","",INVENTARIO!E531)</f>
        <v/>
      </c>
      <c r="C531">
        <f>IF(INVENTARIO!F531="","",INVENTARIO!F531)</f>
        <v/>
      </c>
      <c r="D531">
        <f>IF(INVENTARIO!H531="","",INVENTARIO!H531)</f>
        <v/>
      </c>
      <c r="E531">
        <f>IF(INVENTARIO!I531="","",INVENTARIO!I531)</f>
        <v/>
      </c>
      <c r="F531">
        <f>IF(INVENTARIO!N531="","",INVENTARIO!N531)</f>
        <v/>
      </c>
      <c r="G531">
        <f>IF(INVENTARIO!P531="","",INVENTARIO!P531)</f>
        <v/>
      </c>
      <c r="H531">
        <f>IF(INVENTARIO!Q531="","",INVENTARIO!Q531)</f>
        <v/>
      </c>
      <c r="I531">
        <f>IF(INVENTARIO!R531="","",INVENTARIO!R531)</f>
        <v/>
      </c>
      <c r="J531">
        <f>IF(G531="PUBLICA(1)",1,IF(G531="USO INTERNO(2)",2,IF(G531="RESTRINGIDO(3)",3,0)))+IF(H531="BAJA(1)",1,IF(H531="MEDIA(2)",2,IF(H531="ALTA(3)",3,0)))+IF(I531="BAJA(1)",1,IF(I531="MEDIA(2)",2,IF(I531="ALTA(3)",3,0)))</f>
        <v/>
      </c>
      <c r="K531">
        <f>IF(J531="", "", IF(J531&gt;=8,"ALTA",IF(J531&gt;=6,"MEDIA","BAJA")))</f>
        <v/>
      </c>
      <c r="L531">
        <f>IF(INVENTARIO!Y531="","",INVENTARIO!Y531)</f>
        <v/>
      </c>
      <c r="M531">
        <f>IF(INVENTARIO!Z531="","",INVENTARIO!Z531)</f>
        <v/>
      </c>
      <c r="N531">
        <f>IF(INVENTARIO!AA531="","",INVENTARIO!AA531)</f>
        <v/>
      </c>
      <c r="O531">
        <f>IF(INVENTARIO!AB531="","",INVENTARIO!AB531)</f>
        <v/>
      </c>
      <c r="P531">
        <f>IF(INVENTARIO!AC531="","",INVENTARIO!AC531)</f>
        <v/>
      </c>
      <c r="Q531">
        <f>IF(AND(K531="",N531="",L531=""),"",IF(AND((K531="ALTA"),OR(LEFT(N531,2)="L0",LEFT(N531,2)="L1",L531="No Iniciado")),"CRÍTICO - Incumplimiento Normativo SEPS",IF(AND(OR(LEFT(N531,2)="L4",LEFT(N531,2)="L5"),AND(P531&lt;&gt;"",P531&lt;&gt;"N/A")),"CONFORME - Control Efectivo ISO 27001","OBSERVACIÓN - Revisar Controles")))</f>
        <v/>
      </c>
    </row>
    <row r="532">
      <c r="A532">
        <f>IF(INVENTARIO!A532="","",INVENTARIO!A532)</f>
        <v/>
      </c>
      <c r="B532">
        <f>IF(INVENTARIO!E532="","",INVENTARIO!E532)</f>
        <v/>
      </c>
      <c r="C532">
        <f>IF(INVENTARIO!F532="","",INVENTARIO!F532)</f>
        <v/>
      </c>
      <c r="D532">
        <f>IF(INVENTARIO!H532="","",INVENTARIO!H532)</f>
        <v/>
      </c>
      <c r="E532">
        <f>IF(INVENTARIO!I532="","",INVENTARIO!I532)</f>
        <v/>
      </c>
      <c r="F532">
        <f>IF(INVENTARIO!N532="","",INVENTARIO!N532)</f>
        <v/>
      </c>
      <c r="G532">
        <f>IF(INVENTARIO!P532="","",INVENTARIO!P532)</f>
        <v/>
      </c>
      <c r="H532">
        <f>IF(INVENTARIO!Q532="","",INVENTARIO!Q532)</f>
        <v/>
      </c>
      <c r="I532">
        <f>IF(INVENTARIO!R532="","",INVENTARIO!R532)</f>
        <v/>
      </c>
      <c r="J532">
        <f>IF(G532="PUBLICA(1)",1,IF(G532="USO INTERNO(2)",2,IF(G532="RESTRINGIDO(3)",3,0)))+IF(H532="BAJA(1)",1,IF(H532="MEDIA(2)",2,IF(H532="ALTA(3)",3,0)))+IF(I532="BAJA(1)",1,IF(I532="MEDIA(2)",2,IF(I532="ALTA(3)",3,0)))</f>
        <v/>
      </c>
      <c r="K532">
        <f>IF(J532="", "", IF(J532&gt;=8,"ALTA",IF(J532&gt;=6,"MEDIA","BAJA")))</f>
        <v/>
      </c>
      <c r="L532">
        <f>IF(INVENTARIO!Y532="","",INVENTARIO!Y532)</f>
        <v/>
      </c>
      <c r="M532">
        <f>IF(INVENTARIO!Z532="","",INVENTARIO!Z532)</f>
        <v/>
      </c>
      <c r="N532">
        <f>IF(INVENTARIO!AA532="","",INVENTARIO!AA532)</f>
        <v/>
      </c>
      <c r="O532">
        <f>IF(INVENTARIO!AB532="","",INVENTARIO!AB532)</f>
        <v/>
      </c>
      <c r="P532">
        <f>IF(INVENTARIO!AC532="","",INVENTARIO!AC532)</f>
        <v/>
      </c>
      <c r="Q532">
        <f>IF(AND(K532="",N532="",L532=""),"",IF(AND((K532="ALTA"),OR(LEFT(N532,2)="L0",LEFT(N532,2)="L1",L532="No Iniciado")),"CRÍTICO - Incumplimiento Normativo SEPS",IF(AND(OR(LEFT(N532,2)="L4",LEFT(N532,2)="L5"),AND(P532&lt;&gt;"",P532&lt;&gt;"N/A")),"CONFORME - Control Efectivo ISO 27001","OBSERVACIÓN - Revisar Controles")))</f>
        <v/>
      </c>
    </row>
    <row r="533">
      <c r="A533">
        <f>IF(INVENTARIO!A533="","",INVENTARIO!A533)</f>
        <v/>
      </c>
      <c r="B533">
        <f>IF(INVENTARIO!E533="","",INVENTARIO!E533)</f>
        <v/>
      </c>
      <c r="C533">
        <f>IF(INVENTARIO!F533="","",INVENTARIO!F533)</f>
        <v/>
      </c>
      <c r="D533">
        <f>IF(INVENTARIO!H533="","",INVENTARIO!H533)</f>
        <v/>
      </c>
      <c r="E533">
        <f>IF(INVENTARIO!I533="","",INVENTARIO!I533)</f>
        <v/>
      </c>
      <c r="F533">
        <f>IF(INVENTARIO!N533="","",INVENTARIO!N533)</f>
        <v/>
      </c>
      <c r="G533">
        <f>IF(INVENTARIO!P533="","",INVENTARIO!P533)</f>
        <v/>
      </c>
      <c r="H533">
        <f>IF(INVENTARIO!Q533="","",INVENTARIO!Q533)</f>
        <v/>
      </c>
      <c r="I533">
        <f>IF(INVENTARIO!R533="","",INVENTARIO!R533)</f>
        <v/>
      </c>
      <c r="J533">
        <f>IF(G533="PUBLICA(1)",1,IF(G533="USO INTERNO(2)",2,IF(G533="RESTRINGIDO(3)",3,0)))+IF(H533="BAJA(1)",1,IF(H533="MEDIA(2)",2,IF(H533="ALTA(3)",3,0)))+IF(I533="BAJA(1)",1,IF(I533="MEDIA(2)",2,IF(I533="ALTA(3)",3,0)))</f>
        <v/>
      </c>
      <c r="K533">
        <f>IF(J533="", "", IF(J533&gt;=8,"ALTA",IF(J533&gt;=6,"MEDIA","BAJA")))</f>
        <v/>
      </c>
      <c r="L533">
        <f>IF(INVENTARIO!Y533="","",INVENTARIO!Y533)</f>
        <v/>
      </c>
      <c r="M533">
        <f>IF(INVENTARIO!Z533="","",INVENTARIO!Z533)</f>
        <v/>
      </c>
      <c r="N533">
        <f>IF(INVENTARIO!AA533="","",INVENTARIO!AA533)</f>
        <v/>
      </c>
      <c r="O533">
        <f>IF(INVENTARIO!AB533="","",INVENTARIO!AB533)</f>
        <v/>
      </c>
      <c r="P533">
        <f>IF(INVENTARIO!AC533="","",INVENTARIO!AC533)</f>
        <v/>
      </c>
      <c r="Q533">
        <f>IF(AND(K533="",N533="",L533=""),"",IF(AND((K533="ALTA"),OR(LEFT(N533,2)="L0",LEFT(N533,2)="L1",L533="No Iniciado")),"CRÍTICO - Incumplimiento Normativo SEPS",IF(AND(OR(LEFT(N533,2)="L4",LEFT(N533,2)="L5"),AND(P533&lt;&gt;"",P533&lt;&gt;"N/A")),"CONFORME - Control Efectivo ISO 27001","OBSERVACIÓN - Revisar Controles")))</f>
        <v/>
      </c>
    </row>
    <row r="534">
      <c r="A534">
        <f>IF(INVENTARIO!A534="","",INVENTARIO!A534)</f>
        <v/>
      </c>
      <c r="B534">
        <f>IF(INVENTARIO!E534="","",INVENTARIO!E534)</f>
        <v/>
      </c>
      <c r="C534">
        <f>IF(INVENTARIO!F534="","",INVENTARIO!F534)</f>
        <v/>
      </c>
      <c r="D534">
        <f>IF(INVENTARIO!H534="","",INVENTARIO!H534)</f>
        <v/>
      </c>
      <c r="E534">
        <f>IF(INVENTARIO!I534="","",INVENTARIO!I534)</f>
        <v/>
      </c>
      <c r="F534">
        <f>IF(INVENTARIO!N534="","",INVENTARIO!N534)</f>
        <v/>
      </c>
      <c r="G534">
        <f>IF(INVENTARIO!P534="","",INVENTARIO!P534)</f>
        <v/>
      </c>
      <c r="H534">
        <f>IF(INVENTARIO!Q534="","",INVENTARIO!Q534)</f>
        <v/>
      </c>
      <c r="I534">
        <f>IF(INVENTARIO!R534="","",INVENTARIO!R534)</f>
        <v/>
      </c>
      <c r="J534">
        <f>IF(G534="PUBLICA(1)",1,IF(G534="USO INTERNO(2)",2,IF(G534="RESTRINGIDO(3)",3,0)))+IF(H534="BAJA(1)",1,IF(H534="MEDIA(2)",2,IF(H534="ALTA(3)",3,0)))+IF(I534="BAJA(1)",1,IF(I534="MEDIA(2)",2,IF(I534="ALTA(3)",3,0)))</f>
        <v/>
      </c>
      <c r="K534">
        <f>IF(J534="", "", IF(J534&gt;=8,"ALTA",IF(J534&gt;=6,"MEDIA","BAJA")))</f>
        <v/>
      </c>
      <c r="L534">
        <f>IF(INVENTARIO!Y534="","",INVENTARIO!Y534)</f>
        <v/>
      </c>
      <c r="M534">
        <f>IF(INVENTARIO!Z534="","",INVENTARIO!Z534)</f>
        <v/>
      </c>
      <c r="N534">
        <f>IF(INVENTARIO!AA534="","",INVENTARIO!AA534)</f>
        <v/>
      </c>
      <c r="O534">
        <f>IF(INVENTARIO!AB534="","",INVENTARIO!AB534)</f>
        <v/>
      </c>
      <c r="P534">
        <f>IF(INVENTARIO!AC534="","",INVENTARIO!AC534)</f>
        <v/>
      </c>
      <c r="Q534">
        <f>IF(AND(K534="",N534="",L534=""),"",IF(AND((K534="ALTA"),OR(LEFT(N534,2)="L0",LEFT(N534,2)="L1",L534="No Iniciado")),"CRÍTICO - Incumplimiento Normativo SEPS",IF(AND(OR(LEFT(N534,2)="L4",LEFT(N534,2)="L5"),AND(P534&lt;&gt;"",P534&lt;&gt;"N/A")),"CONFORME - Control Efectivo ISO 27001","OBSERVACIÓN - Revisar Controles")))</f>
        <v/>
      </c>
    </row>
    <row r="535">
      <c r="A535">
        <f>IF(INVENTARIO!A535="","",INVENTARIO!A535)</f>
        <v/>
      </c>
      <c r="B535">
        <f>IF(INVENTARIO!E535="","",INVENTARIO!E535)</f>
        <v/>
      </c>
      <c r="C535">
        <f>IF(INVENTARIO!F535="","",INVENTARIO!F535)</f>
        <v/>
      </c>
      <c r="D535">
        <f>IF(INVENTARIO!H535="","",INVENTARIO!H535)</f>
        <v/>
      </c>
      <c r="E535">
        <f>IF(INVENTARIO!I535="","",INVENTARIO!I535)</f>
        <v/>
      </c>
      <c r="F535">
        <f>IF(INVENTARIO!N535="","",INVENTARIO!N535)</f>
        <v/>
      </c>
      <c r="G535">
        <f>IF(INVENTARIO!P535="","",INVENTARIO!P535)</f>
        <v/>
      </c>
      <c r="H535">
        <f>IF(INVENTARIO!Q535="","",INVENTARIO!Q535)</f>
        <v/>
      </c>
      <c r="I535">
        <f>IF(INVENTARIO!R535="","",INVENTARIO!R535)</f>
        <v/>
      </c>
      <c r="J535">
        <f>IF(G535="PUBLICA(1)",1,IF(G535="USO INTERNO(2)",2,IF(G535="RESTRINGIDO(3)",3,0)))+IF(H535="BAJA(1)",1,IF(H535="MEDIA(2)",2,IF(H535="ALTA(3)",3,0)))+IF(I535="BAJA(1)",1,IF(I535="MEDIA(2)",2,IF(I535="ALTA(3)",3,0)))</f>
        <v/>
      </c>
      <c r="K535">
        <f>IF(J535="", "", IF(J535&gt;=8,"ALTA",IF(J535&gt;=6,"MEDIA","BAJA")))</f>
        <v/>
      </c>
      <c r="L535">
        <f>IF(INVENTARIO!Y535="","",INVENTARIO!Y535)</f>
        <v/>
      </c>
      <c r="M535">
        <f>IF(INVENTARIO!Z535="","",INVENTARIO!Z535)</f>
        <v/>
      </c>
      <c r="N535">
        <f>IF(INVENTARIO!AA535="","",INVENTARIO!AA535)</f>
        <v/>
      </c>
      <c r="O535">
        <f>IF(INVENTARIO!AB535="","",INVENTARIO!AB535)</f>
        <v/>
      </c>
      <c r="P535">
        <f>IF(INVENTARIO!AC535="","",INVENTARIO!AC535)</f>
        <v/>
      </c>
      <c r="Q535">
        <f>IF(AND(K535="",N535="",L535=""),"",IF(AND((K535="ALTA"),OR(LEFT(N535,2)="L0",LEFT(N535,2)="L1",L535="No Iniciado")),"CRÍTICO - Incumplimiento Normativo SEPS",IF(AND(OR(LEFT(N535,2)="L4",LEFT(N535,2)="L5"),AND(P535&lt;&gt;"",P535&lt;&gt;"N/A")),"CONFORME - Control Efectivo ISO 27001","OBSERVACIÓN - Revisar Controles")))</f>
        <v/>
      </c>
    </row>
    <row r="536">
      <c r="A536">
        <f>IF(INVENTARIO!A536="","",INVENTARIO!A536)</f>
        <v/>
      </c>
      <c r="B536">
        <f>IF(INVENTARIO!E536="","",INVENTARIO!E536)</f>
        <v/>
      </c>
      <c r="C536">
        <f>IF(INVENTARIO!F536="","",INVENTARIO!F536)</f>
        <v/>
      </c>
      <c r="D536">
        <f>IF(INVENTARIO!H536="","",INVENTARIO!H536)</f>
        <v/>
      </c>
      <c r="E536">
        <f>IF(INVENTARIO!I536="","",INVENTARIO!I536)</f>
        <v/>
      </c>
      <c r="F536">
        <f>IF(INVENTARIO!N536="","",INVENTARIO!N536)</f>
        <v/>
      </c>
      <c r="G536">
        <f>IF(INVENTARIO!P536="","",INVENTARIO!P536)</f>
        <v/>
      </c>
      <c r="H536">
        <f>IF(INVENTARIO!Q536="","",INVENTARIO!Q536)</f>
        <v/>
      </c>
      <c r="I536">
        <f>IF(INVENTARIO!R536="","",INVENTARIO!R536)</f>
        <v/>
      </c>
      <c r="J536">
        <f>IF(G536="PUBLICA(1)",1,IF(G536="USO INTERNO(2)",2,IF(G536="RESTRINGIDO(3)",3,0)))+IF(H536="BAJA(1)",1,IF(H536="MEDIA(2)",2,IF(H536="ALTA(3)",3,0)))+IF(I536="BAJA(1)",1,IF(I536="MEDIA(2)",2,IF(I536="ALTA(3)",3,0)))</f>
        <v/>
      </c>
      <c r="K536">
        <f>IF(J536="", "", IF(J536&gt;=8,"ALTA",IF(J536&gt;=6,"MEDIA","BAJA")))</f>
        <v/>
      </c>
      <c r="L536">
        <f>IF(INVENTARIO!Y536="","",INVENTARIO!Y536)</f>
        <v/>
      </c>
      <c r="M536">
        <f>IF(INVENTARIO!Z536="","",INVENTARIO!Z536)</f>
        <v/>
      </c>
      <c r="N536">
        <f>IF(INVENTARIO!AA536="","",INVENTARIO!AA536)</f>
        <v/>
      </c>
      <c r="O536">
        <f>IF(INVENTARIO!AB536="","",INVENTARIO!AB536)</f>
        <v/>
      </c>
      <c r="P536">
        <f>IF(INVENTARIO!AC536="","",INVENTARIO!AC536)</f>
        <v/>
      </c>
      <c r="Q536">
        <f>IF(AND(K536="",N536="",L536=""),"",IF(AND((K536="ALTA"),OR(LEFT(N536,2)="L0",LEFT(N536,2)="L1",L536="No Iniciado")),"CRÍTICO - Incumplimiento Normativo SEPS",IF(AND(OR(LEFT(N536,2)="L4",LEFT(N536,2)="L5"),AND(P536&lt;&gt;"",P536&lt;&gt;"N/A")),"CONFORME - Control Efectivo ISO 27001","OBSERVACIÓN - Revisar Controles")))</f>
        <v/>
      </c>
    </row>
    <row r="537">
      <c r="A537">
        <f>IF(INVENTARIO!A537="","",INVENTARIO!A537)</f>
        <v/>
      </c>
      <c r="B537">
        <f>IF(INVENTARIO!E537="","",INVENTARIO!E537)</f>
        <v/>
      </c>
      <c r="C537">
        <f>IF(INVENTARIO!F537="","",INVENTARIO!F537)</f>
        <v/>
      </c>
      <c r="D537">
        <f>IF(INVENTARIO!H537="","",INVENTARIO!H537)</f>
        <v/>
      </c>
      <c r="E537">
        <f>IF(INVENTARIO!I537="","",INVENTARIO!I537)</f>
        <v/>
      </c>
      <c r="F537">
        <f>IF(INVENTARIO!N537="","",INVENTARIO!N537)</f>
        <v/>
      </c>
      <c r="G537">
        <f>IF(INVENTARIO!P537="","",INVENTARIO!P537)</f>
        <v/>
      </c>
      <c r="H537">
        <f>IF(INVENTARIO!Q537="","",INVENTARIO!Q537)</f>
        <v/>
      </c>
      <c r="I537">
        <f>IF(INVENTARIO!R537="","",INVENTARIO!R537)</f>
        <v/>
      </c>
      <c r="J537">
        <f>IF(G537="PUBLICA(1)",1,IF(G537="USO INTERNO(2)",2,IF(G537="RESTRINGIDO(3)",3,0)))+IF(H537="BAJA(1)",1,IF(H537="MEDIA(2)",2,IF(H537="ALTA(3)",3,0)))+IF(I537="BAJA(1)",1,IF(I537="MEDIA(2)",2,IF(I537="ALTA(3)",3,0)))</f>
        <v/>
      </c>
      <c r="K537">
        <f>IF(J537="", "", IF(J537&gt;=8,"ALTA",IF(J537&gt;=6,"MEDIA","BAJA")))</f>
        <v/>
      </c>
      <c r="L537">
        <f>IF(INVENTARIO!Y537="","",INVENTARIO!Y537)</f>
        <v/>
      </c>
      <c r="M537">
        <f>IF(INVENTARIO!Z537="","",INVENTARIO!Z537)</f>
        <v/>
      </c>
      <c r="N537">
        <f>IF(INVENTARIO!AA537="","",INVENTARIO!AA537)</f>
        <v/>
      </c>
      <c r="O537">
        <f>IF(INVENTARIO!AB537="","",INVENTARIO!AB537)</f>
        <v/>
      </c>
      <c r="P537">
        <f>IF(INVENTARIO!AC537="","",INVENTARIO!AC537)</f>
        <v/>
      </c>
      <c r="Q537">
        <f>IF(AND(K537="",N537="",L537=""),"",IF(AND((K537="ALTA"),OR(LEFT(N537,2)="L0",LEFT(N537,2)="L1",L537="No Iniciado")),"CRÍTICO - Incumplimiento Normativo SEPS",IF(AND(OR(LEFT(N537,2)="L4",LEFT(N537,2)="L5"),AND(P537&lt;&gt;"",P537&lt;&gt;"N/A")),"CONFORME - Control Efectivo ISO 27001","OBSERVACIÓN - Revisar Controles")))</f>
        <v/>
      </c>
    </row>
    <row r="538">
      <c r="A538">
        <f>IF(INVENTARIO!A538="","",INVENTARIO!A538)</f>
        <v/>
      </c>
      <c r="B538">
        <f>IF(INVENTARIO!E538="","",INVENTARIO!E538)</f>
        <v/>
      </c>
      <c r="C538">
        <f>IF(INVENTARIO!F538="","",INVENTARIO!F538)</f>
        <v/>
      </c>
      <c r="D538">
        <f>IF(INVENTARIO!H538="","",INVENTARIO!H538)</f>
        <v/>
      </c>
      <c r="E538">
        <f>IF(INVENTARIO!I538="","",INVENTARIO!I538)</f>
        <v/>
      </c>
      <c r="F538">
        <f>IF(INVENTARIO!N538="","",INVENTARIO!N538)</f>
        <v/>
      </c>
      <c r="G538">
        <f>IF(INVENTARIO!P538="","",INVENTARIO!P538)</f>
        <v/>
      </c>
      <c r="H538">
        <f>IF(INVENTARIO!Q538="","",INVENTARIO!Q538)</f>
        <v/>
      </c>
      <c r="I538">
        <f>IF(INVENTARIO!R538="","",INVENTARIO!R538)</f>
        <v/>
      </c>
      <c r="J538">
        <f>IF(G538="PUBLICA(1)",1,IF(G538="USO INTERNO(2)",2,IF(G538="RESTRINGIDO(3)",3,0)))+IF(H538="BAJA(1)",1,IF(H538="MEDIA(2)",2,IF(H538="ALTA(3)",3,0)))+IF(I538="BAJA(1)",1,IF(I538="MEDIA(2)",2,IF(I538="ALTA(3)",3,0)))</f>
        <v/>
      </c>
      <c r="K538">
        <f>IF(J538="", "", IF(J538&gt;=8,"ALTA",IF(J538&gt;=6,"MEDIA","BAJA")))</f>
        <v/>
      </c>
      <c r="L538">
        <f>IF(INVENTARIO!Y538="","",INVENTARIO!Y538)</f>
        <v/>
      </c>
      <c r="M538">
        <f>IF(INVENTARIO!Z538="","",INVENTARIO!Z538)</f>
        <v/>
      </c>
      <c r="N538">
        <f>IF(INVENTARIO!AA538="","",INVENTARIO!AA538)</f>
        <v/>
      </c>
      <c r="O538">
        <f>IF(INVENTARIO!AB538="","",INVENTARIO!AB538)</f>
        <v/>
      </c>
      <c r="P538">
        <f>IF(INVENTARIO!AC538="","",INVENTARIO!AC538)</f>
        <v/>
      </c>
      <c r="Q538">
        <f>IF(AND(K538="",N538="",L538=""),"",IF(AND((K538="ALTA"),OR(LEFT(N538,2)="L0",LEFT(N538,2)="L1",L538="No Iniciado")),"CRÍTICO - Incumplimiento Normativo SEPS",IF(AND(OR(LEFT(N538,2)="L4",LEFT(N538,2)="L5"),AND(P538&lt;&gt;"",P538&lt;&gt;"N/A")),"CONFORME - Control Efectivo ISO 27001","OBSERVACIÓN - Revisar Controles")))</f>
        <v/>
      </c>
    </row>
    <row r="539">
      <c r="A539">
        <f>IF(INVENTARIO!A539="","",INVENTARIO!A539)</f>
        <v/>
      </c>
      <c r="B539">
        <f>IF(INVENTARIO!E539="","",INVENTARIO!E539)</f>
        <v/>
      </c>
      <c r="C539">
        <f>IF(INVENTARIO!F539="","",INVENTARIO!F539)</f>
        <v/>
      </c>
      <c r="D539">
        <f>IF(INVENTARIO!H539="","",INVENTARIO!H539)</f>
        <v/>
      </c>
      <c r="E539">
        <f>IF(INVENTARIO!I539="","",INVENTARIO!I539)</f>
        <v/>
      </c>
      <c r="F539">
        <f>IF(INVENTARIO!N539="","",INVENTARIO!N539)</f>
        <v/>
      </c>
      <c r="G539">
        <f>IF(INVENTARIO!P539="","",INVENTARIO!P539)</f>
        <v/>
      </c>
      <c r="H539">
        <f>IF(INVENTARIO!Q539="","",INVENTARIO!Q539)</f>
        <v/>
      </c>
      <c r="I539">
        <f>IF(INVENTARIO!R539="","",INVENTARIO!R539)</f>
        <v/>
      </c>
      <c r="J539">
        <f>IF(G539="PUBLICA(1)",1,IF(G539="USO INTERNO(2)",2,IF(G539="RESTRINGIDO(3)",3,0)))+IF(H539="BAJA(1)",1,IF(H539="MEDIA(2)",2,IF(H539="ALTA(3)",3,0)))+IF(I539="BAJA(1)",1,IF(I539="MEDIA(2)",2,IF(I539="ALTA(3)",3,0)))</f>
        <v/>
      </c>
      <c r="K539">
        <f>IF(J539="", "", IF(J539&gt;=8,"ALTA",IF(J539&gt;=6,"MEDIA","BAJA")))</f>
        <v/>
      </c>
      <c r="L539">
        <f>IF(INVENTARIO!Y539="","",INVENTARIO!Y539)</f>
        <v/>
      </c>
      <c r="M539">
        <f>IF(INVENTARIO!Z539="","",INVENTARIO!Z539)</f>
        <v/>
      </c>
      <c r="N539">
        <f>IF(INVENTARIO!AA539="","",INVENTARIO!AA539)</f>
        <v/>
      </c>
      <c r="O539">
        <f>IF(INVENTARIO!AB539="","",INVENTARIO!AB539)</f>
        <v/>
      </c>
      <c r="P539">
        <f>IF(INVENTARIO!AC539="","",INVENTARIO!AC539)</f>
        <v/>
      </c>
      <c r="Q539">
        <f>IF(AND(K539="",N539="",L539=""),"",IF(AND((K539="ALTA"),OR(LEFT(N539,2)="L0",LEFT(N539,2)="L1",L539="No Iniciado")),"CRÍTICO - Incumplimiento Normativo SEPS",IF(AND(OR(LEFT(N539,2)="L4",LEFT(N539,2)="L5"),AND(P539&lt;&gt;"",P539&lt;&gt;"N/A")),"CONFORME - Control Efectivo ISO 27001","OBSERVACIÓN - Revisar Controles")))</f>
        <v/>
      </c>
    </row>
    <row r="540">
      <c r="A540">
        <f>IF(INVENTARIO!A540="","",INVENTARIO!A540)</f>
        <v/>
      </c>
      <c r="B540">
        <f>IF(INVENTARIO!E540="","",INVENTARIO!E540)</f>
        <v/>
      </c>
      <c r="C540">
        <f>IF(INVENTARIO!F540="","",INVENTARIO!F540)</f>
        <v/>
      </c>
      <c r="D540">
        <f>IF(INVENTARIO!H540="","",INVENTARIO!H540)</f>
        <v/>
      </c>
      <c r="E540">
        <f>IF(INVENTARIO!I540="","",INVENTARIO!I540)</f>
        <v/>
      </c>
      <c r="F540">
        <f>IF(INVENTARIO!N540="","",INVENTARIO!N540)</f>
        <v/>
      </c>
      <c r="G540">
        <f>IF(INVENTARIO!P540="","",INVENTARIO!P540)</f>
        <v/>
      </c>
      <c r="H540">
        <f>IF(INVENTARIO!Q540="","",INVENTARIO!Q540)</f>
        <v/>
      </c>
      <c r="I540">
        <f>IF(INVENTARIO!R540="","",INVENTARIO!R540)</f>
        <v/>
      </c>
      <c r="J540">
        <f>IF(G540="PUBLICA(1)",1,IF(G540="USO INTERNO(2)",2,IF(G540="RESTRINGIDO(3)",3,0)))+IF(H540="BAJA(1)",1,IF(H540="MEDIA(2)",2,IF(H540="ALTA(3)",3,0)))+IF(I540="BAJA(1)",1,IF(I540="MEDIA(2)",2,IF(I540="ALTA(3)",3,0)))</f>
        <v/>
      </c>
      <c r="K540">
        <f>IF(J540="", "", IF(J540&gt;=8,"ALTA",IF(J540&gt;=6,"MEDIA","BAJA")))</f>
        <v/>
      </c>
      <c r="L540">
        <f>IF(INVENTARIO!Y540="","",INVENTARIO!Y540)</f>
        <v/>
      </c>
      <c r="M540">
        <f>IF(INVENTARIO!Z540="","",INVENTARIO!Z540)</f>
        <v/>
      </c>
      <c r="N540">
        <f>IF(INVENTARIO!AA540="","",INVENTARIO!AA540)</f>
        <v/>
      </c>
      <c r="O540">
        <f>IF(INVENTARIO!AB540="","",INVENTARIO!AB540)</f>
        <v/>
      </c>
      <c r="P540">
        <f>IF(INVENTARIO!AC540="","",INVENTARIO!AC540)</f>
        <v/>
      </c>
      <c r="Q540">
        <f>IF(AND(K540="",N540="",L540=""),"",IF(AND((K540="ALTA"),OR(LEFT(N540,2)="L0",LEFT(N540,2)="L1",L540="No Iniciado")),"CRÍTICO - Incumplimiento Normativo SEPS",IF(AND(OR(LEFT(N540,2)="L4",LEFT(N540,2)="L5"),AND(P540&lt;&gt;"",P540&lt;&gt;"N/A")),"CONFORME - Control Efectivo ISO 27001","OBSERVACIÓN - Revisar Controles")))</f>
        <v/>
      </c>
    </row>
    <row r="541">
      <c r="A541">
        <f>IF(INVENTARIO!A541="","",INVENTARIO!A541)</f>
        <v/>
      </c>
      <c r="B541">
        <f>IF(INVENTARIO!E541="","",INVENTARIO!E541)</f>
        <v/>
      </c>
      <c r="C541">
        <f>IF(INVENTARIO!F541="","",INVENTARIO!F541)</f>
        <v/>
      </c>
      <c r="D541">
        <f>IF(INVENTARIO!H541="","",INVENTARIO!H541)</f>
        <v/>
      </c>
      <c r="E541">
        <f>IF(INVENTARIO!I541="","",INVENTARIO!I541)</f>
        <v/>
      </c>
      <c r="F541">
        <f>IF(INVENTARIO!N541="","",INVENTARIO!N541)</f>
        <v/>
      </c>
      <c r="G541">
        <f>IF(INVENTARIO!P541="","",INVENTARIO!P541)</f>
        <v/>
      </c>
      <c r="H541">
        <f>IF(INVENTARIO!Q541="","",INVENTARIO!Q541)</f>
        <v/>
      </c>
      <c r="I541">
        <f>IF(INVENTARIO!R541="","",INVENTARIO!R541)</f>
        <v/>
      </c>
      <c r="J541">
        <f>IF(G541="PUBLICA(1)",1,IF(G541="USO INTERNO(2)",2,IF(G541="RESTRINGIDO(3)",3,0)))+IF(H541="BAJA(1)",1,IF(H541="MEDIA(2)",2,IF(H541="ALTA(3)",3,0)))+IF(I541="BAJA(1)",1,IF(I541="MEDIA(2)",2,IF(I541="ALTA(3)",3,0)))</f>
        <v/>
      </c>
      <c r="K541">
        <f>IF(J541="", "", IF(J541&gt;=8,"ALTA",IF(J541&gt;=6,"MEDIA","BAJA")))</f>
        <v/>
      </c>
      <c r="L541">
        <f>IF(INVENTARIO!Y541="","",INVENTARIO!Y541)</f>
        <v/>
      </c>
      <c r="M541">
        <f>IF(INVENTARIO!Z541="","",INVENTARIO!Z541)</f>
        <v/>
      </c>
      <c r="N541">
        <f>IF(INVENTARIO!AA541="","",INVENTARIO!AA541)</f>
        <v/>
      </c>
      <c r="O541">
        <f>IF(INVENTARIO!AB541="","",INVENTARIO!AB541)</f>
        <v/>
      </c>
      <c r="P541">
        <f>IF(INVENTARIO!AC541="","",INVENTARIO!AC541)</f>
        <v/>
      </c>
      <c r="Q541">
        <f>IF(AND(K541="",N541="",L541=""),"",IF(AND((K541="ALTA"),OR(LEFT(N541,2)="L0",LEFT(N541,2)="L1",L541="No Iniciado")),"CRÍTICO - Incumplimiento Normativo SEPS",IF(AND(OR(LEFT(N541,2)="L4",LEFT(N541,2)="L5"),AND(P541&lt;&gt;"",P541&lt;&gt;"N/A")),"CONFORME - Control Efectivo ISO 27001","OBSERVACIÓN - Revisar Controles")))</f>
        <v/>
      </c>
    </row>
    <row r="542">
      <c r="A542">
        <f>IF(INVENTARIO!A542="","",INVENTARIO!A542)</f>
        <v/>
      </c>
      <c r="B542">
        <f>IF(INVENTARIO!E542="","",INVENTARIO!E542)</f>
        <v/>
      </c>
      <c r="C542">
        <f>IF(INVENTARIO!F542="","",INVENTARIO!F542)</f>
        <v/>
      </c>
      <c r="D542">
        <f>IF(INVENTARIO!H542="","",INVENTARIO!H542)</f>
        <v/>
      </c>
      <c r="E542">
        <f>IF(INVENTARIO!I542="","",INVENTARIO!I542)</f>
        <v/>
      </c>
      <c r="F542">
        <f>IF(INVENTARIO!N542="","",INVENTARIO!N542)</f>
        <v/>
      </c>
      <c r="G542">
        <f>IF(INVENTARIO!P542="","",INVENTARIO!P542)</f>
        <v/>
      </c>
      <c r="H542">
        <f>IF(INVENTARIO!Q542="","",INVENTARIO!Q542)</f>
        <v/>
      </c>
      <c r="I542">
        <f>IF(INVENTARIO!R542="","",INVENTARIO!R542)</f>
        <v/>
      </c>
      <c r="J542">
        <f>IF(G542="PUBLICA(1)",1,IF(G542="USO INTERNO(2)",2,IF(G542="RESTRINGIDO(3)",3,0)))+IF(H542="BAJA(1)",1,IF(H542="MEDIA(2)",2,IF(H542="ALTA(3)",3,0)))+IF(I542="BAJA(1)",1,IF(I542="MEDIA(2)",2,IF(I542="ALTA(3)",3,0)))</f>
        <v/>
      </c>
      <c r="K542">
        <f>IF(J542="", "", IF(J542&gt;=8,"ALTA",IF(J542&gt;=6,"MEDIA","BAJA")))</f>
        <v/>
      </c>
      <c r="L542">
        <f>IF(INVENTARIO!Y542="","",INVENTARIO!Y542)</f>
        <v/>
      </c>
      <c r="M542">
        <f>IF(INVENTARIO!Z542="","",INVENTARIO!Z542)</f>
        <v/>
      </c>
      <c r="N542">
        <f>IF(INVENTARIO!AA542="","",INVENTARIO!AA542)</f>
        <v/>
      </c>
      <c r="O542">
        <f>IF(INVENTARIO!AB542="","",INVENTARIO!AB542)</f>
        <v/>
      </c>
      <c r="P542">
        <f>IF(INVENTARIO!AC542="","",INVENTARIO!AC542)</f>
        <v/>
      </c>
      <c r="Q542">
        <f>IF(AND(K542="",N542="",L542=""),"",IF(AND((K542="ALTA"),OR(LEFT(N542,2)="L0",LEFT(N542,2)="L1",L542="No Iniciado")),"CRÍTICO - Incumplimiento Normativo SEPS",IF(AND(OR(LEFT(N542,2)="L4",LEFT(N542,2)="L5"),AND(P542&lt;&gt;"",P542&lt;&gt;"N/A")),"CONFORME - Control Efectivo ISO 27001","OBSERVACIÓN - Revisar Controles")))</f>
        <v/>
      </c>
    </row>
    <row r="543">
      <c r="A543">
        <f>IF(INVENTARIO!A543="","",INVENTARIO!A543)</f>
        <v/>
      </c>
      <c r="B543">
        <f>IF(INVENTARIO!E543="","",INVENTARIO!E543)</f>
        <v/>
      </c>
      <c r="C543">
        <f>IF(INVENTARIO!F543="","",INVENTARIO!F543)</f>
        <v/>
      </c>
      <c r="D543">
        <f>IF(INVENTARIO!H543="","",INVENTARIO!H543)</f>
        <v/>
      </c>
      <c r="E543">
        <f>IF(INVENTARIO!I543="","",INVENTARIO!I543)</f>
        <v/>
      </c>
      <c r="F543">
        <f>IF(INVENTARIO!N543="","",INVENTARIO!N543)</f>
        <v/>
      </c>
      <c r="G543">
        <f>IF(INVENTARIO!P543="","",INVENTARIO!P543)</f>
        <v/>
      </c>
      <c r="H543">
        <f>IF(INVENTARIO!Q543="","",INVENTARIO!Q543)</f>
        <v/>
      </c>
      <c r="I543">
        <f>IF(INVENTARIO!R543="","",INVENTARIO!R543)</f>
        <v/>
      </c>
      <c r="J543">
        <f>IF(G543="PUBLICA(1)",1,IF(G543="USO INTERNO(2)",2,IF(G543="RESTRINGIDO(3)",3,0)))+IF(H543="BAJA(1)",1,IF(H543="MEDIA(2)",2,IF(H543="ALTA(3)",3,0)))+IF(I543="BAJA(1)",1,IF(I543="MEDIA(2)",2,IF(I543="ALTA(3)",3,0)))</f>
        <v/>
      </c>
      <c r="K543">
        <f>IF(J543="", "", IF(J543&gt;=8,"ALTA",IF(J543&gt;=6,"MEDIA","BAJA")))</f>
        <v/>
      </c>
      <c r="L543">
        <f>IF(INVENTARIO!Y543="","",INVENTARIO!Y543)</f>
        <v/>
      </c>
      <c r="M543">
        <f>IF(INVENTARIO!Z543="","",INVENTARIO!Z543)</f>
        <v/>
      </c>
      <c r="N543">
        <f>IF(INVENTARIO!AA543="","",INVENTARIO!AA543)</f>
        <v/>
      </c>
      <c r="O543">
        <f>IF(INVENTARIO!AB543="","",INVENTARIO!AB543)</f>
        <v/>
      </c>
      <c r="P543">
        <f>IF(INVENTARIO!AC543="","",INVENTARIO!AC543)</f>
        <v/>
      </c>
      <c r="Q543">
        <f>IF(AND(K543="",N543="",L543=""),"",IF(AND((K543="ALTA"),OR(LEFT(N543,2)="L0",LEFT(N543,2)="L1",L543="No Iniciado")),"CRÍTICO - Incumplimiento Normativo SEPS",IF(AND(OR(LEFT(N543,2)="L4",LEFT(N543,2)="L5"),AND(P543&lt;&gt;"",P543&lt;&gt;"N/A")),"CONFORME - Control Efectivo ISO 27001","OBSERVACIÓN - Revisar Controles")))</f>
        <v/>
      </c>
    </row>
    <row r="544">
      <c r="A544">
        <f>IF(INVENTARIO!A544="","",INVENTARIO!A544)</f>
        <v/>
      </c>
      <c r="B544">
        <f>IF(INVENTARIO!E544="","",INVENTARIO!E544)</f>
        <v/>
      </c>
      <c r="C544">
        <f>IF(INVENTARIO!F544="","",INVENTARIO!F544)</f>
        <v/>
      </c>
      <c r="D544">
        <f>IF(INVENTARIO!H544="","",INVENTARIO!H544)</f>
        <v/>
      </c>
      <c r="E544">
        <f>IF(INVENTARIO!I544="","",INVENTARIO!I544)</f>
        <v/>
      </c>
      <c r="F544">
        <f>IF(INVENTARIO!N544="","",INVENTARIO!N544)</f>
        <v/>
      </c>
      <c r="G544">
        <f>IF(INVENTARIO!P544="","",INVENTARIO!P544)</f>
        <v/>
      </c>
      <c r="H544">
        <f>IF(INVENTARIO!Q544="","",INVENTARIO!Q544)</f>
        <v/>
      </c>
      <c r="I544">
        <f>IF(INVENTARIO!R544="","",INVENTARIO!R544)</f>
        <v/>
      </c>
      <c r="J544">
        <f>IF(G544="PUBLICA(1)",1,IF(G544="USO INTERNO(2)",2,IF(G544="RESTRINGIDO(3)",3,0)))+IF(H544="BAJA(1)",1,IF(H544="MEDIA(2)",2,IF(H544="ALTA(3)",3,0)))+IF(I544="BAJA(1)",1,IF(I544="MEDIA(2)",2,IF(I544="ALTA(3)",3,0)))</f>
        <v/>
      </c>
      <c r="K544">
        <f>IF(J544="", "", IF(J544&gt;=8,"ALTA",IF(J544&gt;=6,"MEDIA","BAJA")))</f>
        <v/>
      </c>
      <c r="L544">
        <f>IF(INVENTARIO!Y544="","",INVENTARIO!Y544)</f>
        <v/>
      </c>
      <c r="M544">
        <f>IF(INVENTARIO!Z544="","",INVENTARIO!Z544)</f>
        <v/>
      </c>
      <c r="N544">
        <f>IF(INVENTARIO!AA544="","",INVENTARIO!AA544)</f>
        <v/>
      </c>
      <c r="O544">
        <f>IF(INVENTARIO!AB544="","",INVENTARIO!AB544)</f>
        <v/>
      </c>
      <c r="P544">
        <f>IF(INVENTARIO!AC544="","",INVENTARIO!AC544)</f>
        <v/>
      </c>
      <c r="Q544">
        <f>IF(AND(K544="",N544="",L544=""),"",IF(AND((K544="ALTA"),OR(LEFT(N544,2)="L0",LEFT(N544,2)="L1",L544="No Iniciado")),"CRÍTICO - Incumplimiento Normativo SEPS",IF(AND(OR(LEFT(N544,2)="L4",LEFT(N544,2)="L5"),AND(P544&lt;&gt;"",P544&lt;&gt;"N/A")),"CONFORME - Control Efectivo ISO 27001","OBSERVACIÓN - Revisar Controles")))</f>
        <v/>
      </c>
    </row>
    <row r="545">
      <c r="A545">
        <f>IF(INVENTARIO!A545="","",INVENTARIO!A545)</f>
        <v/>
      </c>
      <c r="B545">
        <f>IF(INVENTARIO!E545="","",INVENTARIO!E545)</f>
        <v/>
      </c>
      <c r="C545">
        <f>IF(INVENTARIO!F545="","",INVENTARIO!F545)</f>
        <v/>
      </c>
      <c r="D545">
        <f>IF(INVENTARIO!H545="","",INVENTARIO!H545)</f>
        <v/>
      </c>
      <c r="E545">
        <f>IF(INVENTARIO!I545="","",INVENTARIO!I545)</f>
        <v/>
      </c>
      <c r="F545">
        <f>IF(INVENTARIO!N545="","",INVENTARIO!N545)</f>
        <v/>
      </c>
      <c r="G545">
        <f>IF(INVENTARIO!P545="","",INVENTARIO!P545)</f>
        <v/>
      </c>
      <c r="H545">
        <f>IF(INVENTARIO!Q545="","",INVENTARIO!Q545)</f>
        <v/>
      </c>
      <c r="I545">
        <f>IF(INVENTARIO!R545="","",INVENTARIO!R545)</f>
        <v/>
      </c>
      <c r="J545">
        <f>IF(G545="PUBLICA(1)",1,IF(G545="USO INTERNO(2)",2,IF(G545="RESTRINGIDO(3)",3,0)))+IF(H545="BAJA(1)",1,IF(H545="MEDIA(2)",2,IF(H545="ALTA(3)",3,0)))+IF(I545="BAJA(1)",1,IF(I545="MEDIA(2)",2,IF(I545="ALTA(3)",3,0)))</f>
        <v/>
      </c>
      <c r="K545">
        <f>IF(J545="", "", IF(J545&gt;=8,"ALTA",IF(J545&gt;=6,"MEDIA","BAJA")))</f>
        <v/>
      </c>
      <c r="L545">
        <f>IF(INVENTARIO!Y545="","",INVENTARIO!Y545)</f>
        <v/>
      </c>
      <c r="M545">
        <f>IF(INVENTARIO!Z545="","",INVENTARIO!Z545)</f>
        <v/>
      </c>
      <c r="N545">
        <f>IF(INVENTARIO!AA545="","",INVENTARIO!AA545)</f>
        <v/>
      </c>
      <c r="O545">
        <f>IF(INVENTARIO!AB545="","",INVENTARIO!AB545)</f>
        <v/>
      </c>
      <c r="P545">
        <f>IF(INVENTARIO!AC545="","",INVENTARIO!AC545)</f>
        <v/>
      </c>
      <c r="Q545">
        <f>IF(AND(K545="",N545="",L545=""),"",IF(AND((K545="ALTA"),OR(LEFT(N545,2)="L0",LEFT(N545,2)="L1",L545="No Iniciado")),"CRÍTICO - Incumplimiento Normativo SEPS",IF(AND(OR(LEFT(N545,2)="L4",LEFT(N545,2)="L5"),AND(P545&lt;&gt;"",P545&lt;&gt;"N/A")),"CONFORME - Control Efectivo ISO 27001","OBSERVACIÓN - Revisar Controles")))</f>
        <v/>
      </c>
    </row>
    <row r="546">
      <c r="A546">
        <f>IF(INVENTARIO!A546="","",INVENTARIO!A546)</f>
        <v/>
      </c>
      <c r="B546">
        <f>IF(INVENTARIO!E546="","",INVENTARIO!E546)</f>
        <v/>
      </c>
      <c r="C546">
        <f>IF(INVENTARIO!F546="","",INVENTARIO!F546)</f>
        <v/>
      </c>
      <c r="D546">
        <f>IF(INVENTARIO!H546="","",INVENTARIO!H546)</f>
        <v/>
      </c>
      <c r="E546">
        <f>IF(INVENTARIO!I546="","",INVENTARIO!I546)</f>
        <v/>
      </c>
      <c r="F546">
        <f>IF(INVENTARIO!N546="","",INVENTARIO!N546)</f>
        <v/>
      </c>
      <c r="G546">
        <f>IF(INVENTARIO!P546="","",INVENTARIO!P546)</f>
        <v/>
      </c>
      <c r="H546">
        <f>IF(INVENTARIO!Q546="","",INVENTARIO!Q546)</f>
        <v/>
      </c>
      <c r="I546">
        <f>IF(INVENTARIO!R546="","",INVENTARIO!R546)</f>
        <v/>
      </c>
      <c r="J546">
        <f>IF(G546="PUBLICA(1)",1,IF(G546="USO INTERNO(2)",2,IF(G546="RESTRINGIDO(3)",3,0)))+IF(H546="BAJA(1)",1,IF(H546="MEDIA(2)",2,IF(H546="ALTA(3)",3,0)))+IF(I546="BAJA(1)",1,IF(I546="MEDIA(2)",2,IF(I546="ALTA(3)",3,0)))</f>
        <v/>
      </c>
      <c r="K546">
        <f>IF(J546="", "", IF(J546&gt;=8,"ALTA",IF(J546&gt;=6,"MEDIA","BAJA")))</f>
        <v/>
      </c>
      <c r="L546">
        <f>IF(INVENTARIO!Y546="","",INVENTARIO!Y546)</f>
        <v/>
      </c>
      <c r="M546">
        <f>IF(INVENTARIO!Z546="","",INVENTARIO!Z546)</f>
        <v/>
      </c>
      <c r="N546">
        <f>IF(INVENTARIO!AA546="","",INVENTARIO!AA546)</f>
        <v/>
      </c>
      <c r="O546">
        <f>IF(INVENTARIO!AB546="","",INVENTARIO!AB546)</f>
        <v/>
      </c>
      <c r="P546">
        <f>IF(INVENTARIO!AC546="","",INVENTARIO!AC546)</f>
        <v/>
      </c>
      <c r="Q546">
        <f>IF(AND(K546="",N546="",L546=""),"",IF(AND((K546="ALTA"),OR(LEFT(N546,2)="L0",LEFT(N546,2)="L1",L546="No Iniciado")),"CRÍTICO - Incumplimiento Normativo SEPS",IF(AND(OR(LEFT(N546,2)="L4",LEFT(N546,2)="L5"),AND(P546&lt;&gt;"",P546&lt;&gt;"N/A")),"CONFORME - Control Efectivo ISO 27001","OBSERVACIÓN - Revisar Controles")))</f>
        <v/>
      </c>
    </row>
    <row r="547">
      <c r="A547">
        <f>IF(INVENTARIO!A547="","",INVENTARIO!A547)</f>
        <v/>
      </c>
      <c r="B547">
        <f>IF(INVENTARIO!E547="","",INVENTARIO!E547)</f>
        <v/>
      </c>
      <c r="C547">
        <f>IF(INVENTARIO!F547="","",INVENTARIO!F547)</f>
        <v/>
      </c>
      <c r="D547">
        <f>IF(INVENTARIO!H547="","",INVENTARIO!H547)</f>
        <v/>
      </c>
      <c r="E547">
        <f>IF(INVENTARIO!I547="","",INVENTARIO!I547)</f>
        <v/>
      </c>
      <c r="F547">
        <f>IF(INVENTARIO!N547="","",INVENTARIO!N547)</f>
        <v/>
      </c>
      <c r="G547">
        <f>IF(INVENTARIO!P547="","",INVENTARIO!P547)</f>
        <v/>
      </c>
      <c r="H547">
        <f>IF(INVENTARIO!Q547="","",INVENTARIO!Q547)</f>
        <v/>
      </c>
      <c r="I547">
        <f>IF(INVENTARIO!R547="","",INVENTARIO!R547)</f>
        <v/>
      </c>
      <c r="J547">
        <f>IF(G547="PUBLICA(1)",1,IF(G547="USO INTERNO(2)",2,IF(G547="RESTRINGIDO(3)",3,0)))+IF(H547="BAJA(1)",1,IF(H547="MEDIA(2)",2,IF(H547="ALTA(3)",3,0)))+IF(I547="BAJA(1)",1,IF(I547="MEDIA(2)",2,IF(I547="ALTA(3)",3,0)))</f>
        <v/>
      </c>
      <c r="K547">
        <f>IF(J547="", "", IF(J547&gt;=8,"ALTA",IF(J547&gt;=6,"MEDIA","BAJA")))</f>
        <v/>
      </c>
      <c r="L547">
        <f>IF(INVENTARIO!Y547="","",INVENTARIO!Y547)</f>
        <v/>
      </c>
      <c r="M547">
        <f>IF(INVENTARIO!Z547="","",INVENTARIO!Z547)</f>
        <v/>
      </c>
      <c r="N547">
        <f>IF(INVENTARIO!AA547="","",INVENTARIO!AA547)</f>
        <v/>
      </c>
      <c r="O547">
        <f>IF(INVENTARIO!AB547="","",INVENTARIO!AB547)</f>
        <v/>
      </c>
      <c r="P547">
        <f>IF(INVENTARIO!AC547="","",INVENTARIO!AC547)</f>
        <v/>
      </c>
      <c r="Q547">
        <f>IF(AND(K547="",N547="",L547=""),"",IF(AND((K547="ALTA"),OR(LEFT(N547,2)="L0",LEFT(N547,2)="L1",L547="No Iniciado")),"CRÍTICO - Incumplimiento Normativo SEPS",IF(AND(OR(LEFT(N547,2)="L4",LEFT(N547,2)="L5"),AND(P547&lt;&gt;"",P547&lt;&gt;"N/A")),"CONFORME - Control Efectivo ISO 27001","OBSERVACIÓN - Revisar Controles")))</f>
        <v/>
      </c>
    </row>
    <row r="548">
      <c r="A548">
        <f>IF(INVENTARIO!A548="","",INVENTARIO!A548)</f>
        <v/>
      </c>
      <c r="B548">
        <f>IF(INVENTARIO!E548="","",INVENTARIO!E548)</f>
        <v/>
      </c>
      <c r="C548">
        <f>IF(INVENTARIO!F548="","",INVENTARIO!F548)</f>
        <v/>
      </c>
      <c r="D548">
        <f>IF(INVENTARIO!H548="","",INVENTARIO!H548)</f>
        <v/>
      </c>
      <c r="E548">
        <f>IF(INVENTARIO!I548="","",INVENTARIO!I548)</f>
        <v/>
      </c>
      <c r="F548">
        <f>IF(INVENTARIO!N548="","",INVENTARIO!N548)</f>
        <v/>
      </c>
      <c r="G548">
        <f>IF(INVENTARIO!P548="","",INVENTARIO!P548)</f>
        <v/>
      </c>
      <c r="H548">
        <f>IF(INVENTARIO!Q548="","",INVENTARIO!Q548)</f>
        <v/>
      </c>
      <c r="I548">
        <f>IF(INVENTARIO!R548="","",INVENTARIO!R548)</f>
        <v/>
      </c>
      <c r="J548">
        <f>IF(G548="PUBLICA(1)",1,IF(G548="USO INTERNO(2)",2,IF(G548="RESTRINGIDO(3)",3,0)))+IF(H548="BAJA(1)",1,IF(H548="MEDIA(2)",2,IF(H548="ALTA(3)",3,0)))+IF(I548="BAJA(1)",1,IF(I548="MEDIA(2)",2,IF(I548="ALTA(3)",3,0)))</f>
        <v/>
      </c>
      <c r="K548">
        <f>IF(J548="", "", IF(J548&gt;=8,"ALTA",IF(J548&gt;=6,"MEDIA","BAJA")))</f>
        <v/>
      </c>
      <c r="L548">
        <f>IF(INVENTARIO!Y548="","",INVENTARIO!Y548)</f>
        <v/>
      </c>
      <c r="M548">
        <f>IF(INVENTARIO!Z548="","",INVENTARIO!Z548)</f>
        <v/>
      </c>
      <c r="N548">
        <f>IF(INVENTARIO!AA548="","",INVENTARIO!AA548)</f>
        <v/>
      </c>
      <c r="O548">
        <f>IF(INVENTARIO!AB548="","",INVENTARIO!AB548)</f>
        <v/>
      </c>
      <c r="P548">
        <f>IF(INVENTARIO!AC548="","",INVENTARIO!AC548)</f>
        <v/>
      </c>
      <c r="Q548">
        <f>IF(AND(K548="",N548="",L548=""),"",IF(AND((K548="ALTA"),OR(LEFT(N548,2)="L0",LEFT(N548,2)="L1",L548="No Iniciado")),"CRÍTICO - Incumplimiento Normativo SEPS",IF(AND(OR(LEFT(N548,2)="L4",LEFT(N548,2)="L5"),AND(P548&lt;&gt;"",P548&lt;&gt;"N/A")),"CONFORME - Control Efectivo ISO 27001","OBSERVACIÓN - Revisar Controles")))</f>
        <v/>
      </c>
    </row>
    <row r="549">
      <c r="A549">
        <f>IF(INVENTARIO!A549="","",INVENTARIO!A549)</f>
        <v/>
      </c>
      <c r="B549">
        <f>IF(INVENTARIO!E549="","",INVENTARIO!E549)</f>
        <v/>
      </c>
      <c r="C549">
        <f>IF(INVENTARIO!F549="","",INVENTARIO!F549)</f>
        <v/>
      </c>
      <c r="D549">
        <f>IF(INVENTARIO!H549="","",INVENTARIO!H549)</f>
        <v/>
      </c>
      <c r="E549">
        <f>IF(INVENTARIO!I549="","",INVENTARIO!I549)</f>
        <v/>
      </c>
      <c r="F549">
        <f>IF(INVENTARIO!N549="","",INVENTARIO!N549)</f>
        <v/>
      </c>
      <c r="G549">
        <f>IF(INVENTARIO!P549="","",INVENTARIO!P549)</f>
        <v/>
      </c>
      <c r="H549">
        <f>IF(INVENTARIO!Q549="","",INVENTARIO!Q549)</f>
        <v/>
      </c>
      <c r="I549">
        <f>IF(INVENTARIO!R549="","",INVENTARIO!R549)</f>
        <v/>
      </c>
      <c r="J549">
        <f>IF(G549="PUBLICA(1)",1,IF(G549="USO INTERNO(2)",2,IF(G549="RESTRINGIDO(3)",3,0)))+IF(H549="BAJA(1)",1,IF(H549="MEDIA(2)",2,IF(H549="ALTA(3)",3,0)))+IF(I549="BAJA(1)",1,IF(I549="MEDIA(2)",2,IF(I549="ALTA(3)",3,0)))</f>
        <v/>
      </c>
      <c r="K549">
        <f>IF(J549="", "", IF(J549&gt;=8,"ALTA",IF(J549&gt;=6,"MEDIA","BAJA")))</f>
        <v/>
      </c>
      <c r="L549">
        <f>IF(INVENTARIO!Y549="","",INVENTARIO!Y549)</f>
        <v/>
      </c>
      <c r="M549">
        <f>IF(INVENTARIO!Z549="","",INVENTARIO!Z549)</f>
        <v/>
      </c>
      <c r="N549">
        <f>IF(INVENTARIO!AA549="","",INVENTARIO!AA549)</f>
        <v/>
      </c>
      <c r="O549">
        <f>IF(INVENTARIO!AB549="","",INVENTARIO!AB549)</f>
        <v/>
      </c>
      <c r="P549">
        <f>IF(INVENTARIO!AC549="","",INVENTARIO!AC549)</f>
        <v/>
      </c>
      <c r="Q549">
        <f>IF(AND(K549="",N549="",L549=""),"",IF(AND((K549="ALTA"),OR(LEFT(N549,2)="L0",LEFT(N549,2)="L1",L549="No Iniciado")),"CRÍTICO - Incumplimiento Normativo SEPS",IF(AND(OR(LEFT(N549,2)="L4",LEFT(N549,2)="L5"),AND(P549&lt;&gt;"",P549&lt;&gt;"N/A")),"CONFORME - Control Efectivo ISO 27001","OBSERVACIÓN - Revisar Controles")))</f>
        <v/>
      </c>
    </row>
    <row r="550">
      <c r="A550">
        <f>IF(INVENTARIO!A550="","",INVENTARIO!A550)</f>
        <v/>
      </c>
      <c r="B550">
        <f>IF(INVENTARIO!E550="","",INVENTARIO!E550)</f>
        <v/>
      </c>
      <c r="C550">
        <f>IF(INVENTARIO!F550="","",INVENTARIO!F550)</f>
        <v/>
      </c>
      <c r="D550">
        <f>IF(INVENTARIO!H550="","",INVENTARIO!H550)</f>
        <v/>
      </c>
      <c r="E550">
        <f>IF(INVENTARIO!I550="","",INVENTARIO!I550)</f>
        <v/>
      </c>
      <c r="F550">
        <f>IF(INVENTARIO!N550="","",INVENTARIO!N550)</f>
        <v/>
      </c>
      <c r="G550">
        <f>IF(INVENTARIO!P550="","",INVENTARIO!P550)</f>
        <v/>
      </c>
      <c r="H550">
        <f>IF(INVENTARIO!Q550="","",INVENTARIO!Q550)</f>
        <v/>
      </c>
      <c r="I550">
        <f>IF(INVENTARIO!R550="","",INVENTARIO!R550)</f>
        <v/>
      </c>
      <c r="J550">
        <f>IF(G550="PUBLICA(1)",1,IF(G550="USO INTERNO(2)",2,IF(G550="RESTRINGIDO(3)",3,0)))+IF(H550="BAJA(1)",1,IF(H550="MEDIA(2)",2,IF(H550="ALTA(3)",3,0)))+IF(I550="BAJA(1)",1,IF(I550="MEDIA(2)",2,IF(I550="ALTA(3)",3,0)))</f>
        <v/>
      </c>
      <c r="K550">
        <f>IF(J550="", "", IF(J550&gt;=8,"ALTA",IF(J550&gt;=6,"MEDIA","BAJA")))</f>
        <v/>
      </c>
      <c r="L550">
        <f>IF(INVENTARIO!Y550="","",INVENTARIO!Y550)</f>
        <v/>
      </c>
      <c r="M550">
        <f>IF(INVENTARIO!Z550="","",INVENTARIO!Z550)</f>
        <v/>
      </c>
      <c r="N550">
        <f>IF(INVENTARIO!AA550="","",INVENTARIO!AA550)</f>
        <v/>
      </c>
      <c r="O550">
        <f>IF(INVENTARIO!AB550="","",INVENTARIO!AB550)</f>
        <v/>
      </c>
      <c r="P550">
        <f>IF(INVENTARIO!AC550="","",INVENTARIO!AC550)</f>
        <v/>
      </c>
      <c r="Q550">
        <f>IF(AND(K550="",N550="",L550=""),"",IF(AND((K550="ALTA"),OR(LEFT(N550,2)="L0",LEFT(N550,2)="L1",L550="No Iniciado")),"CRÍTICO - Incumplimiento Normativo SEPS",IF(AND(OR(LEFT(N550,2)="L4",LEFT(N550,2)="L5"),AND(P550&lt;&gt;"",P550&lt;&gt;"N/A")),"CONFORME - Control Efectivo ISO 27001","OBSERVACIÓN - Revisar Controles")))</f>
        <v/>
      </c>
    </row>
    <row r="551">
      <c r="A551">
        <f>IF(INVENTARIO!A551="","",INVENTARIO!A551)</f>
        <v/>
      </c>
      <c r="B551">
        <f>IF(INVENTARIO!E551="","",INVENTARIO!E551)</f>
        <v/>
      </c>
      <c r="C551">
        <f>IF(INVENTARIO!F551="","",INVENTARIO!F551)</f>
        <v/>
      </c>
      <c r="D551">
        <f>IF(INVENTARIO!H551="","",INVENTARIO!H551)</f>
        <v/>
      </c>
      <c r="E551">
        <f>IF(INVENTARIO!I551="","",INVENTARIO!I551)</f>
        <v/>
      </c>
      <c r="F551">
        <f>IF(INVENTARIO!N551="","",INVENTARIO!N551)</f>
        <v/>
      </c>
      <c r="G551">
        <f>IF(INVENTARIO!P551="","",INVENTARIO!P551)</f>
        <v/>
      </c>
      <c r="H551">
        <f>IF(INVENTARIO!Q551="","",INVENTARIO!Q551)</f>
        <v/>
      </c>
      <c r="I551">
        <f>IF(INVENTARIO!R551="","",INVENTARIO!R551)</f>
        <v/>
      </c>
      <c r="J551">
        <f>IF(G551="PUBLICA(1)",1,IF(G551="USO INTERNO(2)",2,IF(G551="RESTRINGIDO(3)",3,0)))+IF(H551="BAJA(1)",1,IF(H551="MEDIA(2)",2,IF(H551="ALTA(3)",3,0)))+IF(I551="BAJA(1)",1,IF(I551="MEDIA(2)",2,IF(I551="ALTA(3)",3,0)))</f>
        <v/>
      </c>
      <c r="K551">
        <f>IF(J551="", "", IF(J551&gt;=8,"ALTA",IF(J551&gt;=6,"MEDIA","BAJA")))</f>
        <v/>
      </c>
      <c r="L551">
        <f>IF(INVENTARIO!Y551="","",INVENTARIO!Y551)</f>
        <v/>
      </c>
      <c r="M551">
        <f>IF(INVENTARIO!Z551="","",INVENTARIO!Z551)</f>
        <v/>
      </c>
      <c r="N551">
        <f>IF(INVENTARIO!AA551="","",INVENTARIO!AA551)</f>
        <v/>
      </c>
      <c r="O551">
        <f>IF(INVENTARIO!AB551="","",INVENTARIO!AB551)</f>
        <v/>
      </c>
      <c r="P551">
        <f>IF(INVENTARIO!AC551="","",INVENTARIO!AC551)</f>
        <v/>
      </c>
      <c r="Q551">
        <f>IF(AND(K551="",N551="",L551=""),"",IF(AND((K551="ALTA"),OR(LEFT(N551,2)="L0",LEFT(N551,2)="L1",L551="No Iniciado")),"CRÍTICO - Incumplimiento Normativo SEPS",IF(AND(OR(LEFT(N551,2)="L4",LEFT(N551,2)="L5"),AND(P551&lt;&gt;"",P551&lt;&gt;"N/A")),"CONFORME - Control Efectivo ISO 27001","OBSERVACIÓN - Revisar Controles")))</f>
        <v/>
      </c>
    </row>
    <row r="552">
      <c r="A552">
        <f>IF(INVENTARIO!A552="","",INVENTARIO!A552)</f>
        <v/>
      </c>
      <c r="B552">
        <f>IF(INVENTARIO!E552="","",INVENTARIO!E552)</f>
        <v/>
      </c>
      <c r="C552">
        <f>IF(INVENTARIO!F552="","",INVENTARIO!F552)</f>
        <v/>
      </c>
      <c r="D552">
        <f>IF(INVENTARIO!H552="","",INVENTARIO!H552)</f>
        <v/>
      </c>
      <c r="E552">
        <f>IF(INVENTARIO!I552="","",INVENTARIO!I552)</f>
        <v/>
      </c>
      <c r="F552">
        <f>IF(INVENTARIO!N552="","",INVENTARIO!N552)</f>
        <v/>
      </c>
      <c r="G552">
        <f>IF(INVENTARIO!P552="","",INVENTARIO!P552)</f>
        <v/>
      </c>
      <c r="H552">
        <f>IF(INVENTARIO!Q552="","",INVENTARIO!Q552)</f>
        <v/>
      </c>
      <c r="I552">
        <f>IF(INVENTARIO!R552="","",INVENTARIO!R552)</f>
        <v/>
      </c>
      <c r="J552">
        <f>IF(G552="PUBLICA(1)",1,IF(G552="USO INTERNO(2)",2,IF(G552="RESTRINGIDO(3)",3,0)))+IF(H552="BAJA(1)",1,IF(H552="MEDIA(2)",2,IF(H552="ALTA(3)",3,0)))+IF(I552="BAJA(1)",1,IF(I552="MEDIA(2)",2,IF(I552="ALTA(3)",3,0)))</f>
        <v/>
      </c>
      <c r="K552">
        <f>IF(J552="", "", IF(J552&gt;=8,"ALTA",IF(J552&gt;=6,"MEDIA","BAJA")))</f>
        <v/>
      </c>
      <c r="L552">
        <f>IF(INVENTARIO!Y552="","",INVENTARIO!Y552)</f>
        <v/>
      </c>
      <c r="M552">
        <f>IF(INVENTARIO!Z552="","",INVENTARIO!Z552)</f>
        <v/>
      </c>
      <c r="N552">
        <f>IF(INVENTARIO!AA552="","",INVENTARIO!AA552)</f>
        <v/>
      </c>
      <c r="O552">
        <f>IF(INVENTARIO!AB552="","",INVENTARIO!AB552)</f>
        <v/>
      </c>
      <c r="P552">
        <f>IF(INVENTARIO!AC552="","",INVENTARIO!AC552)</f>
        <v/>
      </c>
      <c r="Q552">
        <f>IF(AND(K552="",N552="",L552=""),"",IF(AND((K552="ALTA"),OR(LEFT(N552,2)="L0",LEFT(N552,2)="L1",L552="No Iniciado")),"CRÍTICO - Incumplimiento Normativo SEPS",IF(AND(OR(LEFT(N552,2)="L4",LEFT(N552,2)="L5"),AND(P552&lt;&gt;"",P552&lt;&gt;"N/A")),"CONFORME - Control Efectivo ISO 27001","OBSERVACIÓN - Revisar Controles")))</f>
        <v/>
      </c>
    </row>
    <row r="553">
      <c r="A553">
        <f>IF(INVENTARIO!A553="","",INVENTARIO!A553)</f>
        <v/>
      </c>
      <c r="B553">
        <f>IF(INVENTARIO!E553="","",INVENTARIO!E553)</f>
        <v/>
      </c>
      <c r="C553">
        <f>IF(INVENTARIO!F553="","",INVENTARIO!F553)</f>
        <v/>
      </c>
      <c r="D553">
        <f>IF(INVENTARIO!H553="","",INVENTARIO!H553)</f>
        <v/>
      </c>
      <c r="E553">
        <f>IF(INVENTARIO!I553="","",INVENTARIO!I553)</f>
        <v/>
      </c>
      <c r="F553">
        <f>IF(INVENTARIO!N553="","",INVENTARIO!N553)</f>
        <v/>
      </c>
      <c r="G553">
        <f>IF(INVENTARIO!P553="","",INVENTARIO!P553)</f>
        <v/>
      </c>
      <c r="H553">
        <f>IF(INVENTARIO!Q553="","",INVENTARIO!Q553)</f>
        <v/>
      </c>
      <c r="I553">
        <f>IF(INVENTARIO!R553="","",INVENTARIO!R553)</f>
        <v/>
      </c>
      <c r="J553">
        <f>IF(G553="PUBLICA(1)",1,IF(G553="USO INTERNO(2)",2,IF(G553="RESTRINGIDO(3)",3,0)))+IF(H553="BAJA(1)",1,IF(H553="MEDIA(2)",2,IF(H553="ALTA(3)",3,0)))+IF(I553="BAJA(1)",1,IF(I553="MEDIA(2)",2,IF(I553="ALTA(3)",3,0)))</f>
        <v/>
      </c>
      <c r="K553">
        <f>IF(J553="", "", IF(J553&gt;=8,"ALTA",IF(J553&gt;=6,"MEDIA","BAJA")))</f>
        <v/>
      </c>
      <c r="L553">
        <f>IF(INVENTARIO!Y553="","",INVENTARIO!Y553)</f>
        <v/>
      </c>
      <c r="M553">
        <f>IF(INVENTARIO!Z553="","",INVENTARIO!Z553)</f>
        <v/>
      </c>
      <c r="N553">
        <f>IF(INVENTARIO!AA553="","",INVENTARIO!AA553)</f>
        <v/>
      </c>
      <c r="O553">
        <f>IF(INVENTARIO!AB553="","",INVENTARIO!AB553)</f>
        <v/>
      </c>
      <c r="P553">
        <f>IF(INVENTARIO!AC553="","",INVENTARIO!AC553)</f>
        <v/>
      </c>
      <c r="Q553">
        <f>IF(AND(K553="",N553="",L553=""),"",IF(AND((K553="ALTA"),OR(LEFT(N553,2)="L0",LEFT(N553,2)="L1",L553="No Iniciado")),"CRÍTICO - Incumplimiento Normativo SEPS",IF(AND(OR(LEFT(N553,2)="L4",LEFT(N553,2)="L5"),AND(P553&lt;&gt;"",P553&lt;&gt;"N/A")),"CONFORME - Control Efectivo ISO 27001","OBSERVACIÓN - Revisar Controles")))</f>
        <v/>
      </c>
    </row>
    <row r="554">
      <c r="A554">
        <f>IF(INVENTARIO!A554="","",INVENTARIO!A554)</f>
        <v/>
      </c>
      <c r="B554">
        <f>IF(INVENTARIO!E554="","",INVENTARIO!E554)</f>
        <v/>
      </c>
      <c r="C554">
        <f>IF(INVENTARIO!F554="","",INVENTARIO!F554)</f>
        <v/>
      </c>
      <c r="D554">
        <f>IF(INVENTARIO!H554="","",INVENTARIO!H554)</f>
        <v/>
      </c>
      <c r="E554">
        <f>IF(INVENTARIO!I554="","",INVENTARIO!I554)</f>
        <v/>
      </c>
      <c r="F554">
        <f>IF(INVENTARIO!N554="","",INVENTARIO!N554)</f>
        <v/>
      </c>
      <c r="G554">
        <f>IF(INVENTARIO!P554="","",INVENTARIO!P554)</f>
        <v/>
      </c>
      <c r="H554">
        <f>IF(INVENTARIO!Q554="","",INVENTARIO!Q554)</f>
        <v/>
      </c>
      <c r="I554">
        <f>IF(INVENTARIO!R554="","",INVENTARIO!R554)</f>
        <v/>
      </c>
      <c r="J554">
        <f>IF(G554="PUBLICA(1)",1,IF(G554="USO INTERNO(2)",2,IF(G554="RESTRINGIDO(3)",3,0)))+IF(H554="BAJA(1)",1,IF(H554="MEDIA(2)",2,IF(H554="ALTA(3)",3,0)))+IF(I554="BAJA(1)",1,IF(I554="MEDIA(2)",2,IF(I554="ALTA(3)",3,0)))</f>
        <v/>
      </c>
      <c r="K554">
        <f>IF(J554="", "", IF(J554&gt;=8,"ALTA",IF(J554&gt;=6,"MEDIA","BAJA")))</f>
        <v/>
      </c>
      <c r="L554">
        <f>IF(INVENTARIO!Y554="","",INVENTARIO!Y554)</f>
        <v/>
      </c>
      <c r="M554">
        <f>IF(INVENTARIO!Z554="","",INVENTARIO!Z554)</f>
        <v/>
      </c>
      <c r="N554">
        <f>IF(INVENTARIO!AA554="","",INVENTARIO!AA554)</f>
        <v/>
      </c>
      <c r="O554">
        <f>IF(INVENTARIO!AB554="","",INVENTARIO!AB554)</f>
        <v/>
      </c>
      <c r="P554">
        <f>IF(INVENTARIO!AC554="","",INVENTARIO!AC554)</f>
        <v/>
      </c>
      <c r="Q554">
        <f>IF(AND(K554="",N554="",L554=""),"",IF(AND((K554="ALTA"),OR(LEFT(N554,2)="L0",LEFT(N554,2)="L1",L554="No Iniciado")),"CRÍTICO - Incumplimiento Normativo SEPS",IF(AND(OR(LEFT(N554,2)="L4",LEFT(N554,2)="L5"),AND(P554&lt;&gt;"",P554&lt;&gt;"N/A")),"CONFORME - Control Efectivo ISO 27001","OBSERVACIÓN - Revisar Controles")))</f>
        <v/>
      </c>
    </row>
    <row r="555">
      <c r="A555">
        <f>IF(INVENTARIO!A555="","",INVENTARIO!A555)</f>
        <v/>
      </c>
      <c r="B555">
        <f>IF(INVENTARIO!E555="","",INVENTARIO!E555)</f>
        <v/>
      </c>
      <c r="C555">
        <f>IF(INVENTARIO!F555="","",INVENTARIO!F555)</f>
        <v/>
      </c>
      <c r="D555">
        <f>IF(INVENTARIO!H555="","",INVENTARIO!H555)</f>
        <v/>
      </c>
      <c r="E555">
        <f>IF(INVENTARIO!I555="","",INVENTARIO!I555)</f>
        <v/>
      </c>
      <c r="F555">
        <f>IF(INVENTARIO!N555="","",INVENTARIO!N555)</f>
        <v/>
      </c>
      <c r="G555">
        <f>IF(INVENTARIO!P555="","",INVENTARIO!P555)</f>
        <v/>
      </c>
      <c r="H555">
        <f>IF(INVENTARIO!Q555="","",INVENTARIO!Q555)</f>
        <v/>
      </c>
      <c r="I555">
        <f>IF(INVENTARIO!R555="","",INVENTARIO!R555)</f>
        <v/>
      </c>
      <c r="J555">
        <f>IF(G555="PUBLICA(1)",1,IF(G555="USO INTERNO(2)",2,IF(G555="RESTRINGIDO(3)",3,0)))+IF(H555="BAJA(1)",1,IF(H555="MEDIA(2)",2,IF(H555="ALTA(3)",3,0)))+IF(I555="BAJA(1)",1,IF(I555="MEDIA(2)",2,IF(I555="ALTA(3)",3,0)))</f>
        <v/>
      </c>
      <c r="K555">
        <f>IF(J555="", "", IF(J555&gt;=8,"ALTA",IF(J555&gt;=6,"MEDIA","BAJA")))</f>
        <v/>
      </c>
      <c r="L555">
        <f>IF(INVENTARIO!Y555="","",INVENTARIO!Y555)</f>
        <v/>
      </c>
      <c r="M555">
        <f>IF(INVENTARIO!Z555="","",INVENTARIO!Z555)</f>
        <v/>
      </c>
      <c r="N555">
        <f>IF(INVENTARIO!AA555="","",INVENTARIO!AA555)</f>
        <v/>
      </c>
      <c r="O555">
        <f>IF(INVENTARIO!AB555="","",INVENTARIO!AB555)</f>
        <v/>
      </c>
      <c r="P555">
        <f>IF(INVENTARIO!AC555="","",INVENTARIO!AC555)</f>
        <v/>
      </c>
      <c r="Q555">
        <f>IF(AND(K555="",N555="",L555=""),"",IF(AND((K555="ALTA"),OR(LEFT(N555,2)="L0",LEFT(N555,2)="L1",L555="No Iniciado")),"CRÍTICO - Incumplimiento Normativo SEPS",IF(AND(OR(LEFT(N555,2)="L4",LEFT(N555,2)="L5"),AND(P555&lt;&gt;"",P555&lt;&gt;"N/A")),"CONFORME - Control Efectivo ISO 27001","OBSERVACIÓN - Revisar Controles")))</f>
        <v/>
      </c>
    </row>
    <row r="556">
      <c r="A556">
        <f>IF(INVENTARIO!A556="","",INVENTARIO!A556)</f>
        <v/>
      </c>
      <c r="B556">
        <f>IF(INVENTARIO!E556="","",INVENTARIO!E556)</f>
        <v/>
      </c>
      <c r="C556">
        <f>IF(INVENTARIO!F556="","",INVENTARIO!F556)</f>
        <v/>
      </c>
      <c r="D556">
        <f>IF(INVENTARIO!H556="","",INVENTARIO!H556)</f>
        <v/>
      </c>
      <c r="E556">
        <f>IF(INVENTARIO!I556="","",INVENTARIO!I556)</f>
        <v/>
      </c>
      <c r="F556">
        <f>IF(INVENTARIO!N556="","",INVENTARIO!N556)</f>
        <v/>
      </c>
      <c r="G556">
        <f>IF(INVENTARIO!P556="","",INVENTARIO!P556)</f>
        <v/>
      </c>
      <c r="H556">
        <f>IF(INVENTARIO!Q556="","",INVENTARIO!Q556)</f>
        <v/>
      </c>
      <c r="I556">
        <f>IF(INVENTARIO!R556="","",INVENTARIO!R556)</f>
        <v/>
      </c>
      <c r="J556">
        <f>IF(G556="PUBLICA(1)",1,IF(G556="USO INTERNO(2)",2,IF(G556="RESTRINGIDO(3)",3,0)))+IF(H556="BAJA(1)",1,IF(H556="MEDIA(2)",2,IF(H556="ALTA(3)",3,0)))+IF(I556="BAJA(1)",1,IF(I556="MEDIA(2)",2,IF(I556="ALTA(3)",3,0)))</f>
        <v/>
      </c>
      <c r="K556">
        <f>IF(J556="", "", IF(J556&gt;=8,"ALTA",IF(J556&gt;=6,"MEDIA","BAJA")))</f>
        <v/>
      </c>
      <c r="L556">
        <f>IF(INVENTARIO!Y556="","",INVENTARIO!Y556)</f>
        <v/>
      </c>
      <c r="M556">
        <f>IF(INVENTARIO!Z556="","",INVENTARIO!Z556)</f>
        <v/>
      </c>
      <c r="N556">
        <f>IF(INVENTARIO!AA556="","",INVENTARIO!AA556)</f>
        <v/>
      </c>
      <c r="O556">
        <f>IF(INVENTARIO!AB556="","",INVENTARIO!AB556)</f>
        <v/>
      </c>
      <c r="P556">
        <f>IF(INVENTARIO!AC556="","",INVENTARIO!AC556)</f>
        <v/>
      </c>
      <c r="Q556">
        <f>IF(AND(K556="",N556="",L556=""),"",IF(AND((K556="ALTA"),OR(LEFT(N556,2)="L0",LEFT(N556,2)="L1",L556="No Iniciado")),"CRÍTICO - Incumplimiento Normativo SEPS",IF(AND(OR(LEFT(N556,2)="L4",LEFT(N556,2)="L5"),AND(P556&lt;&gt;"",P556&lt;&gt;"N/A")),"CONFORME - Control Efectivo ISO 27001","OBSERVACIÓN - Revisar Controles")))</f>
        <v/>
      </c>
    </row>
    <row r="557">
      <c r="A557">
        <f>IF(INVENTARIO!A557="","",INVENTARIO!A557)</f>
        <v/>
      </c>
      <c r="B557">
        <f>IF(INVENTARIO!E557="","",INVENTARIO!E557)</f>
        <v/>
      </c>
      <c r="C557">
        <f>IF(INVENTARIO!F557="","",INVENTARIO!F557)</f>
        <v/>
      </c>
      <c r="D557">
        <f>IF(INVENTARIO!H557="","",INVENTARIO!H557)</f>
        <v/>
      </c>
      <c r="E557">
        <f>IF(INVENTARIO!I557="","",INVENTARIO!I557)</f>
        <v/>
      </c>
      <c r="F557">
        <f>IF(INVENTARIO!N557="","",INVENTARIO!N557)</f>
        <v/>
      </c>
      <c r="G557">
        <f>IF(INVENTARIO!P557="","",INVENTARIO!P557)</f>
        <v/>
      </c>
      <c r="H557">
        <f>IF(INVENTARIO!Q557="","",INVENTARIO!Q557)</f>
        <v/>
      </c>
      <c r="I557">
        <f>IF(INVENTARIO!R557="","",INVENTARIO!R557)</f>
        <v/>
      </c>
      <c r="J557">
        <f>IF(G557="PUBLICA(1)",1,IF(G557="USO INTERNO(2)",2,IF(G557="RESTRINGIDO(3)",3,0)))+IF(H557="BAJA(1)",1,IF(H557="MEDIA(2)",2,IF(H557="ALTA(3)",3,0)))+IF(I557="BAJA(1)",1,IF(I557="MEDIA(2)",2,IF(I557="ALTA(3)",3,0)))</f>
        <v/>
      </c>
      <c r="K557">
        <f>IF(J557="", "", IF(J557&gt;=8,"ALTA",IF(J557&gt;=6,"MEDIA","BAJA")))</f>
        <v/>
      </c>
      <c r="L557">
        <f>IF(INVENTARIO!Y557="","",INVENTARIO!Y557)</f>
        <v/>
      </c>
      <c r="M557">
        <f>IF(INVENTARIO!Z557="","",INVENTARIO!Z557)</f>
        <v/>
      </c>
      <c r="N557">
        <f>IF(INVENTARIO!AA557="","",INVENTARIO!AA557)</f>
        <v/>
      </c>
      <c r="O557">
        <f>IF(INVENTARIO!AB557="","",INVENTARIO!AB557)</f>
        <v/>
      </c>
      <c r="P557">
        <f>IF(INVENTARIO!AC557="","",INVENTARIO!AC557)</f>
        <v/>
      </c>
      <c r="Q557">
        <f>IF(AND(K557="",N557="",L557=""),"",IF(AND((K557="ALTA"),OR(LEFT(N557,2)="L0",LEFT(N557,2)="L1",L557="No Iniciado")),"CRÍTICO - Incumplimiento Normativo SEPS",IF(AND(OR(LEFT(N557,2)="L4",LEFT(N557,2)="L5"),AND(P557&lt;&gt;"",P557&lt;&gt;"N/A")),"CONFORME - Control Efectivo ISO 27001","OBSERVACIÓN - Revisar Controles")))</f>
        <v/>
      </c>
    </row>
    <row r="558">
      <c r="A558">
        <f>IF(INVENTARIO!A558="","",INVENTARIO!A558)</f>
        <v/>
      </c>
      <c r="B558">
        <f>IF(INVENTARIO!E558="","",INVENTARIO!E558)</f>
        <v/>
      </c>
      <c r="C558">
        <f>IF(INVENTARIO!F558="","",INVENTARIO!F558)</f>
        <v/>
      </c>
      <c r="D558">
        <f>IF(INVENTARIO!H558="","",INVENTARIO!H558)</f>
        <v/>
      </c>
      <c r="E558">
        <f>IF(INVENTARIO!I558="","",INVENTARIO!I558)</f>
        <v/>
      </c>
      <c r="F558">
        <f>IF(INVENTARIO!N558="","",INVENTARIO!N558)</f>
        <v/>
      </c>
      <c r="G558">
        <f>IF(INVENTARIO!P558="","",INVENTARIO!P558)</f>
        <v/>
      </c>
      <c r="H558">
        <f>IF(INVENTARIO!Q558="","",INVENTARIO!Q558)</f>
        <v/>
      </c>
      <c r="I558">
        <f>IF(INVENTARIO!R558="","",INVENTARIO!R558)</f>
        <v/>
      </c>
      <c r="J558">
        <f>IF(G558="PUBLICA(1)",1,IF(G558="USO INTERNO(2)",2,IF(G558="RESTRINGIDO(3)",3,0)))+IF(H558="BAJA(1)",1,IF(H558="MEDIA(2)",2,IF(H558="ALTA(3)",3,0)))+IF(I558="BAJA(1)",1,IF(I558="MEDIA(2)",2,IF(I558="ALTA(3)",3,0)))</f>
        <v/>
      </c>
      <c r="K558">
        <f>IF(J558="", "", IF(J558&gt;=8,"ALTA",IF(J558&gt;=6,"MEDIA","BAJA")))</f>
        <v/>
      </c>
      <c r="L558">
        <f>IF(INVENTARIO!Y558="","",INVENTARIO!Y558)</f>
        <v/>
      </c>
      <c r="M558">
        <f>IF(INVENTARIO!Z558="","",INVENTARIO!Z558)</f>
        <v/>
      </c>
      <c r="N558">
        <f>IF(INVENTARIO!AA558="","",INVENTARIO!AA558)</f>
        <v/>
      </c>
      <c r="O558">
        <f>IF(INVENTARIO!AB558="","",INVENTARIO!AB558)</f>
        <v/>
      </c>
      <c r="P558">
        <f>IF(INVENTARIO!AC558="","",INVENTARIO!AC558)</f>
        <v/>
      </c>
      <c r="Q558">
        <f>IF(AND(K558="",N558="",L558=""),"",IF(AND((K558="ALTA"),OR(LEFT(N558,2)="L0",LEFT(N558,2)="L1",L558="No Iniciado")),"CRÍTICO - Incumplimiento Normativo SEPS",IF(AND(OR(LEFT(N558,2)="L4",LEFT(N558,2)="L5"),AND(P558&lt;&gt;"",P558&lt;&gt;"N/A")),"CONFORME - Control Efectivo ISO 27001","OBSERVACIÓN - Revisar Controles")))</f>
        <v/>
      </c>
    </row>
    <row r="559">
      <c r="A559">
        <f>IF(INVENTARIO!A559="","",INVENTARIO!A559)</f>
        <v/>
      </c>
      <c r="B559">
        <f>IF(INVENTARIO!E559="","",INVENTARIO!E559)</f>
        <v/>
      </c>
      <c r="C559">
        <f>IF(INVENTARIO!F559="","",INVENTARIO!F559)</f>
        <v/>
      </c>
      <c r="D559">
        <f>IF(INVENTARIO!H559="","",INVENTARIO!H559)</f>
        <v/>
      </c>
      <c r="E559">
        <f>IF(INVENTARIO!I559="","",INVENTARIO!I559)</f>
        <v/>
      </c>
      <c r="F559">
        <f>IF(INVENTARIO!N559="","",INVENTARIO!N559)</f>
        <v/>
      </c>
      <c r="G559">
        <f>IF(INVENTARIO!P559="","",INVENTARIO!P559)</f>
        <v/>
      </c>
      <c r="H559">
        <f>IF(INVENTARIO!Q559="","",INVENTARIO!Q559)</f>
        <v/>
      </c>
      <c r="I559">
        <f>IF(INVENTARIO!R559="","",INVENTARIO!R559)</f>
        <v/>
      </c>
      <c r="J559">
        <f>IF(G559="PUBLICA(1)",1,IF(G559="USO INTERNO(2)",2,IF(G559="RESTRINGIDO(3)",3,0)))+IF(H559="BAJA(1)",1,IF(H559="MEDIA(2)",2,IF(H559="ALTA(3)",3,0)))+IF(I559="BAJA(1)",1,IF(I559="MEDIA(2)",2,IF(I559="ALTA(3)",3,0)))</f>
        <v/>
      </c>
      <c r="K559">
        <f>IF(J559="", "", IF(J559&gt;=8,"ALTA",IF(J559&gt;=6,"MEDIA","BAJA")))</f>
        <v/>
      </c>
      <c r="L559">
        <f>IF(INVENTARIO!Y559="","",INVENTARIO!Y559)</f>
        <v/>
      </c>
      <c r="M559">
        <f>IF(INVENTARIO!Z559="","",INVENTARIO!Z559)</f>
        <v/>
      </c>
      <c r="N559">
        <f>IF(INVENTARIO!AA559="","",INVENTARIO!AA559)</f>
        <v/>
      </c>
      <c r="O559">
        <f>IF(INVENTARIO!AB559="","",INVENTARIO!AB559)</f>
        <v/>
      </c>
      <c r="P559">
        <f>IF(INVENTARIO!AC559="","",INVENTARIO!AC559)</f>
        <v/>
      </c>
      <c r="Q559">
        <f>IF(AND(K559="",N559="",L559=""),"",IF(AND((K559="ALTA"),OR(LEFT(N559,2)="L0",LEFT(N559,2)="L1",L559="No Iniciado")),"CRÍTICO - Incumplimiento Normativo SEPS",IF(AND(OR(LEFT(N559,2)="L4",LEFT(N559,2)="L5"),AND(P559&lt;&gt;"",P559&lt;&gt;"N/A")),"CONFORME - Control Efectivo ISO 27001","OBSERVACIÓN - Revisar Controles")))</f>
        <v/>
      </c>
    </row>
    <row r="560">
      <c r="A560">
        <f>IF(INVENTARIO!A560="","",INVENTARIO!A560)</f>
        <v/>
      </c>
      <c r="B560">
        <f>IF(INVENTARIO!E560="","",INVENTARIO!E560)</f>
        <v/>
      </c>
      <c r="C560">
        <f>IF(INVENTARIO!F560="","",INVENTARIO!F560)</f>
        <v/>
      </c>
      <c r="D560">
        <f>IF(INVENTARIO!H560="","",INVENTARIO!H560)</f>
        <v/>
      </c>
      <c r="E560">
        <f>IF(INVENTARIO!I560="","",INVENTARIO!I560)</f>
        <v/>
      </c>
      <c r="F560">
        <f>IF(INVENTARIO!N560="","",INVENTARIO!N560)</f>
        <v/>
      </c>
      <c r="G560">
        <f>IF(INVENTARIO!P560="","",INVENTARIO!P560)</f>
        <v/>
      </c>
      <c r="H560">
        <f>IF(INVENTARIO!Q560="","",INVENTARIO!Q560)</f>
        <v/>
      </c>
      <c r="I560">
        <f>IF(INVENTARIO!R560="","",INVENTARIO!R560)</f>
        <v/>
      </c>
      <c r="J560">
        <f>IF(G560="PUBLICA(1)",1,IF(G560="USO INTERNO(2)",2,IF(G560="RESTRINGIDO(3)",3,0)))+IF(H560="BAJA(1)",1,IF(H560="MEDIA(2)",2,IF(H560="ALTA(3)",3,0)))+IF(I560="BAJA(1)",1,IF(I560="MEDIA(2)",2,IF(I560="ALTA(3)",3,0)))</f>
        <v/>
      </c>
      <c r="K560">
        <f>IF(J560="", "", IF(J560&gt;=8,"ALTA",IF(J560&gt;=6,"MEDIA","BAJA")))</f>
        <v/>
      </c>
      <c r="L560">
        <f>IF(INVENTARIO!Y560="","",INVENTARIO!Y560)</f>
        <v/>
      </c>
      <c r="M560">
        <f>IF(INVENTARIO!Z560="","",INVENTARIO!Z560)</f>
        <v/>
      </c>
      <c r="N560">
        <f>IF(INVENTARIO!AA560="","",INVENTARIO!AA560)</f>
        <v/>
      </c>
      <c r="O560">
        <f>IF(INVENTARIO!AB560="","",INVENTARIO!AB560)</f>
        <v/>
      </c>
      <c r="P560">
        <f>IF(INVENTARIO!AC560="","",INVENTARIO!AC560)</f>
        <v/>
      </c>
      <c r="Q560">
        <f>IF(AND(K560="",N560="",L560=""),"",IF(AND((K560="ALTA"),OR(LEFT(N560,2)="L0",LEFT(N560,2)="L1",L560="No Iniciado")),"CRÍTICO - Incumplimiento Normativo SEPS",IF(AND(OR(LEFT(N560,2)="L4",LEFT(N560,2)="L5"),AND(P560&lt;&gt;"",P560&lt;&gt;"N/A")),"CONFORME - Control Efectivo ISO 27001","OBSERVACIÓN - Revisar Controles")))</f>
        <v/>
      </c>
    </row>
    <row r="561">
      <c r="A561">
        <f>IF(INVENTARIO!A561="","",INVENTARIO!A561)</f>
        <v/>
      </c>
      <c r="B561">
        <f>IF(INVENTARIO!E561="","",INVENTARIO!E561)</f>
        <v/>
      </c>
      <c r="C561">
        <f>IF(INVENTARIO!F561="","",INVENTARIO!F561)</f>
        <v/>
      </c>
      <c r="D561">
        <f>IF(INVENTARIO!H561="","",INVENTARIO!H561)</f>
        <v/>
      </c>
      <c r="E561">
        <f>IF(INVENTARIO!I561="","",INVENTARIO!I561)</f>
        <v/>
      </c>
      <c r="F561">
        <f>IF(INVENTARIO!N561="","",INVENTARIO!N561)</f>
        <v/>
      </c>
      <c r="G561">
        <f>IF(INVENTARIO!P561="","",INVENTARIO!P561)</f>
        <v/>
      </c>
      <c r="H561">
        <f>IF(INVENTARIO!Q561="","",INVENTARIO!Q561)</f>
        <v/>
      </c>
      <c r="I561">
        <f>IF(INVENTARIO!R561="","",INVENTARIO!R561)</f>
        <v/>
      </c>
      <c r="J561">
        <f>IF(G561="PUBLICA(1)",1,IF(G561="USO INTERNO(2)",2,IF(G561="RESTRINGIDO(3)",3,0)))+IF(H561="BAJA(1)",1,IF(H561="MEDIA(2)",2,IF(H561="ALTA(3)",3,0)))+IF(I561="BAJA(1)",1,IF(I561="MEDIA(2)",2,IF(I561="ALTA(3)",3,0)))</f>
        <v/>
      </c>
      <c r="K561">
        <f>IF(J561="", "", IF(J561&gt;=8,"ALTA",IF(J561&gt;=6,"MEDIA","BAJA")))</f>
        <v/>
      </c>
      <c r="L561">
        <f>IF(INVENTARIO!Y561="","",INVENTARIO!Y561)</f>
        <v/>
      </c>
      <c r="M561">
        <f>IF(INVENTARIO!Z561="","",INVENTARIO!Z561)</f>
        <v/>
      </c>
      <c r="N561">
        <f>IF(INVENTARIO!AA561="","",INVENTARIO!AA561)</f>
        <v/>
      </c>
      <c r="O561">
        <f>IF(INVENTARIO!AB561="","",INVENTARIO!AB561)</f>
        <v/>
      </c>
      <c r="P561">
        <f>IF(INVENTARIO!AC561="","",INVENTARIO!AC561)</f>
        <v/>
      </c>
      <c r="Q561">
        <f>IF(AND(K561="",N561="",L561=""),"",IF(AND((K561="ALTA"),OR(LEFT(N561,2)="L0",LEFT(N561,2)="L1",L561="No Iniciado")),"CRÍTICO - Incumplimiento Normativo SEPS",IF(AND(OR(LEFT(N561,2)="L4",LEFT(N561,2)="L5"),AND(P561&lt;&gt;"",P561&lt;&gt;"N/A")),"CONFORME - Control Efectivo ISO 27001","OBSERVACIÓN - Revisar Controles")))</f>
        <v/>
      </c>
    </row>
    <row r="562">
      <c r="A562">
        <f>IF(INVENTARIO!A562="","",INVENTARIO!A562)</f>
        <v/>
      </c>
      <c r="B562">
        <f>IF(INVENTARIO!E562="","",INVENTARIO!E562)</f>
        <v/>
      </c>
      <c r="C562">
        <f>IF(INVENTARIO!F562="","",INVENTARIO!F562)</f>
        <v/>
      </c>
      <c r="D562">
        <f>IF(INVENTARIO!H562="","",INVENTARIO!H562)</f>
        <v/>
      </c>
      <c r="E562">
        <f>IF(INVENTARIO!I562="","",INVENTARIO!I562)</f>
        <v/>
      </c>
      <c r="F562">
        <f>IF(INVENTARIO!N562="","",INVENTARIO!N562)</f>
        <v/>
      </c>
      <c r="G562">
        <f>IF(INVENTARIO!P562="","",INVENTARIO!P562)</f>
        <v/>
      </c>
      <c r="H562">
        <f>IF(INVENTARIO!Q562="","",INVENTARIO!Q562)</f>
        <v/>
      </c>
      <c r="I562">
        <f>IF(INVENTARIO!R562="","",INVENTARIO!R562)</f>
        <v/>
      </c>
      <c r="J562">
        <f>IF(G562="PUBLICA(1)",1,IF(G562="USO INTERNO(2)",2,IF(G562="RESTRINGIDO(3)",3,0)))+IF(H562="BAJA(1)",1,IF(H562="MEDIA(2)",2,IF(H562="ALTA(3)",3,0)))+IF(I562="BAJA(1)",1,IF(I562="MEDIA(2)",2,IF(I562="ALTA(3)",3,0)))</f>
        <v/>
      </c>
      <c r="K562">
        <f>IF(J562="", "", IF(J562&gt;=8,"ALTA",IF(J562&gt;=6,"MEDIA","BAJA")))</f>
        <v/>
      </c>
      <c r="L562">
        <f>IF(INVENTARIO!Y562="","",INVENTARIO!Y562)</f>
        <v/>
      </c>
      <c r="M562">
        <f>IF(INVENTARIO!Z562="","",INVENTARIO!Z562)</f>
        <v/>
      </c>
      <c r="N562">
        <f>IF(INVENTARIO!AA562="","",INVENTARIO!AA562)</f>
        <v/>
      </c>
      <c r="O562">
        <f>IF(INVENTARIO!AB562="","",INVENTARIO!AB562)</f>
        <v/>
      </c>
      <c r="P562">
        <f>IF(INVENTARIO!AC562="","",INVENTARIO!AC562)</f>
        <v/>
      </c>
      <c r="Q562">
        <f>IF(AND(K562="",N562="",L562=""),"",IF(AND((K562="ALTA"),OR(LEFT(N562,2)="L0",LEFT(N562,2)="L1",L562="No Iniciado")),"CRÍTICO - Incumplimiento Normativo SEPS",IF(AND(OR(LEFT(N562,2)="L4",LEFT(N562,2)="L5"),AND(P562&lt;&gt;"",P562&lt;&gt;"N/A")),"CONFORME - Control Efectivo ISO 27001","OBSERVACIÓN - Revisar Controles")))</f>
        <v/>
      </c>
    </row>
    <row r="563">
      <c r="A563">
        <f>IF(INVENTARIO!A563="","",INVENTARIO!A563)</f>
        <v/>
      </c>
      <c r="B563">
        <f>IF(INVENTARIO!E563="","",INVENTARIO!E563)</f>
        <v/>
      </c>
      <c r="C563">
        <f>IF(INVENTARIO!F563="","",INVENTARIO!F563)</f>
        <v/>
      </c>
      <c r="D563">
        <f>IF(INVENTARIO!H563="","",INVENTARIO!H563)</f>
        <v/>
      </c>
      <c r="E563">
        <f>IF(INVENTARIO!I563="","",INVENTARIO!I563)</f>
        <v/>
      </c>
      <c r="F563">
        <f>IF(INVENTARIO!N563="","",INVENTARIO!N563)</f>
        <v/>
      </c>
      <c r="G563">
        <f>IF(INVENTARIO!P563="","",INVENTARIO!P563)</f>
        <v/>
      </c>
      <c r="H563">
        <f>IF(INVENTARIO!Q563="","",INVENTARIO!Q563)</f>
        <v/>
      </c>
      <c r="I563">
        <f>IF(INVENTARIO!R563="","",INVENTARIO!R563)</f>
        <v/>
      </c>
      <c r="J563">
        <f>IF(G563="PUBLICA(1)",1,IF(G563="USO INTERNO(2)",2,IF(G563="RESTRINGIDO(3)",3,0)))+IF(H563="BAJA(1)",1,IF(H563="MEDIA(2)",2,IF(H563="ALTA(3)",3,0)))+IF(I563="BAJA(1)",1,IF(I563="MEDIA(2)",2,IF(I563="ALTA(3)",3,0)))</f>
        <v/>
      </c>
      <c r="K563">
        <f>IF(J563="", "", IF(J563&gt;=8,"ALTA",IF(J563&gt;=6,"MEDIA","BAJA")))</f>
        <v/>
      </c>
      <c r="L563">
        <f>IF(INVENTARIO!Y563="","",INVENTARIO!Y563)</f>
        <v/>
      </c>
      <c r="M563">
        <f>IF(INVENTARIO!Z563="","",INVENTARIO!Z563)</f>
        <v/>
      </c>
      <c r="N563">
        <f>IF(INVENTARIO!AA563="","",INVENTARIO!AA563)</f>
        <v/>
      </c>
      <c r="O563">
        <f>IF(INVENTARIO!AB563="","",INVENTARIO!AB563)</f>
        <v/>
      </c>
      <c r="P563">
        <f>IF(INVENTARIO!AC563="","",INVENTARIO!AC563)</f>
        <v/>
      </c>
      <c r="Q563">
        <f>IF(AND(K563="",N563="",L563=""),"",IF(AND((K563="ALTA"),OR(LEFT(N563,2)="L0",LEFT(N563,2)="L1",L563="No Iniciado")),"CRÍTICO - Incumplimiento Normativo SEPS",IF(AND(OR(LEFT(N563,2)="L4",LEFT(N563,2)="L5"),AND(P563&lt;&gt;"",P563&lt;&gt;"N/A")),"CONFORME - Control Efectivo ISO 27001","OBSERVACIÓN - Revisar Controles")))</f>
        <v/>
      </c>
    </row>
    <row r="564">
      <c r="A564">
        <f>IF(INVENTARIO!A564="","",INVENTARIO!A564)</f>
        <v/>
      </c>
      <c r="B564">
        <f>IF(INVENTARIO!E564="","",INVENTARIO!E564)</f>
        <v/>
      </c>
      <c r="C564">
        <f>IF(INVENTARIO!F564="","",INVENTARIO!F564)</f>
        <v/>
      </c>
      <c r="D564">
        <f>IF(INVENTARIO!H564="","",INVENTARIO!H564)</f>
        <v/>
      </c>
      <c r="E564">
        <f>IF(INVENTARIO!I564="","",INVENTARIO!I564)</f>
        <v/>
      </c>
      <c r="F564">
        <f>IF(INVENTARIO!N564="","",INVENTARIO!N564)</f>
        <v/>
      </c>
      <c r="G564">
        <f>IF(INVENTARIO!P564="","",INVENTARIO!P564)</f>
        <v/>
      </c>
      <c r="H564">
        <f>IF(INVENTARIO!Q564="","",INVENTARIO!Q564)</f>
        <v/>
      </c>
      <c r="I564">
        <f>IF(INVENTARIO!R564="","",INVENTARIO!R564)</f>
        <v/>
      </c>
      <c r="J564">
        <f>IF(G564="PUBLICA(1)",1,IF(G564="USO INTERNO(2)",2,IF(G564="RESTRINGIDO(3)",3,0)))+IF(H564="BAJA(1)",1,IF(H564="MEDIA(2)",2,IF(H564="ALTA(3)",3,0)))+IF(I564="BAJA(1)",1,IF(I564="MEDIA(2)",2,IF(I564="ALTA(3)",3,0)))</f>
        <v/>
      </c>
      <c r="K564">
        <f>IF(J564="", "", IF(J564&gt;=8,"ALTA",IF(J564&gt;=6,"MEDIA","BAJA")))</f>
        <v/>
      </c>
      <c r="L564">
        <f>IF(INVENTARIO!Y564="","",INVENTARIO!Y564)</f>
        <v/>
      </c>
      <c r="M564">
        <f>IF(INVENTARIO!Z564="","",INVENTARIO!Z564)</f>
        <v/>
      </c>
      <c r="N564">
        <f>IF(INVENTARIO!AA564="","",INVENTARIO!AA564)</f>
        <v/>
      </c>
      <c r="O564">
        <f>IF(INVENTARIO!AB564="","",INVENTARIO!AB564)</f>
        <v/>
      </c>
      <c r="P564">
        <f>IF(INVENTARIO!AC564="","",INVENTARIO!AC564)</f>
        <v/>
      </c>
      <c r="Q564">
        <f>IF(AND(K564="",N564="",L564=""),"",IF(AND((K564="ALTA"),OR(LEFT(N564,2)="L0",LEFT(N564,2)="L1",L564="No Iniciado")),"CRÍTICO - Incumplimiento Normativo SEPS",IF(AND(OR(LEFT(N564,2)="L4",LEFT(N564,2)="L5"),AND(P564&lt;&gt;"",P564&lt;&gt;"N/A")),"CONFORME - Control Efectivo ISO 27001","OBSERVACIÓN - Revisar Controles")))</f>
        <v/>
      </c>
    </row>
    <row r="565">
      <c r="A565">
        <f>IF(INVENTARIO!A565="","",INVENTARIO!A565)</f>
        <v/>
      </c>
      <c r="B565">
        <f>IF(INVENTARIO!E565="","",INVENTARIO!E565)</f>
        <v/>
      </c>
      <c r="C565">
        <f>IF(INVENTARIO!F565="","",INVENTARIO!F565)</f>
        <v/>
      </c>
      <c r="D565">
        <f>IF(INVENTARIO!H565="","",INVENTARIO!H565)</f>
        <v/>
      </c>
      <c r="E565">
        <f>IF(INVENTARIO!I565="","",INVENTARIO!I565)</f>
        <v/>
      </c>
      <c r="F565">
        <f>IF(INVENTARIO!N565="","",INVENTARIO!N565)</f>
        <v/>
      </c>
      <c r="G565">
        <f>IF(INVENTARIO!P565="","",INVENTARIO!P565)</f>
        <v/>
      </c>
      <c r="H565">
        <f>IF(INVENTARIO!Q565="","",INVENTARIO!Q565)</f>
        <v/>
      </c>
      <c r="I565">
        <f>IF(INVENTARIO!R565="","",INVENTARIO!R565)</f>
        <v/>
      </c>
      <c r="J565">
        <f>IF(G565="PUBLICA(1)",1,IF(G565="USO INTERNO(2)",2,IF(G565="RESTRINGIDO(3)",3,0)))+IF(H565="BAJA(1)",1,IF(H565="MEDIA(2)",2,IF(H565="ALTA(3)",3,0)))+IF(I565="BAJA(1)",1,IF(I565="MEDIA(2)",2,IF(I565="ALTA(3)",3,0)))</f>
        <v/>
      </c>
      <c r="K565">
        <f>IF(J565="", "", IF(J565&gt;=8,"ALTA",IF(J565&gt;=6,"MEDIA","BAJA")))</f>
        <v/>
      </c>
      <c r="L565">
        <f>IF(INVENTARIO!Y565="","",INVENTARIO!Y565)</f>
        <v/>
      </c>
      <c r="M565">
        <f>IF(INVENTARIO!Z565="","",INVENTARIO!Z565)</f>
        <v/>
      </c>
      <c r="N565">
        <f>IF(INVENTARIO!AA565="","",INVENTARIO!AA565)</f>
        <v/>
      </c>
      <c r="O565">
        <f>IF(INVENTARIO!AB565="","",INVENTARIO!AB565)</f>
        <v/>
      </c>
      <c r="P565">
        <f>IF(INVENTARIO!AC565="","",INVENTARIO!AC565)</f>
        <v/>
      </c>
      <c r="Q565">
        <f>IF(AND(K565="",N565="",L565=""),"",IF(AND((K565="ALTA"),OR(LEFT(N565,2)="L0",LEFT(N565,2)="L1",L565="No Iniciado")),"CRÍTICO - Incumplimiento Normativo SEPS",IF(AND(OR(LEFT(N565,2)="L4",LEFT(N565,2)="L5"),AND(P565&lt;&gt;"",P565&lt;&gt;"N/A")),"CONFORME - Control Efectivo ISO 27001","OBSERVACIÓN - Revisar Controles")))</f>
        <v/>
      </c>
    </row>
    <row r="566">
      <c r="A566">
        <f>IF(INVENTARIO!A566="","",INVENTARIO!A566)</f>
        <v/>
      </c>
      <c r="B566">
        <f>IF(INVENTARIO!E566="","",INVENTARIO!E566)</f>
        <v/>
      </c>
      <c r="C566">
        <f>IF(INVENTARIO!F566="","",INVENTARIO!F566)</f>
        <v/>
      </c>
      <c r="D566">
        <f>IF(INVENTARIO!H566="","",INVENTARIO!H566)</f>
        <v/>
      </c>
      <c r="E566">
        <f>IF(INVENTARIO!I566="","",INVENTARIO!I566)</f>
        <v/>
      </c>
      <c r="F566">
        <f>IF(INVENTARIO!N566="","",INVENTARIO!N566)</f>
        <v/>
      </c>
      <c r="G566">
        <f>IF(INVENTARIO!P566="","",INVENTARIO!P566)</f>
        <v/>
      </c>
      <c r="H566">
        <f>IF(INVENTARIO!Q566="","",INVENTARIO!Q566)</f>
        <v/>
      </c>
      <c r="I566">
        <f>IF(INVENTARIO!R566="","",INVENTARIO!R566)</f>
        <v/>
      </c>
      <c r="J566">
        <f>IF(G566="PUBLICA(1)",1,IF(G566="USO INTERNO(2)",2,IF(G566="RESTRINGIDO(3)",3,0)))+IF(H566="BAJA(1)",1,IF(H566="MEDIA(2)",2,IF(H566="ALTA(3)",3,0)))+IF(I566="BAJA(1)",1,IF(I566="MEDIA(2)",2,IF(I566="ALTA(3)",3,0)))</f>
        <v/>
      </c>
      <c r="K566">
        <f>IF(J566="", "", IF(J566&gt;=8,"ALTA",IF(J566&gt;=6,"MEDIA","BAJA")))</f>
        <v/>
      </c>
      <c r="L566">
        <f>IF(INVENTARIO!Y566="","",INVENTARIO!Y566)</f>
        <v/>
      </c>
      <c r="M566">
        <f>IF(INVENTARIO!Z566="","",INVENTARIO!Z566)</f>
        <v/>
      </c>
      <c r="N566">
        <f>IF(INVENTARIO!AA566="","",INVENTARIO!AA566)</f>
        <v/>
      </c>
      <c r="O566">
        <f>IF(INVENTARIO!AB566="","",INVENTARIO!AB566)</f>
        <v/>
      </c>
      <c r="P566">
        <f>IF(INVENTARIO!AC566="","",INVENTARIO!AC566)</f>
        <v/>
      </c>
      <c r="Q566">
        <f>IF(AND(K566="",N566="",L566=""),"",IF(AND((K566="ALTA"),OR(LEFT(N566,2)="L0",LEFT(N566,2)="L1",L566="No Iniciado")),"CRÍTICO - Incumplimiento Normativo SEPS",IF(AND(OR(LEFT(N566,2)="L4",LEFT(N566,2)="L5"),AND(P566&lt;&gt;"",P566&lt;&gt;"N/A")),"CONFORME - Control Efectivo ISO 27001","OBSERVACIÓN - Revisar Controles")))</f>
        <v/>
      </c>
    </row>
    <row r="567">
      <c r="A567">
        <f>IF(INVENTARIO!A567="","",INVENTARIO!A567)</f>
        <v/>
      </c>
      <c r="B567">
        <f>IF(INVENTARIO!E567="","",INVENTARIO!E567)</f>
        <v/>
      </c>
      <c r="C567">
        <f>IF(INVENTARIO!F567="","",INVENTARIO!F567)</f>
        <v/>
      </c>
      <c r="D567">
        <f>IF(INVENTARIO!H567="","",INVENTARIO!H567)</f>
        <v/>
      </c>
      <c r="E567">
        <f>IF(INVENTARIO!I567="","",INVENTARIO!I567)</f>
        <v/>
      </c>
      <c r="F567">
        <f>IF(INVENTARIO!N567="","",INVENTARIO!N567)</f>
        <v/>
      </c>
      <c r="G567">
        <f>IF(INVENTARIO!P567="","",INVENTARIO!P567)</f>
        <v/>
      </c>
      <c r="H567">
        <f>IF(INVENTARIO!Q567="","",INVENTARIO!Q567)</f>
        <v/>
      </c>
      <c r="I567">
        <f>IF(INVENTARIO!R567="","",INVENTARIO!R567)</f>
        <v/>
      </c>
      <c r="J567">
        <f>IF(G567="PUBLICA(1)",1,IF(G567="USO INTERNO(2)",2,IF(G567="RESTRINGIDO(3)",3,0)))+IF(H567="BAJA(1)",1,IF(H567="MEDIA(2)",2,IF(H567="ALTA(3)",3,0)))+IF(I567="BAJA(1)",1,IF(I567="MEDIA(2)",2,IF(I567="ALTA(3)",3,0)))</f>
        <v/>
      </c>
      <c r="K567">
        <f>IF(J567="", "", IF(J567&gt;=8,"ALTA",IF(J567&gt;=6,"MEDIA","BAJA")))</f>
        <v/>
      </c>
      <c r="L567">
        <f>IF(INVENTARIO!Y567="","",INVENTARIO!Y567)</f>
        <v/>
      </c>
      <c r="M567">
        <f>IF(INVENTARIO!Z567="","",INVENTARIO!Z567)</f>
        <v/>
      </c>
      <c r="N567">
        <f>IF(INVENTARIO!AA567="","",INVENTARIO!AA567)</f>
        <v/>
      </c>
      <c r="O567">
        <f>IF(INVENTARIO!AB567="","",INVENTARIO!AB567)</f>
        <v/>
      </c>
      <c r="P567">
        <f>IF(INVENTARIO!AC567="","",INVENTARIO!AC567)</f>
        <v/>
      </c>
      <c r="Q567">
        <f>IF(AND(K567="",N567="",L567=""),"",IF(AND((K567="ALTA"),OR(LEFT(N567,2)="L0",LEFT(N567,2)="L1",L567="No Iniciado")),"CRÍTICO - Incumplimiento Normativo SEPS",IF(AND(OR(LEFT(N567,2)="L4",LEFT(N567,2)="L5"),AND(P567&lt;&gt;"",P567&lt;&gt;"N/A")),"CONFORME - Control Efectivo ISO 27001","OBSERVACIÓN - Revisar Controles")))</f>
        <v/>
      </c>
    </row>
    <row r="568">
      <c r="A568">
        <f>IF(INVENTARIO!A568="","",INVENTARIO!A568)</f>
        <v/>
      </c>
      <c r="B568">
        <f>IF(INVENTARIO!E568="","",INVENTARIO!E568)</f>
        <v/>
      </c>
      <c r="C568">
        <f>IF(INVENTARIO!F568="","",INVENTARIO!F568)</f>
        <v/>
      </c>
      <c r="D568">
        <f>IF(INVENTARIO!H568="","",INVENTARIO!H568)</f>
        <v/>
      </c>
      <c r="E568">
        <f>IF(INVENTARIO!I568="","",INVENTARIO!I568)</f>
        <v/>
      </c>
      <c r="F568">
        <f>IF(INVENTARIO!N568="","",INVENTARIO!N568)</f>
        <v/>
      </c>
      <c r="G568">
        <f>IF(INVENTARIO!P568="","",INVENTARIO!P568)</f>
        <v/>
      </c>
      <c r="H568">
        <f>IF(INVENTARIO!Q568="","",INVENTARIO!Q568)</f>
        <v/>
      </c>
      <c r="I568">
        <f>IF(INVENTARIO!R568="","",INVENTARIO!R568)</f>
        <v/>
      </c>
      <c r="J568">
        <f>IF(G568="PUBLICA(1)",1,IF(G568="USO INTERNO(2)",2,IF(G568="RESTRINGIDO(3)",3,0)))+IF(H568="BAJA(1)",1,IF(H568="MEDIA(2)",2,IF(H568="ALTA(3)",3,0)))+IF(I568="BAJA(1)",1,IF(I568="MEDIA(2)",2,IF(I568="ALTA(3)",3,0)))</f>
        <v/>
      </c>
      <c r="K568">
        <f>IF(J568="", "", IF(J568&gt;=8,"ALTA",IF(J568&gt;=6,"MEDIA","BAJA")))</f>
        <v/>
      </c>
      <c r="L568">
        <f>IF(INVENTARIO!Y568="","",INVENTARIO!Y568)</f>
        <v/>
      </c>
      <c r="M568">
        <f>IF(INVENTARIO!Z568="","",INVENTARIO!Z568)</f>
        <v/>
      </c>
      <c r="N568">
        <f>IF(INVENTARIO!AA568="","",INVENTARIO!AA568)</f>
        <v/>
      </c>
      <c r="O568">
        <f>IF(INVENTARIO!AB568="","",INVENTARIO!AB568)</f>
        <v/>
      </c>
      <c r="P568">
        <f>IF(INVENTARIO!AC568="","",INVENTARIO!AC568)</f>
        <v/>
      </c>
      <c r="Q568">
        <f>IF(AND(K568="",N568="",L568=""),"",IF(AND((K568="ALTA"),OR(LEFT(N568,2)="L0",LEFT(N568,2)="L1",L568="No Iniciado")),"CRÍTICO - Incumplimiento Normativo SEPS",IF(AND(OR(LEFT(N568,2)="L4",LEFT(N568,2)="L5"),AND(P568&lt;&gt;"",P568&lt;&gt;"N/A")),"CONFORME - Control Efectivo ISO 27001","OBSERVACIÓN - Revisar Controles")))</f>
        <v/>
      </c>
    </row>
    <row r="569">
      <c r="A569">
        <f>IF(INVENTARIO!A569="","",INVENTARIO!A569)</f>
        <v/>
      </c>
      <c r="B569">
        <f>IF(INVENTARIO!E569="","",INVENTARIO!E569)</f>
        <v/>
      </c>
      <c r="C569">
        <f>IF(INVENTARIO!F569="","",INVENTARIO!F569)</f>
        <v/>
      </c>
      <c r="D569">
        <f>IF(INVENTARIO!H569="","",INVENTARIO!H569)</f>
        <v/>
      </c>
      <c r="E569">
        <f>IF(INVENTARIO!I569="","",INVENTARIO!I569)</f>
        <v/>
      </c>
      <c r="F569">
        <f>IF(INVENTARIO!N569="","",INVENTARIO!N569)</f>
        <v/>
      </c>
      <c r="G569">
        <f>IF(INVENTARIO!P569="","",INVENTARIO!P569)</f>
        <v/>
      </c>
      <c r="H569">
        <f>IF(INVENTARIO!Q569="","",INVENTARIO!Q569)</f>
        <v/>
      </c>
      <c r="I569">
        <f>IF(INVENTARIO!R569="","",INVENTARIO!R569)</f>
        <v/>
      </c>
      <c r="J569">
        <f>IF(G569="PUBLICA(1)",1,IF(G569="USO INTERNO(2)",2,IF(G569="RESTRINGIDO(3)",3,0)))+IF(H569="BAJA(1)",1,IF(H569="MEDIA(2)",2,IF(H569="ALTA(3)",3,0)))+IF(I569="BAJA(1)",1,IF(I569="MEDIA(2)",2,IF(I569="ALTA(3)",3,0)))</f>
        <v/>
      </c>
      <c r="K569">
        <f>IF(J569="", "", IF(J569&gt;=8,"ALTA",IF(J569&gt;=6,"MEDIA","BAJA")))</f>
        <v/>
      </c>
      <c r="L569">
        <f>IF(INVENTARIO!Y569="","",INVENTARIO!Y569)</f>
        <v/>
      </c>
      <c r="M569">
        <f>IF(INVENTARIO!Z569="","",INVENTARIO!Z569)</f>
        <v/>
      </c>
      <c r="N569">
        <f>IF(INVENTARIO!AA569="","",INVENTARIO!AA569)</f>
        <v/>
      </c>
      <c r="O569">
        <f>IF(INVENTARIO!AB569="","",INVENTARIO!AB569)</f>
        <v/>
      </c>
      <c r="P569">
        <f>IF(INVENTARIO!AC569="","",INVENTARIO!AC569)</f>
        <v/>
      </c>
      <c r="Q569">
        <f>IF(AND(K569="",N569="",L569=""),"",IF(AND((K569="ALTA"),OR(LEFT(N569,2)="L0",LEFT(N569,2)="L1",L569="No Iniciado")),"CRÍTICO - Incumplimiento Normativo SEPS",IF(AND(OR(LEFT(N569,2)="L4",LEFT(N569,2)="L5"),AND(P569&lt;&gt;"",P569&lt;&gt;"N/A")),"CONFORME - Control Efectivo ISO 27001","OBSERVACIÓN - Revisar Controles")))</f>
        <v/>
      </c>
    </row>
    <row r="570">
      <c r="A570">
        <f>IF(INVENTARIO!A570="","",INVENTARIO!A570)</f>
        <v/>
      </c>
      <c r="B570">
        <f>IF(INVENTARIO!E570="","",INVENTARIO!E570)</f>
        <v/>
      </c>
      <c r="C570">
        <f>IF(INVENTARIO!F570="","",INVENTARIO!F570)</f>
        <v/>
      </c>
      <c r="D570">
        <f>IF(INVENTARIO!H570="","",INVENTARIO!H570)</f>
        <v/>
      </c>
      <c r="E570">
        <f>IF(INVENTARIO!I570="","",INVENTARIO!I570)</f>
        <v/>
      </c>
      <c r="F570">
        <f>IF(INVENTARIO!N570="","",INVENTARIO!N570)</f>
        <v/>
      </c>
      <c r="G570">
        <f>IF(INVENTARIO!P570="","",INVENTARIO!P570)</f>
        <v/>
      </c>
      <c r="H570">
        <f>IF(INVENTARIO!Q570="","",INVENTARIO!Q570)</f>
        <v/>
      </c>
      <c r="I570">
        <f>IF(INVENTARIO!R570="","",INVENTARIO!R570)</f>
        <v/>
      </c>
      <c r="J570">
        <f>IF(G570="PUBLICA(1)",1,IF(G570="USO INTERNO(2)",2,IF(G570="RESTRINGIDO(3)",3,0)))+IF(H570="BAJA(1)",1,IF(H570="MEDIA(2)",2,IF(H570="ALTA(3)",3,0)))+IF(I570="BAJA(1)",1,IF(I570="MEDIA(2)",2,IF(I570="ALTA(3)",3,0)))</f>
        <v/>
      </c>
      <c r="K570">
        <f>IF(J570="", "", IF(J570&gt;=8,"ALTA",IF(J570&gt;=6,"MEDIA","BAJA")))</f>
        <v/>
      </c>
      <c r="L570">
        <f>IF(INVENTARIO!Y570="","",INVENTARIO!Y570)</f>
        <v/>
      </c>
      <c r="M570">
        <f>IF(INVENTARIO!Z570="","",INVENTARIO!Z570)</f>
        <v/>
      </c>
      <c r="N570">
        <f>IF(INVENTARIO!AA570="","",INVENTARIO!AA570)</f>
        <v/>
      </c>
      <c r="O570">
        <f>IF(INVENTARIO!AB570="","",INVENTARIO!AB570)</f>
        <v/>
      </c>
      <c r="P570">
        <f>IF(INVENTARIO!AC570="","",INVENTARIO!AC570)</f>
        <v/>
      </c>
      <c r="Q570">
        <f>IF(AND(K570="",N570="",L570=""),"",IF(AND((K570="ALTA"),OR(LEFT(N570,2)="L0",LEFT(N570,2)="L1",L570="No Iniciado")),"CRÍTICO - Incumplimiento Normativo SEPS",IF(AND(OR(LEFT(N570,2)="L4",LEFT(N570,2)="L5"),AND(P570&lt;&gt;"",P570&lt;&gt;"N/A")),"CONFORME - Control Efectivo ISO 27001","OBSERVACIÓN - Revisar Controles")))</f>
        <v/>
      </c>
    </row>
    <row r="571">
      <c r="A571">
        <f>IF(INVENTARIO!A571="","",INVENTARIO!A571)</f>
        <v/>
      </c>
      <c r="B571">
        <f>IF(INVENTARIO!E571="","",INVENTARIO!E571)</f>
        <v/>
      </c>
      <c r="C571">
        <f>IF(INVENTARIO!F571="","",INVENTARIO!F571)</f>
        <v/>
      </c>
      <c r="D571">
        <f>IF(INVENTARIO!H571="","",INVENTARIO!H571)</f>
        <v/>
      </c>
      <c r="E571">
        <f>IF(INVENTARIO!I571="","",INVENTARIO!I571)</f>
        <v/>
      </c>
      <c r="F571">
        <f>IF(INVENTARIO!N571="","",INVENTARIO!N571)</f>
        <v/>
      </c>
      <c r="G571">
        <f>IF(INVENTARIO!P571="","",INVENTARIO!P571)</f>
        <v/>
      </c>
      <c r="H571">
        <f>IF(INVENTARIO!Q571="","",INVENTARIO!Q571)</f>
        <v/>
      </c>
      <c r="I571">
        <f>IF(INVENTARIO!R571="","",INVENTARIO!R571)</f>
        <v/>
      </c>
      <c r="J571">
        <f>IF(G571="PUBLICA(1)",1,IF(G571="USO INTERNO(2)",2,IF(G571="RESTRINGIDO(3)",3,0)))+IF(H571="BAJA(1)",1,IF(H571="MEDIA(2)",2,IF(H571="ALTA(3)",3,0)))+IF(I571="BAJA(1)",1,IF(I571="MEDIA(2)",2,IF(I571="ALTA(3)",3,0)))</f>
        <v/>
      </c>
      <c r="K571">
        <f>IF(J571="", "", IF(J571&gt;=8,"ALTA",IF(J571&gt;=6,"MEDIA","BAJA")))</f>
        <v/>
      </c>
      <c r="L571">
        <f>IF(INVENTARIO!Y571="","",INVENTARIO!Y571)</f>
        <v/>
      </c>
      <c r="M571">
        <f>IF(INVENTARIO!Z571="","",INVENTARIO!Z571)</f>
        <v/>
      </c>
      <c r="N571">
        <f>IF(INVENTARIO!AA571="","",INVENTARIO!AA571)</f>
        <v/>
      </c>
      <c r="O571">
        <f>IF(INVENTARIO!AB571="","",INVENTARIO!AB571)</f>
        <v/>
      </c>
      <c r="P571">
        <f>IF(INVENTARIO!AC571="","",INVENTARIO!AC571)</f>
        <v/>
      </c>
      <c r="Q571">
        <f>IF(AND(K571="",N571="",L571=""),"",IF(AND((K571="ALTA"),OR(LEFT(N571,2)="L0",LEFT(N571,2)="L1",L571="No Iniciado")),"CRÍTICO - Incumplimiento Normativo SEPS",IF(AND(OR(LEFT(N571,2)="L4",LEFT(N571,2)="L5"),AND(P571&lt;&gt;"",P571&lt;&gt;"N/A")),"CONFORME - Control Efectivo ISO 27001","OBSERVACIÓN - Revisar Controles")))</f>
        <v/>
      </c>
    </row>
    <row r="572">
      <c r="A572">
        <f>IF(INVENTARIO!A572="","",INVENTARIO!A572)</f>
        <v/>
      </c>
      <c r="B572">
        <f>IF(INVENTARIO!E572="","",INVENTARIO!E572)</f>
        <v/>
      </c>
      <c r="C572">
        <f>IF(INVENTARIO!F572="","",INVENTARIO!F572)</f>
        <v/>
      </c>
      <c r="D572">
        <f>IF(INVENTARIO!H572="","",INVENTARIO!H572)</f>
        <v/>
      </c>
      <c r="E572">
        <f>IF(INVENTARIO!I572="","",INVENTARIO!I572)</f>
        <v/>
      </c>
      <c r="F572">
        <f>IF(INVENTARIO!N572="","",INVENTARIO!N572)</f>
        <v/>
      </c>
      <c r="G572">
        <f>IF(INVENTARIO!P572="","",INVENTARIO!P572)</f>
        <v/>
      </c>
      <c r="H572">
        <f>IF(INVENTARIO!Q572="","",INVENTARIO!Q572)</f>
        <v/>
      </c>
      <c r="I572">
        <f>IF(INVENTARIO!R572="","",INVENTARIO!R572)</f>
        <v/>
      </c>
      <c r="J572">
        <f>IF(G572="PUBLICA(1)",1,IF(G572="USO INTERNO(2)",2,IF(G572="RESTRINGIDO(3)",3,0)))+IF(H572="BAJA(1)",1,IF(H572="MEDIA(2)",2,IF(H572="ALTA(3)",3,0)))+IF(I572="BAJA(1)",1,IF(I572="MEDIA(2)",2,IF(I572="ALTA(3)",3,0)))</f>
        <v/>
      </c>
      <c r="K572">
        <f>IF(J572="", "", IF(J572&gt;=8,"ALTA",IF(J572&gt;=6,"MEDIA","BAJA")))</f>
        <v/>
      </c>
      <c r="L572">
        <f>IF(INVENTARIO!Y572="","",INVENTARIO!Y572)</f>
        <v/>
      </c>
      <c r="M572">
        <f>IF(INVENTARIO!Z572="","",INVENTARIO!Z572)</f>
        <v/>
      </c>
      <c r="N572">
        <f>IF(INVENTARIO!AA572="","",INVENTARIO!AA572)</f>
        <v/>
      </c>
      <c r="O572">
        <f>IF(INVENTARIO!AB572="","",INVENTARIO!AB572)</f>
        <v/>
      </c>
      <c r="P572">
        <f>IF(INVENTARIO!AC572="","",INVENTARIO!AC572)</f>
        <v/>
      </c>
      <c r="Q572">
        <f>IF(AND(K572="",N572="",L572=""),"",IF(AND((K572="ALTA"),OR(LEFT(N572,2)="L0",LEFT(N572,2)="L1",L572="No Iniciado")),"CRÍTICO - Incumplimiento Normativo SEPS",IF(AND(OR(LEFT(N572,2)="L4",LEFT(N572,2)="L5"),AND(P572&lt;&gt;"",P572&lt;&gt;"N/A")),"CONFORME - Control Efectivo ISO 27001","OBSERVACIÓN - Revisar Controles")))</f>
        <v/>
      </c>
    </row>
    <row r="573">
      <c r="A573">
        <f>IF(INVENTARIO!A573="","",INVENTARIO!A573)</f>
        <v/>
      </c>
      <c r="B573">
        <f>IF(INVENTARIO!E573="","",INVENTARIO!E573)</f>
        <v/>
      </c>
      <c r="C573">
        <f>IF(INVENTARIO!F573="","",INVENTARIO!F573)</f>
        <v/>
      </c>
      <c r="D573">
        <f>IF(INVENTARIO!H573="","",INVENTARIO!H573)</f>
        <v/>
      </c>
      <c r="E573">
        <f>IF(INVENTARIO!I573="","",INVENTARIO!I573)</f>
        <v/>
      </c>
      <c r="F573">
        <f>IF(INVENTARIO!N573="","",INVENTARIO!N573)</f>
        <v/>
      </c>
      <c r="G573">
        <f>IF(INVENTARIO!P573="","",INVENTARIO!P573)</f>
        <v/>
      </c>
      <c r="H573">
        <f>IF(INVENTARIO!Q573="","",INVENTARIO!Q573)</f>
        <v/>
      </c>
      <c r="I573">
        <f>IF(INVENTARIO!R573="","",INVENTARIO!R573)</f>
        <v/>
      </c>
      <c r="J573">
        <f>IF(G573="PUBLICA(1)",1,IF(G573="USO INTERNO(2)",2,IF(G573="RESTRINGIDO(3)",3,0)))+IF(H573="BAJA(1)",1,IF(H573="MEDIA(2)",2,IF(H573="ALTA(3)",3,0)))+IF(I573="BAJA(1)",1,IF(I573="MEDIA(2)",2,IF(I573="ALTA(3)",3,0)))</f>
        <v/>
      </c>
      <c r="K573">
        <f>IF(J573="", "", IF(J573&gt;=8,"ALTA",IF(J573&gt;=6,"MEDIA","BAJA")))</f>
        <v/>
      </c>
      <c r="L573">
        <f>IF(INVENTARIO!Y573="","",INVENTARIO!Y573)</f>
        <v/>
      </c>
      <c r="M573">
        <f>IF(INVENTARIO!Z573="","",INVENTARIO!Z573)</f>
        <v/>
      </c>
      <c r="N573">
        <f>IF(INVENTARIO!AA573="","",INVENTARIO!AA573)</f>
        <v/>
      </c>
      <c r="O573">
        <f>IF(INVENTARIO!AB573="","",INVENTARIO!AB573)</f>
        <v/>
      </c>
      <c r="P573">
        <f>IF(INVENTARIO!AC573="","",INVENTARIO!AC573)</f>
        <v/>
      </c>
      <c r="Q573">
        <f>IF(AND(K573="",N573="",L573=""),"",IF(AND((K573="ALTA"),OR(LEFT(N573,2)="L0",LEFT(N573,2)="L1",L573="No Iniciado")),"CRÍTICO - Incumplimiento Normativo SEPS",IF(AND(OR(LEFT(N573,2)="L4",LEFT(N573,2)="L5"),AND(P573&lt;&gt;"",P573&lt;&gt;"N/A")),"CONFORME - Control Efectivo ISO 27001","OBSERVACIÓN - Revisar Controles")))</f>
        <v/>
      </c>
    </row>
    <row r="574">
      <c r="A574">
        <f>IF(INVENTARIO!A574="","",INVENTARIO!A574)</f>
        <v/>
      </c>
      <c r="B574">
        <f>IF(INVENTARIO!E574="","",INVENTARIO!E574)</f>
        <v/>
      </c>
      <c r="C574">
        <f>IF(INVENTARIO!F574="","",INVENTARIO!F574)</f>
        <v/>
      </c>
      <c r="D574">
        <f>IF(INVENTARIO!H574="","",INVENTARIO!H574)</f>
        <v/>
      </c>
      <c r="E574">
        <f>IF(INVENTARIO!I574="","",INVENTARIO!I574)</f>
        <v/>
      </c>
      <c r="F574">
        <f>IF(INVENTARIO!N574="","",INVENTARIO!N574)</f>
        <v/>
      </c>
      <c r="G574">
        <f>IF(INVENTARIO!P574="","",INVENTARIO!P574)</f>
        <v/>
      </c>
      <c r="H574">
        <f>IF(INVENTARIO!Q574="","",INVENTARIO!Q574)</f>
        <v/>
      </c>
      <c r="I574">
        <f>IF(INVENTARIO!R574="","",INVENTARIO!R574)</f>
        <v/>
      </c>
      <c r="J574">
        <f>IF(G574="PUBLICA(1)",1,IF(G574="USO INTERNO(2)",2,IF(G574="RESTRINGIDO(3)",3,0)))+IF(H574="BAJA(1)",1,IF(H574="MEDIA(2)",2,IF(H574="ALTA(3)",3,0)))+IF(I574="BAJA(1)",1,IF(I574="MEDIA(2)",2,IF(I574="ALTA(3)",3,0)))</f>
        <v/>
      </c>
      <c r="K574">
        <f>IF(J574="", "", IF(J574&gt;=8,"ALTA",IF(J574&gt;=6,"MEDIA","BAJA")))</f>
        <v/>
      </c>
      <c r="L574">
        <f>IF(INVENTARIO!Y574="","",INVENTARIO!Y574)</f>
        <v/>
      </c>
      <c r="M574">
        <f>IF(INVENTARIO!Z574="","",INVENTARIO!Z574)</f>
        <v/>
      </c>
      <c r="N574">
        <f>IF(INVENTARIO!AA574="","",INVENTARIO!AA574)</f>
        <v/>
      </c>
      <c r="O574">
        <f>IF(INVENTARIO!AB574="","",INVENTARIO!AB574)</f>
        <v/>
      </c>
      <c r="P574">
        <f>IF(INVENTARIO!AC574="","",INVENTARIO!AC574)</f>
        <v/>
      </c>
      <c r="Q574">
        <f>IF(AND(K574="",N574="",L574=""),"",IF(AND((K574="ALTA"),OR(LEFT(N574,2)="L0",LEFT(N574,2)="L1",L574="No Iniciado")),"CRÍTICO - Incumplimiento Normativo SEPS",IF(AND(OR(LEFT(N574,2)="L4",LEFT(N574,2)="L5"),AND(P574&lt;&gt;"",P574&lt;&gt;"N/A")),"CONFORME - Control Efectivo ISO 27001","OBSERVACIÓN - Revisar Controles")))</f>
        <v/>
      </c>
    </row>
    <row r="575">
      <c r="A575">
        <f>IF(INVENTARIO!A575="","",INVENTARIO!A575)</f>
        <v/>
      </c>
      <c r="B575">
        <f>IF(INVENTARIO!E575="","",INVENTARIO!E575)</f>
        <v/>
      </c>
      <c r="C575">
        <f>IF(INVENTARIO!F575="","",INVENTARIO!F575)</f>
        <v/>
      </c>
      <c r="D575">
        <f>IF(INVENTARIO!H575="","",INVENTARIO!H575)</f>
        <v/>
      </c>
      <c r="E575">
        <f>IF(INVENTARIO!I575="","",INVENTARIO!I575)</f>
        <v/>
      </c>
      <c r="F575">
        <f>IF(INVENTARIO!N575="","",INVENTARIO!N575)</f>
        <v/>
      </c>
      <c r="G575">
        <f>IF(INVENTARIO!P575="","",INVENTARIO!P575)</f>
        <v/>
      </c>
      <c r="H575">
        <f>IF(INVENTARIO!Q575="","",INVENTARIO!Q575)</f>
        <v/>
      </c>
      <c r="I575">
        <f>IF(INVENTARIO!R575="","",INVENTARIO!R575)</f>
        <v/>
      </c>
      <c r="J575">
        <f>IF(G575="PUBLICA(1)",1,IF(G575="USO INTERNO(2)",2,IF(G575="RESTRINGIDO(3)",3,0)))+IF(H575="BAJA(1)",1,IF(H575="MEDIA(2)",2,IF(H575="ALTA(3)",3,0)))+IF(I575="BAJA(1)",1,IF(I575="MEDIA(2)",2,IF(I575="ALTA(3)",3,0)))</f>
        <v/>
      </c>
      <c r="K575">
        <f>IF(J575="", "", IF(J575&gt;=8,"ALTA",IF(J575&gt;=6,"MEDIA","BAJA")))</f>
        <v/>
      </c>
      <c r="L575">
        <f>IF(INVENTARIO!Y575="","",INVENTARIO!Y575)</f>
        <v/>
      </c>
      <c r="M575">
        <f>IF(INVENTARIO!Z575="","",INVENTARIO!Z575)</f>
        <v/>
      </c>
      <c r="N575">
        <f>IF(INVENTARIO!AA575="","",INVENTARIO!AA575)</f>
        <v/>
      </c>
      <c r="O575">
        <f>IF(INVENTARIO!AB575="","",INVENTARIO!AB575)</f>
        <v/>
      </c>
      <c r="P575">
        <f>IF(INVENTARIO!AC575="","",INVENTARIO!AC575)</f>
        <v/>
      </c>
      <c r="Q575">
        <f>IF(AND(K575="",N575="",L575=""),"",IF(AND((K575="ALTA"),OR(LEFT(N575,2)="L0",LEFT(N575,2)="L1",L575="No Iniciado")),"CRÍTICO - Incumplimiento Normativo SEPS",IF(AND(OR(LEFT(N575,2)="L4",LEFT(N575,2)="L5"),AND(P575&lt;&gt;"",P575&lt;&gt;"N/A")),"CONFORME - Control Efectivo ISO 27001","OBSERVACIÓN - Revisar Controles")))</f>
        <v/>
      </c>
    </row>
    <row r="576">
      <c r="A576">
        <f>IF(INVENTARIO!A576="","",INVENTARIO!A576)</f>
        <v/>
      </c>
      <c r="B576">
        <f>IF(INVENTARIO!E576="","",INVENTARIO!E576)</f>
        <v/>
      </c>
      <c r="C576">
        <f>IF(INVENTARIO!F576="","",INVENTARIO!F576)</f>
        <v/>
      </c>
      <c r="D576">
        <f>IF(INVENTARIO!H576="","",INVENTARIO!H576)</f>
        <v/>
      </c>
      <c r="E576">
        <f>IF(INVENTARIO!I576="","",INVENTARIO!I576)</f>
        <v/>
      </c>
      <c r="F576">
        <f>IF(INVENTARIO!N576="","",INVENTARIO!N576)</f>
        <v/>
      </c>
      <c r="G576">
        <f>IF(INVENTARIO!P576="","",INVENTARIO!P576)</f>
        <v/>
      </c>
      <c r="H576">
        <f>IF(INVENTARIO!Q576="","",INVENTARIO!Q576)</f>
        <v/>
      </c>
      <c r="I576">
        <f>IF(INVENTARIO!R576="","",INVENTARIO!R576)</f>
        <v/>
      </c>
      <c r="J576">
        <f>IF(G576="PUBLICA(1)",1,IF(G576="USO INTERNO(2)",2,IF(G576="RESTRINGIDO(3)",3,0)))+IF(H576="BAJA(1)",1,IF(H576="MEDIA(2)",2,IF(H576="ALTA(3)",3,0)))+IF(I576="BAJA(1)",1,IF(I576="MEDIA(2)",2,IF(I576="ALTA(3)",3,0)))</f>
        <v/>
      </c>
      <c r="K576">
        <f>IF(J576="", "", IF(J576&gt;=8,"ALTA",IF(J576&gt;=6,"MEDIA","BAJA")))</f>
        <v/>
      </c>
      <c r="L576">
        <f>IF(INVENTARIO!Y576="","",INVENTARIO!Y576)</f>
        <v/>
      </c>
      <c r="M576">
        <f>IF(INVENTARIO!Z576="","",INVENTARIO!Z576)</f>
        <v/>
      </c>
      <c r="N576">
        <f>IF(INVENTARIO!AA576="","",INVENTARIO!AA576)</f>
        <v/>
      </c>
      <c r="O576">
        <f>IF(INVENTARIO!AB576="","",INVENTARIO!AB576)</f>
        <v/>
      </c>
      <c r="P576">
        <f>IF(INVENTARIO!AC576="","",INVENTARIO!AC576)</f>
        <v/>
      </c>
      <c r="Q576">
        <f>IF(AND(K576="",N576="",L576=""),"",IF(AND((K576="ALTA"),OR(LEFT(N576,2)="L0",LEFT(N576,2)="L1",L576="No Iniciado")),"CRÍTICO - Incumplimiento Normativo SEPS",IF(AND(OR(LEFT(N576,2)="L4",LEFT(N576,2)="L5"),AND(P576&lt;&gt;"",P576&lt;&gt;"N/A")),"CONFORME - Control Efectivo ISO 27001","OBSERVACIÓN - Revisar Controles")))</f>
        <v/>
      </c>
    </row>
    <row r="577">
      <c r="A577">
        <f>IF(INVENTARIO!A577="","",INVENTARIO!A577)</f>
        <v/>
      </c>
      <c r="B577">
        <f>IF(INVENTARIO!E577="","",INVENTARIO!E577)</f>
        <v/>
      </c>
      <c r="C577">
        <f>IF(INVENTARIO!F577="","",INVENTARIO!F577)</f>
        <v/>
      </c>
      <c r="D577">
        <f>IF(INVENTARIO!H577="","",INVENTARIO!H577)</f>
        <v/>
      </c>
      <c r="E577">
        <f>IF(INVENTARIO!I577="","",INVENTARIO!I577)</f>
        <v/>
      </c>
      <c r="F577">
        <f>IF(INVENTARIO!N577="","",INVENTARIO!N577)</f>
        <v/>
      </c>
      <c r="G577">
        <f>IF(INVENTARIO!P577="","",INVENTARIO!P577)</f>
        <v/>
      </c>
      <c r="H577">
        <f>IF(INVENTARIO!Q577="","",INVENTARIO!Q577)</f>
        <v/>
      </c>
      <c r="I577">
        <f>IF(INVENTARIO!R577="","",INVENTARIO!R577)</f>
        <v/>
      </c>
      <c r="J577">
        <f>IF(G577="PUBLICA(1)",1,IF(G577="USO INTERNO(2)",2,IF(G577="RESTRINGIDO(3)",3,0)))+IF(H577="BAJA(1)",1,IF(H577="MEDIA(2)",2,IF(H577="ALTA(3)",3,0)))+IF(I577="BAJA(1)",1,IF(I577="MEDIA(2)",2,IF(I577="ALTA(3)",3,0)))</f>
        <v/>
      </c>
      <c r="K577">
        <f>IF(J577="", "", IF(J577&gt;=8,"ALTA",IF(J577&gt;=6,"MEDIA","BAJA")))</f>
        <v/>
      </c>
      <c r="L577">
        <f>IF(INVENTARIO!Y577="","",INVENTARIO!Y577)</f>
        <v/>
      </c>
      <c r="M577">
        <f>IF(INVENTARIO!Z577="","",INVENTARIO!Z577)</f>
        <v/>
      </c>
      <c r="N577">
        <f>IF(INVENTARIO!AA577="","",INVENTARIO!AA577)</f>
        <v/>
      </c>
      <c r="O577">
        <f>IF(INVENTARIO!AB577="","",INVENTARIO!AB577)</f>
        <v/>
      </c>
      <c r="P577">
        <f>IF(INVENTARIO!AC577="","",INVENTARIO!AC577)</f>
        <v/>
      </c>
      <c r="Q577">
        <f>IF(AND(K577="",N577="",L577=""),"",IF(AND((K577="ALTA"),OR(LEFT(N577,2)="L0",LEFT(N577,2)="L1",L577="No Iniciado")),"CRÍTICO - Incumplimiento Normativo SEPS",IF(AND(OR(LEFT(N577,2)="L4",LEFT(N577,2)="L5"),AND(P577&lt;&gt;"",P577&lt;&gt;"N/A")),"CONFORME - Control Efectivo ISO 27001","OBSERVACIÓN - Revisar Controles")))</f>
        <v/>
      </c>
    </row>
    <row r="578">
      <c r="A578">
        <f>IF(INVENTARIO!A578="","",INVENTARIO!A578)</f>
        <v/>
      </c>
      <c r="B578">
        <f>IF(INVENTARIO!E578="","",INVENTARIO!E578)</f>
        <v/>
      </c>
      <c r="C578">
        <f>IF(INVENTARIO!F578="","",INVENTARIO!F578)</f>
        <v/>
      </c>
      <c r="D578">
        <f>IF(INVENTARIO!H578="","",INVENTARIO!H578)</f>
        <v/>
      </c>
      <c r="E578">
        <f>IF(INVENTARIO!I578="","",INVENTARIO!I578)</f>
        <v/>
      </c>
      <c r="F578">
        <f>IF(INVENTARIO!N578="","",INVENTARIO!N578)</f>
        <v/>
      </c>
      <c r="G578">
        <f>IF(INVENTARIO!P578="","",INVENTARIO!P578)</f>
        <v/>
      </c>
      <c r="H578">
        <f>IF(INVENTARIO!Q578="","",INVENTARIO!Q578)</f>
        <v/>
      </c>
      <c r="I578">
        <f>IF(INVENTARIO!R578="","",INVENTARIO!R578)</f>
        <v/>
      </c>
      <c r="J578">
        <f>IF(G578="PUBLICA(1)",1,IF(G578="USO INTERNO(2)",2,IF(G578="RESTRINGIDO(3)",3,0)))+IF(H578="BAJA(1)",1,IF(H578="MEDIA(2)",2,IF(H578="ALTA(3)",3,0)))+IF(I578="BAJA(1)",1,IF(I578="MEDIA(2)",2,IF(I578="ALTA(3)",3,0)))</f>
        <v/>
      </c>
      <c r="K578">
        <f>IF(J578="", "", IF(J578&gt;=8,"ALTA",IF(J578&gt;=6,"MEDIA","BAJA")))</f>
        <v/>
      </c>
      <c r="L578">
        <f>IF(INVENTARIO!Y578="","",INVENTARIO!Y578)</f>
        <v/>
      </c>
      <c r="M578">
        <f>IF(INVENTARIO!Z578="","",INVENTARIO!Z578)</f>
        <v/>
      </c>
      <c r="N578">
        <f>IF(INVENTARIO!AA578="","",INVENTARIO!AA578)</f>
        <v/>
      </c>
      <c r="O578">
        <f>IF(INVENTARIO!AB578="","",INVENTARIO!AB578)</f>
        <v/>
      </c>
      <c r="P578">
        <f>IF(INVENTARIO!AC578="","",INVENTARIO!AC578)</f>
        <v/>
      </c>
      <c r="Q578">
        <f>IF(AND(K578="",N578="",L578=""),"",IF(AND((K578="ALTA"),OR(LEFT(N578,2)="L0",LEFT(N578,2)="L1",L578="No Iniciado")),"CRÍTICO - Incumplimiento Normativo SEPS",IF(AND(OR(LEFT(N578,2)="L4",LEFT(N578,2)="L5"),AND(P578&lt;&gt;"",P578&lt;&gt;"N/A")),"CONFORME - Control Efectivo ISO 27001","OBSERVACIÓN - Revisar Controles")))</f>
        <v/>
      </c>
    </row>
    <row r="579">
      <c r="A579">
        <f>IF(INVENTARIO!A579="","",INVENTARIO!A579)</f>
        <v/>
      </c>
      <c r="B579">
        <f>IF(INVENTARIO!E579="","",INVENTARIO!E579)</f>
        <v/>
      </c>
      <c r="C579">
        <f>IF(INVENTARIO!F579="","",INVENTARIO!F579)</f>
        <v/>
      </c>
      <c r="D579">
        <f>IF(INVENTARIO!H579="","",INVENTARIO!H579)</f>
        <v/>
      </c>
      <c r="E579">
        <f>IF(INVENTARIO!I579="","",INVENTARIO!I579)</f>
        <v/>
      </c>
      <c r="F579">
        <f>IF(INVENTARIO!N579="","",INVENTARIO!N579)</f>
        <v/>
      </c>
      <c r="G579">
        <f>IF(INVENTARIO!P579="","",INVENTARIO!P579)</f>
        <v/>
      </c>
      <c r="H579">
        <f>IF(INVENTARIO!Q579="","",INVENTARIO!Q579)</f>
        <v/>
      </c>
      <c r="I579">
        <f>IF(INVENTARIO!R579="","",INVENTARIO!R579)</f>
        <v/>
      </c>
      <c r="J579">
        <f>IF(G579="PUBLICA(1)",1,IF(G579="USO INTERNO(2)",2,IF(G579="RESTRINGIDO(3)",3,0)))+IF(H579="BAJA(1)",1,IF(H579="MEDIA(2)",2,IF(H579="ALTA(3)",3,0)))+IF(I579="BAJA(1)",1,IF(I579="MEDIA(2)",2,IF(I579="ALTA(3)",3,0)))</f>
        <v/>
      </c>
      <c r="K579">
        <f>IF(J579="", "", IF(J579&gt;=8,"ALTA",IF(J579&gt;=6,"MEDIA","BAJA")))</f>
        <v/>
      </c>
      <c r="L579">
        <f>IF(INVENTARIO!Y579="","",INVENTARIO!Y579)</f>
        <v/>
      </c>
      <c r="M579">
        <f>IF(INVENTARIO!Z579="","",INVENTARIO!Z579)</f>
        <v/>
      </c>
      <c r="N579">
        <f>IF(INVENTARIO!AA579="","",INVENTARIO!AA579)</f>
        <v/>
      </c>
      <c r="O579">
        <f>IF(INVENTARIO!AB579="","",INVENTARIO!AB579)</f>
        <v/>
      </c>
      <c r="P579">
        <f>IF(INVENTARIO!AC579="","",INVENTARIO!AC579)</f>
        <v/>
      </c>
      <c r="Q579">
        <f>IF(AND(K579="",N579="",L579=""),"",IF(AND((K579="ALTA"),OR(LEFT(N579,2)="L0",LEFT(N579,2)="L1",L579="No Iniciado")),"CRÍTICO - Incumplimiento Normativo SEPS",IF(AND(OR(LEFT(N579,2)="L4",LEFT(N579,2)="L5"),AND(P579&lt;&gt;"",P579&lt;&gt;"N/A")),"CONFORME - Control Efectivo ISO 27001","OBSERVACIÓN - Revisar Controles")))</f>
        <v/>
      </c>
    </row>
    <row r="580">
      <c r="A580">
        <f>IF(INVENTARIO!A580="","",INVENTARIO!A580)</f>
        <v/>
      </c>
      <c r="B580">
        <f>IF(INVENTARIO!E580="","",INVENTARIO!E580)</f>
        <v/>
      </c>
      <c r="C580">
        <f>IF(INVENTARIO!F580="","",INVENTARIO!F580)</f>
        <v/>
      </c>
      <c r="D580">
        <f>IF(INVENTARIO!H580="","",INVENTARIO!H580)</f>
        <v/>
      </c>
      <c r="E580">
        <f>IF(INVENTARIO!I580="","",INVENTARIO!I580)</f>
        <v/>
      </c>
      <c r="F580">
        <f>IF(INVENTARIO!N580="","",INVENTARIO!N580)</f>
        <v/>
      </c>
      <c r="G580">
        <f>IF(INVENTARIO!P580="","",INVENTARIO!P580)</f>
        <v/>
      </c>
      <c r="H580">
        <f>IF(INVENTARIO!Q580="","",INVENTARIO!Q580)</f>
        <v/>
      </c>
      <c r="I580">
        <f>IF(INVENTARIO!R580="","",INVENTARIO!R580)</f>
        <v/>
      </c>
      <c r="J580">
        <f>IF(G580="PUBLICA(1)",1,IF(G580="USO INTERNO(2)",2,IF(G580="RESTRINGIDO(3)",3,0)))+IF(H580="BAJA(1)",1,IF(H580="MEDIA(2)",2,IF(H580="ALTA(3)",3,0)))+IF(I580="BAJA(1)",1,IF(I580="MEDIA(2)",2,IF(I580="ALTA(3)",3,0)))</f>
        <v/>
      </c>
      <c r="K580">
        <f>IF(J580="", "", IF(J580&gt;=8,"ALTA",IF(J580&gt;=6,"MEDIA","BAJA")))</f>
        <v/>
      </c>
      <c r="L580">
        <f>IF(INVENTARIO!Y580="","",INVENTARIO!Y580)</f>
        <v/>
      </c>
      <c r="M580">
        <f>IF(INVENTARIO!Z580="","",INVENTARIO!Z580)</f>
        <v/>
      </c>
      <c r="N580">
        <f>IF(INVENTARIO!AA580="","",INVENTARIO!AA580)</f>
        <v/>
      </c>
      <c r="O580">
        <f>IF(INVENTARIO!AB580="","",INVENTARIO!AB580)</f>
        <v/>
      </c>
      <c r="P580">
        <f>IF(INVENTARIO!AC580="","",INVENTARIO!AC580)</f>
        <v/>
      </c>
      <c r="Q580">
        <f>IF(AND(K580="",N580="",L580=""),"",IF(AND((K580="ALTA"),OR(LEFT(N580,2)="L0",LEFT(N580,2)="L1",L580="No Iniciado")),"CRÍTICO - Incumplimiento Normativo SEPS",IF(AND(OR(LEFT(N580,2)="L4",LEFT(N580,2)="L5"),AND(P580&lt;&gt;"",P580&lt;&gt;"N/A")),"CONFORME - Control Efectivo ISO 27001","OBSERVACIÓN - Revisar Controles")))</f>
        <v/>
      </c>
    </row>
    <row r="581">
      <c r="A581">
        <f>IF(INVENTARIO!A581="","",INVENTARIO!A581)</f>
        <v/>
      </c>
      <c r="B581">
        <f>IF(INVENTARIO!E581="","",INVENTARIO!E581)</f>
        <v/>
      </c>
      <c r="C581">
        <f>IF(INVENTARIO!F581="","",INVENTARIO!F581)</f>
        <v/>
      </c>
      <c r="D581">
        <f>IF(INVENTARIO!H581="","",INVENTARIO!H581)</f>
        <v/>
      </c>
      <c r="E581">
        <f>IF(INVENTARIO!I581="","",INVENTARIO!I581)</f>
        <v/>
      </c>
      <c r="F581">
        <f>IF(INVENTARIO!N581="","",INVENTARIO!N581)</f>
        <v/>
      </c>
      <c r="G581">
        <f>IF(INVENTARIO!P581="","",INVENTARIO!P581)</f>
        <v/>
      </c>
      <c r="H581">
        <f>IF(INVENTARIO!Q581="","",INVENTARIO!Q581)</f>
        <v/>
      </c>
      <c r="I581">
        <f>IF(INVENTARIO!R581="","",INVENTARIO!R581)</f>
        <v/>
      </c>
      <c r="J581">
        <f>IF(G581="PUBLICA(1)",1,IF(G581="USO INTERNO(2)",2,IF(G581="RESTRINGIDO(3)",3,0)))+IF(H581="BAJA(1)",1,IF(H581="MEDIA(2)",2,IF(H581="ALTA(3)",3,0)))+IF(I581="BAJA(1)",1,IF(I581="MEDIA(2)",2,IF(I581="ALTA(3)",3,0)))</f>
        <v/>
      </c>
      <c r="K581">
        <f>IF(J581="", "", IF(J581&gt;=8,"ALTA",IF(J581&gt;=6,"MEDIA","BAJA")))</f>
        <v/>
      </c>
      <c r="L581">
        <f>IF(INVENTARIO!Y581="","",INVENTARIO!Y581)</f>
        <v/>
      </c>
      <c r="M581">
        <f>IF(INVENTARIO!Z581="","",INVENTARIO!Z581)</f>
        <v/>
      </c>
      <c r="N581">
        <f>IF(INVENTARIO!AA581="","",INVENTARIO!AA581)</f>
        <v/>
      </c>
      <c r="O581">
        <f>IF(INVENTARIO!AB581="","",INVENTARIO!AB581)</f>
        <v/>
      </c>
      <c r="P581">
        <f>IF(INVENTARIO!AC581="","",INVENTARIO!AC581)</f>
        <v/>
      </c>
      <c r="Q581">
        <f>IF(AND(K581="",N581="",L581=""),"",IF(AND((K581="ALTA"),OR(LEFT(N581,2)="L0",LEFT(N581,2)="L1",L581="No Iniciado")),"CRÍTICO - Incumplimiento Normativo SEPS",IF(AND(OR(LEFT(N581,2)="L4",LEFT(N581,2)="L5"),AND(P581&lt;&gt;"",P581&lt;&gt;"N/A")),"CONFORME - Control Efectivo ISO 27001","OBSERVACIÓN - Revisar Controles")))</f>
        <v/>
      </c>
    </row>
    <row r="582">
      <c r="A582">
        <f>IF(INVENTARIO!A582="","",INVENTARIO!A582)</f>
        <v/>
      </c>
      <c r="B582">
        <f>IF(INVENTARIO!E582="","",INVENTARIO!E582)</f>
        <v/>
      </c>
      <c r="C582">
        <f>IF(INVENTARIO!F582="","",INVENTARIO!F582)</f>
        <v/>
      </c>
      <c r="D582">
        <f>IF(INVENTARIO!H582="","",INVENTARIO!H582)</f>
        <v/>
      </c>
      <c r="E582">
        <f>IF(INVENTARIO!I582="","",INVENTARIO!I582)</f>
        <v/>
      </c>
      <c r="F582">
        <f>IF(INVENTARIO!N582="","",INVENTARIO!N582)</f>
        <v/>
      </c>
      <c r="G582">
        <f>IF(INVENTARIO!P582="","",INVENTARIO!P582)</f>
        <v/>
      </c>
      <c r="H582">
        <f>IF(INVENTARIO!Q582="","",INVENTARIO!Q582)</f>
        <v/>
      </c>
      <c r="I582">
        <f>IF(INVENTARIO!R582="","",INVENTARIO!R582)</f>
        <v/>
      </c>
      <c r="J582">
        <f>IF(G582="PUBLICA(1)",1,IF(G582="USO INTERNO(2)",2,IF(G582="RESTRINGIDO(3)",3,0)))+IF(H582="BAJA(1)",1,IF(H582="MEDIA(2)",2,IF(H582="ALTA(3)",3,0)))+IF(I582="BAJA(1)",1,IF(I582="MEDIA(2)",2,IF(I582="ALTA(3)",3,0)))</f>
        <v/>
      </c>
      <c r="K582">
        <f>IF(J582="", "", IF(J582&gt;=8,"ALTA",IF(J582&gt;=6,"MEDIA","BAJA")))</f>
        <v/>
      </c>
      <c r="L582">
        <f>IF(INVENTARIO!Y582="","",INVENTARIO!Y582)</f>
        <v/>
      </c>
      <c r="M582">
        <f>IF(INVENTARIO!Z582="","",INVENTARIO!Z582)</f>
        <v/>
      </c>
      <c r="N582">
        <f>IF(INVENTARIO!AA582="","",INVENTARIO!AA582)</f>
        <v/>
      </c>
      <c r="O582">
        <f>IF(INVENTARIO!AB582="","",INVENTARIO!AB582)</f>
        <v/>
      </c>
      <c r="P582">
        <f>IF(INVENTARIO!AC582="","",INVENTARIO!AC582)</f>
        <v/>
      </c>
      <c r="Q582">
        <f>IF(AND(K582="",N582="",L582=""),"",IF(AND((K582="ALTA"),OR(LEFT(N582,2)="L0",LEFT(N582,2)="L1",L582="No Iniciado")),"CRÍTICO - Incumplimiento Normativo SEPS",IF(AND(OR(LEFT(N582,2)="L4",LEFT(N582,2)="L5"),AND(P582&lt;&gt;"",P582&lt;&gt;"N/A")),"CONFORME - Control Efectivo ISO 27001","OBSERVACIÓN - Revisar Controles")))</f>
        <v/>
      </c>
    </row>
    <row r="583">
      <c r="A583">
        <f>IF(INVENTARIO!A583="","",INVENTARIO!A583)</f>
        <v/>
      </c>
      <c r="B583">
        <f>IF(INVENTARIO!E583="","",INVENTARIO!E583)</f>
        <v/>
      </c>
      <c r="C583">
        <f>IF(INVENTARIO!F583="","",INVENTARIO!F583)</f>
        <v/>
      </c>
      <c r="D583">
        <f>IF(INVENTARIO!H583="","",INVENTARIO!H583)</f>
        <v/>
      </c>
      <c r="E583">
        <f>IF(INVENTARIO!I583="","",INVENTARIO!I583)</f>
        <v/>
      </c>
      <c r="F583">
        <f>IF(INVENTARIO!N583="","",INVENTARIO!N583)</f>
        <v/>
      </c>
      <c r="G583">
        <f>IF(INVENTARIO!P583="","",INVENTARIO!P583)</f>
        <v/>
      </c>
      <c r="H583">
        <f>IF(INVENTARIO!Q583="","",INVENTARIO!Q583)</f>
        <v/>
      </c>
      <c r="I583">
        <f>IF(INVENTARIO!R583="","",INVENTARIO!R583)</f>
        <v/>
      </c>
      <c r="J583">
        <f>IF(G583="PUBLICA(1)",1,IF(G583="USO INTERNO(2)",2,IF(G583="RESTRINGIDO(3)",3,0)))+IF(H583="BAJA(1)",1,IF(H583="MEDIA(2)",2,IF(H583="ALTA(3)",3,0)))+IF(I583="BAJA(1)",1,IF(I583="MEDIA(2)",2,IF(I583="ALTA(3)",3,0)))</f>
        <v/>
      </c>
      <c r="K583">
        <f>IF(J583="", "", IF(J583&gt;=8,"ALTA",IF(J583&gt;=6,"MEDIA","BAJA")))</f>
        <v/>
      </c>
      <c r="L583">
        <f>IF(INVENTARIO!Y583="","",INVENTARIO!Y583)</f>
        <v/>
      </c>
      <c r="M583">
        <f>IF(INVENTARIO!Z583="","",INVENTARIO!Z583)</f>
        <v/>
      </c>
      <c r="N583">
        <f>IF(INVENTARIO!AA583="","",INVENTARIO!AA583)</f>
        <v/>
      </c>
      <c r="O583">
        <f>IF(INVENTARIO!AB583="","",INVENTARIO!AB583)</f>
        <v/>
      </c>
      <c r="P583">
        <f>IF(INVENTARIO!AC583="","",INVENTARIO!AC583)</f>
        <v/>
      </c>
      <c r="Q583">
        <f>IF(AND(K583="",N583="",L583=""),"",IF(AND((K583="ALTA"),OR(LEFT(N583,2)="L0",LEFT(N583,2)="L1",L583="No Iniciado")),"CRÍTICO - Incumplimiento Normativo SEPS",IF(AND(OR(LEFT(N583,2)="L4",LEFT(N583,2)="L5"),AND(P583&lt;&gt;"",P583&lt;&gt;"N/A")),"CONFORME - Control Efectivo ISO 27001","OBSERVACIÓN - Revisar Controles")))</f>
        <v/>
      </c>
    </row>
    <row r="584">
      <c r="A584">
        <f>IF(INVENTARIO!A584="","",INVENTARIO!A584)</f>
        <v/>
      </c>
      <c r="B584">
        <f>IF(INVENTARIO!E584="","",INVENTARIO!E584)</f>
        <v/>
      </c>
      <c r="C584">
        <f>IF(INVENTARIO!F584="","",INVENTARIO!F584)</f>
        <v/>
      </c>
      <c r="D584">
        <f>IF(INVENTARIO!H584="","",INVENTARIO!H584)</f>
        <v/>
      </c>
      <c r="E584">
        <f>IF(INVENTARIO!I584="","",INVENTARIO!I584)</f>
        <v/>
      </c>
      <c r="F584">
        <f>IF(INVENTARIO!N584="","",INVENTARIO!N584)</f>
        <v/>
      </c>
      <c r="G584">
        <f>IF(INVENTARIO!P584="","",INVENTARIO!P584)</f>
        <v/>
      </c>
      <c r="H584">
        <f>IF(INVENTARIO!Q584="","",INVENTARIO!Q584)</f>
        <v/>
      </c>
      <c r="I584">
        <f>IF(INVENTARIO!R584="","",INVENTARIO!R584)</f>
        <v/>
      </c>
      <c r="J584">
        <f>IF(G584="PUBLICA(1)",1,IF(G584="USO INTERNO(2)",2,IF(G584="RESTRINGIDO(3)",3,0)))+IF(H584="BAJA(1)",1,IF(H584="MEDIA(2)",2,IF(H584="ALTA(3)",3,0)))+IF(I584="BAJA(1)",1,IF(I584="MEDIA(2)",2,IF(I584="ALTA(3)",3,0)))</f>
        <v/>
      </c>
      <c r="K584">
        <f>IF(J584="", "", IF(J584&gt;=8,"ALTA",IF(J584&gt;=6,"MEDIA","BAJA")))</f>
        <v/>
      </c>
      <c r="L584">
        <f>IF(INVENTARIO!Y584="","",INVENTARIO!Y584)</f>
        <v/>
      </c>
      <c r="M584">
        <f>IF(INVENTARIO!Z584="","",INVENTARIO!Z584)</f>
        <v/>
      </c>
      <c r="N584">
        <f>IF(INVENTARIO!AA584="","",INVENTARIO!AA584)</f>
        <v/>
      </c>
      <c r="O584">
        <f>IF(INVENTARIO!AB584="","",INVENTARIO!AB584)</f>
        <v/>
      </c>
      <c r="P584">
        <f>IF(INVENTARIO!AC584="","",INVENTARIO!AC584)</f>
        <v/>
      </c>
      <c r="Q584">
        <f>IF(AND(K584="",N584="",L584=""),"",IF(AND((K584="ALTA"),OR(LEFT(N584,2)="L0",LEFT(N584,2)="L1",L584="No Iniciado")),"CRÍTICO - Incumplimiento Normativo SEPS",IF(AND(OR(LEFT(N584,2)="L4",LEFT(N584,2)="L5"),AND(P584&lt;&gt;"",P584&lt;&gt;"N/A")),"CONFORME - Control Efectivo ISO 27001","OBSERVACIÓN - Revisar Controles")))</f>
        <v/>
      </c>
    </row>
    <row r="585">
      <c r="A585">
        <f>IF(INVENTARIO!A585="","",INVENTARIO!A585)</f>
        <v/>
      </c>
      <c r="B585">
        <f>IF(INVENTARIO!E585="","",INVENTARIO!E585)</f>
        <v/>
      </c>
      <c r="C585">
        <f>IF(INVENTARIO!F585="","",INVENTARIO!F585)</f>
        <v/>
      </c>
      <c r="D585">
        <f>IF(INVENTARIO!H585="","",INVENTARIO!H585)</f>
        <v/>
      </c>
      <c r="E585">
        <f>IF(INVENTARIO!I585="","",INVENTARIO!I585)</f>
        <v/>
      </c>
      <c r="F585">
        <f>IF(INVENTARIO!N585="","",INVENTARIO!N585)</f>
        <v/>
      </c>
      <c r="G585">
        <f>IF(INVENTARIO!P585="","",INVENTARIO!P585)</f>
        <v/>
      </c>
      <c r="H585">
        <f>IF(INVENTARIO!Q585="","",INVENTARIO!Q585)</f>
        <v/>
      </c>
      <c r="I585">
        <f>IF(INVENTARIO!R585="","",INVENTARIO!R585)</f>
        <v/>
      </c>
      <c r="J585">
        <f>IF(G585="PUBLICA(1)",1,IF(G585="USO INTERNO(2)",2,IF(G585="RESTRINGIDO(3)",3,0)))+IF(H585="BAJA(1)",1,IF(H585="MEDIA(2)",2,IF(H585="ALTA(3)",3,0)))+IF(I585="BAJA(1)",1,IF(I585="MEDIA(2)",2,IF(I585="ALTA(3)",3,0)))</f>
        <v/>
      </c>
      <c r="K585">
        <f>IF(J585="", "", IF(J585&gt;=8,"ALTA",IF(J585&gt;=6,"MEDIA","BAJA")))</f>
        <v/>
      </c>
      <c r="L585">
        <f>IF(INVENTARIO!Y585="","",INVENTARIO!Y585)</f>
        <v/>
      </c>
      <c r="M585">
        <f>IF(INVENTARIO!Z585="","",INVENTARIO!Z585)</f>
        <v/>
      </c>
      <c r="N585">
        <f>IF(INVENTARIO!AA585="","",INVENTARIO!AA585)</f>
        <v/>
      </c>
      <c r="O585">
        <f>IF(INVENTARIO!AB585="","",INVENTARIO!AB585)</f>
        <v/>
      </c>
      <c r="P585">
        <f>IF(INVENTARIO!AC585="","",INVENTARIO!AC585)</f>
        <v/>
      </c>
      <c r="Q585">
        <f>IF(AND(K585="",N585="",L585=""),"",IF(AND((K585="ALTA"),OR(LEFT(N585,2)="L0",LEFT(N585,2)="L1",L585="No Iniciado")),"CRÍTICO - Incumplimiento Normativo SEPS",IF(AND(OR(LEFT(N585,2)="L4",LEFT(N585,2)="L5"),AND(P585&lt;&gt;"",P585&lt;&gt;"N/A")),"CONFORME - Control Efectivo ISO 27001","OBSERVACIÓN - Revisar Controles")))</f>
        <v/>
      </c>
    </row>
    <row r="586">
      <c r="A586">
        <f>IF(INVENTARIO!A586="","",INVENTARIO!A586)</f>
        <v/>
      </c>
      <c r="B586">
        <f>IF(INVENTARIO!E586="","",INVENTARIO!E586)</f>
        <v/>
      </c>
      <c r="C586">
        <f>IF(INVENTARIO!F586="","",INVENTARIO!F586)</f>
        <v/>
      </c>
      <c r="D586">
        <f>IF(INVENTARIO!H586="","",INVENTARIO!H586)</f>
        <v/>
      </c>
      <c r="E586">
        <f>IF(INVENTARIO!I586="","",INVENTARIO!I586)</f>
        <v/>
      </c>
      <c r="F586">
        <f>IF(INVENTARIO!N586="","",INVENTARIO!N586)</f>
        <v/>
      </c>
      <c r="G586">
        <f>IF(INVENTARIO!P586="","",INVENTARIO!P586)</f>
        <v/>
      </c>
      <c r="H586">
        <f>IF(INVENTARIO!Q586="","",INVENTARIO!Q586)</f>
        <v/>
      </c>
      <c r="I586">
        <f>IF(INVENTARIO!R586="","",INVENTARIO!R586)</f>
        <v/>
      </c>
      <c r="J586">
        <f>IF(G586="PUBLICA(1)",1,IF(G586="USO INTERNO(2)",2,IF(G586="RESTRINGIDO(3)",3,0)))+IF(H586="BAJA(1)",1,IF(H586="MEDIA(2)",2,IF(H586="ALTA(3)",3,0)))+IF(I586="BAJA(1)",1,IF(I586="MEDIA(2)",2,IF(I586="ALTA(3)",3,0)))</f>
        <v/>
      </c>
      <c r="K586">
        <f>IF(J586="", "", IF(J586&gt;=8,"ALTA",IF(J586&gt;=6,"MEDIA","BAJA")))</f>
        <v/>
      </c>
      <c r="L586">
        <f>IF(INVENTARIO!Y586="","",INVENTARIO!Y586)</f>
        <v/>
      </c>
      <c r="M586">
        <f>IF(INVENTARIO!Z586="","",INVENTARIO!Z586)</f>
        <v/>
      </c>
      <c r="N586">
        <f>IF(INVENTARIO!AA586="","",INVENTARIO!AA586)</f>
        <v/>
      </c>
      <c r="O586">
        <f>IF(INVENTARIO!AB586="","",INVENTARIO!AB586)</f>
        <v/>
      </c>
      <c r="P586">
        <f>IF(INVENTARIO!AC586="","",INVENTARIO!AC586)</f>
        <v/>
      </c>
      <c r="Q586">
        <f>IF(AND(K586="",N586="",L586=""),"",IF(AND((K586="ALTA"),OR(LEFT(N586,2)="L0",LEFT(N586,2)="L1",L586="No Iniciado")),"CRÍTICO - Incumplimiento Normativo SEPS",IF(AND(OR(LEFT(N586,2)="L4",LEFT(N586,2)="L5"),AND(P586&lt;&gt;"",P586&lt;&gt;"N/A")),"CONFORME - Control Efectivo ISO 27001","OBSERVACIÓN - Revisar Controles")))</f>
        <v/>
      </c>
    </row>
    <row r="587">
      <c r="A587">
        <f>IF(INVENTARIO!A587="","",INVENTARIO!A587)</f>
        <v/>
      </c>
      <c r="B587">
        <f>IF(INVENTARIO!E587="","",INVENTARIO!E587)</f>
        <v/>
      </c>
      <c r="C587">
        <f>IF(INVENTARIO!F587="","",INVENTARIO!F587)</f>
        <v/>
      </c>
      <c r="D587">
        <f>IF(INVENTARIO!H587="","",INVENTARIO!H587)</f>
        <v/>
      </c>
      <c r="E587">
        <f>IF(INVENTARIO!I587="","",INVENTARIO!I587)</f>
        <v/>
      </c>
      <c r="F587">
        <f>IF(INVENTARIO!N587="","",INVENTARIO!N587)</f>
        <v/>
      </c>
      <c r="G587">
        <f>IF(INVENTARIO!P587="","",INVENTARIO!P587)</f>
        <v/>
      </c>
      <c r="H587">
        <f>IF(INVENTARIO!Q587="","",INVENTARIO!Q587)</f>
        <v/>
      </c>
      <c r="I587">
        <f>IF(INVENTARIO!R587="","",INVENTARIO!R587)</f>
        <v/>
      </c>
      <c r="J587">
        <f>IF(G587="PUBLICA(1)",1,IF(G587="USO INTERNO(2)",2,IF(G587="RESTRINGIDO(3)",3,0)))+IF(H587="BAJA(1)",1,IF(H587="MEDIA(2)",2,IF(H587="ALTA(3)",3,0)))+IF(I587="BAJA(1)",1,IF(I587="MEDIA(2)",2,IF(I587="ALTA(3)",3,0)))</f>
        <v/>
      </c>
      <c r="K587">
        <f>IF(J587="", "", IF(J587&gt;=8,"ALTA",IF(J587&gt;=6,"MEDIA","BAJA")))</f>
        <v/>
      </c>
      <c r="L587">
        <f>IF(INVENTARIO!Y587="","",INVENTARIO!Y587)</f>
        <v/>
      </c>
      <c r="M587">
        <f>IF(INVENTARIO!Z587="","",INVENTARIO!Z587)</f>
        <v/>
      </c>
      <c r="N587">
        <f>IF(INVENTARIO!AA587="","",INVENTARIO!AA587)</f>
        <v/>
      </c>
      <c r="O587">
        <f>IF(INVENTARIO!AB587="","",INVENTARIO!AB587)</f>
        <v/>
      </c>
      <c r="P587">
        <f>IF(INVENTARIO!AC587="","",INVENTARIO!AC587)</f>
        <v/>
      </c>
      <c r="Q587">
        <f>IF(AND(K587="",N587="",L587=""),"",IF(AND((K587="ALTA"),OR(LEFT(N587,2)="L0",LEFT(N587,2)="L1",L587="No Iniciado")),"CRÍTICO - Incumplimiento Normativo SEPS",IF(AND(OR(LEFT(N587,2)="L4",LEFT(N587,2)="L5"),AND(P587&lt;&gt;"",P587&lt;&gt;"N/A")),"CONFORME - Control Efectivo ISO 27001","OBSERVACIÓN - Revisar Controles")))</f>
        <v/>
      </c>
    </row>
    <row r="588">
      <c r="A588">
        <f>IF(INVENTARIO!A588="","",INVENTARIO!A588)</f>
        <v/>
      </c>
      <c r="B588">
        <f>IF(INVENTARIO!E588="","",INVENTARIO!E588)</f>
        <v/>
      </c>
      <c r="C588">
        <f>IF(INVENTARIO!F588="","",INVENTARIO!F588)</f>
        <v/>
      </c>
      <c r="D588">
        <f>IF(INVENTARIO!H588="","",INVENTARIO!H588)</f>
        <v/>
      </c>
      <c r="E588">
        <f>IF(INVENTARIO!I588="","",INVENTARIO!I588)</f>
        <v/>
      </c>
      <c r="F588">
        <f>IF(INVENTARIO!N588="","",INVENTARIO!N588)</f>
        <v/>
      </c>
      <c r="G588">
        <f>IF(INVENTARIO!P588="","",INVENTARIO!P588)</f>
        <v/>
      </c>
      <c r="H588">
        <f>IF(INVENTARIO!Q588="","",INVENTARIO!Q588)</f>
        <v/>
      </c>
      <c r="I588">
        <f>IF(INVENTARIO!R588="","",INVENTARIO!R588)</f>
        <v/>
      </c>
      <c r="J588">
        <f>IF(G588="PUBLICA(1)",1,IF(G588="USO INTERNO(2)",2,IF(G588="RESTRINGIDO(3)",3,0)))+IF(H588="BAJA(1)",1,IF(H588="MEDIA(2)",2,IF(H588="ALTA(3)",3,0)))+IF(I588="BAJA(1)",1,IF(I588="MEDIA(2)",2,IF(I588="ALTA(3)",3,0)))</f>
        <v/>
      </c>
      <c r="K588">
        <f>IF(J588="", "", IF(J588&gt;=8,"ALTA",IF(J588&gt;=6,"MEDIA","BAJA")))</f>
        <v/>
      </c>
      <c r="L588">
        <f>IF(INVENTARIO!Y588="","",INVENTARIO!Y588)</f>
        <v/>
      </c>
      <c r="M588">
        <f>IF(INVENTARIO!Z588="","",INVENTARIO!Z588)</f>
        <v/>
      </c>
      <c r="N588">
        <f>IF(INVENTARIO!AA588="","",INVENTARIO!AA588)</f>
        <v/>
      </c>
      <c r="O588">
        <f>IF(INVENTARIO!AB588="","",INVENTARIO!AB588)</f>
        <v/>
      </c>
      <c r="P588">
        <f>IF(INVENTARIO!AC588="","",INVENTARIO!AC588)</f>
        <v/>
      </c>
      <c r="Q588">
        <f>IF(AND(K588="",N588="",L588=""),"",IF(AND((K588="ALTA"),OR(LEFT(N588,2)="L0",LEFT(N588,2)="L1",L588="No Iniciado")),"CRÍTICO - Incumplimiento Normativo SEPS",IF(AND(OR(LEFT(N588,2)="L4",LEFT(N588,2)="L5"),AND(P588&lt;&gt;"",P588&lt;&gt;"N/A")),"CONFORME - Control Efectivo ISO 27001","OBSERVACIÓN - Revisar Controles")))</f>
        <v/>
      </c>
    </row>
    <row r="589">
      <c r="A589">
        <f>IF(INVENTARIO!A589="","",INVENTARIO!A589)</f>
        <v/>
      </c>
      <c r="B589">
        <f>IF(INVENTARIO!E589="","",INVENTARIO!E589)</f>
        <v/>
      </c>
      <c r="C589">
        <f>IF(INVENTARIO!F589="","",INVENTARIO!F589)</f>
        <v/>
      </c>
      <c r="D589">
        <f>IF(INVENTARIO!H589="","",INVENTARIO!H589)</f>
        <v/>
      </c>
      <c r="E589">
        <f>IF(INVENTARIO!I589="","",INVENTARIO!I589)</f>
        <v/>
      </c>
      <c r="F589">
        <f>IF(INVENTARIO!N589="","",INVENTARIO!N589)</f>
        <v/>
      </c>
      <c r="G589">
        <f>IF(INVENTARIO!P589="","",INVENTARIO!P589)</f>
        <v/>
      </c>
      <c r="H589">
        <f>IF(INVENTARIO!Q589="","",INVENTARIO!Q589)</f>
        <v/>
      </c>
      <c r="I589">
        <f>IF(INVENTARIO!R589="","",INVENTARIO!R589)</f>
        <v/>
      </c>
      <c r="J589">
        <f>IF(G589="PUBLICA(1)",1,IF(G589="USO INTERNO(2)",2,IF(G589="RESTRINGIDO(3)",3,0)))+IF(H589="BAJA(1)",1,IF(H589="MEDIA(2)",2,IF(H589="ALTA(3)",3,0)))+IF(I589="BAJA(1)",1,IF(I589="MEDIA(2)",2,IF(I589="ALTA(3)",3,0)))</f>
        <v/>
      </c>
      <c r="K589">
        <f>IF(J589="", "", IF(J589&gt;=8,"ALTA",IF(J589&gt;=6,"MEDIA","BAJA")))</f>
        <v/>
      </c>
      <c r="L589">
        <f>IF(INVENTARIO!Y589="","",INVENTARIO!Y589)</f>
        <v/>
      </c>
      <c r="M589">
        <f>IF(INVENTARIO!Z589="","",INVENTARIO!Z589)</f>
        <v/>
      </c>
      <c r="N589">
        <f>IF(INVENTARIO!AA589="","",INVENTARIO!AA589)</f>
        <v/>
      </c>
      <c r="O589">
        <f>IF(INVENTARIO!AB589="","",INVENTARIO!AB589)</f>
        <v/>
      </c>
      <c r="P589">
        <f>IF(INVENTARIO!AC589="","",INVENTARIO!AC589)</f>
        <v/>
      </c>
      <c r="Q589">
        <f>IF(AND(K589="",N589="",L589=""),"",IF(AND((K589="ALTA"),OR(LEFT(N589,2)="L0",LEFT(N589,2)="L1",L589="No Iniciado")),"CRÍTICO - Incumplimiento Normativo SEPS",IF(AND(OR(LEFT(N589,2)="L4",LEFT(N589,2)="L5"),AND(P589&lt;&gt;"",P589&lt;&gt;"N/A")),"CONFORME - Control Efectivo ISO 27001","OBSERVACIÓN - Revisar Controles")))</f>
        <v/>
      </c>
    </row>
    <row r="590">
      <c r="A590">
        <f>IF(INVENTARIO!A590="","",INVENTARIO!A590)</f>
        <v/>
      </c>
      <c r="B590">
        <f>IF(INVENTARIO!E590="","",INVENTARIO!E590)</f>
        <v/>
      </c>
      <c r="C590">
        <f>IF(INVENTARIO!F590="","",INVENTARIO!F590)</f>
        <v/>
      </c>
      <c r="D590">
        <f>IF(INVENTARIO!H590="","",INVENTARIO!H590)</f>
        <v/>
      </c>
      <c r="E590">
        <f>IF(INVENTARIO!I590="","",INVENTARIO!I590)</f>
        <v/>
      </c>
      <c r="F590">
        <f>IF(INVENTARIO!N590="","",INVENTARIO!N590)</f>
        <v/>
      </c>
      <c r="G590">
        <f>IF(INVENTARIO!P590="","",INVENTARIO!P590)</f>
        <v/>
      </c>
      <c r="H590">
        <f>IF(INVENTARIO!Q590="","",INVENTARIO!Q590)</f>
        <v/>
      </c>
      <c r="I590">
        <f>IF(INVENTARIO!R590="","",INVENTARIO!R590)</f>
        <v/>
      </c>
      <c r="J590">
        <f>IF(G590="PUBLICA(1)",1,IF(G590="USO INTERNO(2)",2,IF(G590="RESTRINGIDO(3)",3,0)))+IF(H590="BAJA(1)",1,IF(H590="MEDIA(2)",2,IF(H590="ALTA(3)",3,0)))+IF(I590="BAJA(1)",1,IF(I590="MEDIA(2)",2,IF(I590="ALTA(3)",3,0)))</f>
        <v/>
      </c>
      <c r="K590">
        <f>IF(J590="", "", IF(J590&gt;=8,"ALTA",IF(J590&gt;=6,"MEDIA","BAJA")))</f>
        <v/>
      </c>
      <c r="L590">
        <f>IF(INVENTARIO!Y590="","",INVENTARIO!Y590)</f>
        <v/>
      </c>
      <c r="M590">
        <f>IF(INVENTARIO!Z590="","",INVENTARIO!Z590)</f>
        <v/>
      </c>
      <c r="N590">
        <f>IF(INVENTARIO!AA590="","",INVENTARIO!AA590)</f>
        <v/>
      </c>
      <c r="O590">
        <f>IF(INVENTARIO!AB590="","",INVENTARIO!AB590)</f>
        <v/>
      </c>
      <c r="P590">
        <f>IF(INVENTARIO!AC590="","",INVENTARIO!AC590)</f>
        <v/>
      </c>
      <c r="Q590">
        <f>IF(AND(K590="",N590="",L590=""),"",IF(AND((K590="ALTA"),OR(LEFT(N590,2)="L0",LEFT(N590,2)="L1",L590="No Iniciado")),"CRÍTICO - Incumplimiento Normativo SEPS",IF(AND(OR(LEFT(N590,2)="L4",LEFT(N590,2)="L5"),AND(P590&lt;&gt;"",P590&lt;&gt;"N/A")),"CONFORME - Control Efectivo ISO 27001","OBSERVACIÓN - Revisar Controles")))</f>
        <v/>
      </c>
    </row>
    <row r="591">
      <c r="A591">
        <f>IF(INVENTARIO!A591="","",INVENTARIO!A591)</f>
        <v/>
      </c>
      <c r="B591">
        <f>IF(INVENTARIO!E591="","",INVENTARIO!E591)</f>
        <v/>
      </c>
      <c r="C591">
        <f>IF(INVENTARIO!F591="","",INVENTARIO!F591)</f>
        <v/>
      </c>
      <c r="D591">
        <f>IF(INVENTARIO!H591="","",INVENTARIO!H591)</f>
        <v/>
      </c>
      <c r="E591">
        <f>IF(INVENTARIO!I591="","",INVENTARIO!I591)</f>
        <v/>
      </c>
      <c r="F591">
        <f>IF(INVENTARIO!N591="","",INVENTARIO!N591)</f>
        <v/>
      </c>
      <c r="G591">
        <f>IF(INVENTARIO!P591="","",INVENTARIO!P591)</f>
        <v/>
      </c>
      <c r="H591">
        <f>IF(INVENTARIO!Q591="","",INVENTARIO!Q591)</f>
        <v/>
      </c>
      <c r="I591">
        <f>IF(INVENTARIO!R591="","",INVENTARIO!R591)</f>
        <v/>
      </c>
      <c r="J591">
        <f>IF(G591="PUBLICA(1)",1,IF(G591="USO INTERNO(2)",2,IF(G591="RESTRINGIDO(3)",3,0)))+IF(H591="BAJA(1)",1,IF(H591="MEDIA(2)",2,IF(H591="ALTA(3)",3,0)))+IF(I591="BAJA(1)",1,IF(I591="MEDIA(2)",2,IF(I591="ALTA(3)",3,0)))</f>
        <v/>
      </c>
      <c r="K591">
        <f>IF(J591="", "", IF(J591&gt;=8,"ALTA",IF(J591&gt;=6,"MEDIA","BAJA")))</f>
        <v/>
      </c>
      <c r="L591">
        <f>IF(INVENTARIO!Y591="","",INVENTARIO!Y591)</f>
        <v/>
      </c>
      <c r="M591">
        <f>IF(INVENTARIO!Z591="","",INVENTARIO!Z591)</f>
        <v/>
      </c>
      <c r="N591">
        <f>IF(INVENTARIO!AA591="","",INVENTARIO!AA591)</f>
        <v/>
      </c>
      <c r="O591">
        <f>IF(INVENTARIO!AB591="","",INVENTARIO!AB591)</f>
        <v/>
      </c>
      <c r="P591">
        <f>IF(INVENTARIO!AC591="","",INVENTARIO!AC591)</f>
        <v/>
      </c>
      <c r="Q591">
        <f>IF(AND(K591="",N591="",L591=""),"",IF(AND((K591="ALTA"),OR(LEFT(N591,2)="L0",LEFT(N591,2)="L1",L591="No Iniciado")),"CRÍTICO - Incumplimiento Normativo SEPS",IF(AND(OR(LEFT(N591,2)="L4",LEFT(N591,2)="L5"),AND(P591&lt;&gt;"",P591&lt;&gt;"N/A")),"CONFORME - Control Efectivo ISO 27001","OBSERVACIÓN - Revisar Controles")))</f>
        <v/>
      </c>
    </row>
    <row r="592">
      <c r="A592">
        <f>IF(INVENTARIO!A592="","",INVENTARIO!A592)</f>
        <v/>
      </c>
      <c r="B592">
        <f>IF(INVENTARIO!E592="","",INVENTARIO!E592)</f>
        <v/>
      </c>
      <c r="C592">
        <f>IF(INVENTARIO!F592="","",INVENTARIO!F592)</f>
        <v/>
      </c>
      <c r="D592">
        <f>IF(INVENTARIO!H592="","",INVENTARIO!H592)</f>
        <v/>
      </c>
      <c r="E592">
        <f>IF(INVENTARIO!I592="","",INVENTARIO!I592)</f>
        <v/>
      </c>
      <c r="F592">
        <f>IF(INVENTARIO!N592="","",INVENTARIO!N592)</f>
        <v/>
      </c>
      <c r="G592">
        <f>IF(INVENTARIO!P592="","",INVENTARIO!P592)</f>
        <v/>
      </c>
      <c r="H592">
        <f>IF(INVENTARIO!Q592="","",INVENTARIO!Q592)</f>
        <v/>
      </c>
      <c r="I592">
        <f>IF(INVENTARIO!R592="","",INVENTARIO!R592)</f>
        <v/>
      </c>
      <c r="J592">
        <f>IF(G592="PUBLICA(1)",1,IF(G592="USO INTERNO(2)",2,IF(G592="RESTRINGIDO(3)",3,0)))+IF(H592="BAJA(1)",1,IF(H592="MEDIA(2)",2,IF(H592="ALTA(3)",3,0)))+IF(I592="BAJA(1)",1,IF(I592="MEDIA(2)",2,IF(I592="ALTA(3)",3,0)))</f>
        <v/>
      </c>
      <c r="K592">
        <f>IF(J592="", "", IF(J592&gt;=8,"ALTA",IF(J592&gt;=6,"MEDIA","BAJA")))</f>
        <v/>
      </c>
      <c r="L592">
        <f>IF(INVENTARIO!Y592="","",INVENTARIO!Y592)</f>
        <v/>
      </c>
      <c r="M592">
        <f>IF(INVENTARIO!Z592="","",INVENTARIO!Z592)</f>
        <v/>
      </c>
      <c r="N592">
        <f>IF(INVENTARIO!AA592="","",INVENTARIO!AA592)</f>
        <v/>
      </c>
      <c r="O592">
        <f>IF(INVENTARIO!AB592="","",INVENTARIO!AB592)</f>
        <v/>
      </c>
      <c r="P592">
        <f>IF(INVENTARIO!AC592="","",INVENTARIO!AC592)</f>
        <v/>
      </c>
      <c r="Q592">
        <f>IF(AND(K592="",N592="",L592=""),"",IF(AND((K592="ALTA"),OR(LEFT(N592,2)="L0",LEFT(N592,2)="L1",L592="No Iniciado")),"CRÍTICO - Incumplimiento Normativo SEPS",IF(AND(OR(LEFT(N592,2)="L4",LEFT(N592,2)="L5"),AND(P592&lt;&gt;"",P592&lt;&gt;"N/A")),"CONFORME - Control Efectivo ISO 27001","OBSERVACIÓN - Revisar Controles")))</f>
        <v/>
      </c>
    </row>
    <row r="593">
      <c r="A593">
        <f>IF(INVENTARIO!A593="","",INVENTARIO!A593)</f>
        <v/>
      </c>
      <c r="B593">
        <f>IF(INVENTARIO!E593="","",INVENTARIO!E593)</f>
        <v/>
      </c>
      <c r="C593">
        <f>IF(INVENTARIO!F593="","",INVENTARIO!F593)</f>
        <v/>
      </c>
      <c r="D593">
        <f>IF(INVENTARIO!H593="","",INVENTARIO!H593)</f>
        <v/>
      </c>
      <c r="E593">
        <f>IF(INVENTARIO!I593="","",INVENTARIO!I593)</f>
        <v/>
      </c>
      <c r="F593">
        <f>IF(INVENTARIO!N593="","",INVENTARIO!N593)</f>
        <v/>
      </c>
      <c r="G593">
        <f>IF(INVENTARIO!P593="","",INVENTARIO!P593)</f>
        <v/>
      </c>
      <c r="H593">
        <f>IF(INVENTARIO!Q593="","",INVENTARIO!Q593)</f>
        <v/>
      </c>
      <c r="I593">
        <f>IF(INVENTARIO!R593="","",INVENTARIO!R593)</f>
        <v/>
      </c>
      <c r="J593">
        <f>IF(G593="PUBLICA(1)",1,IF(G593="USO INTERNO(2)",2,IF(G593="RESTRINGIDO(3)",3,0)))+IF(H593="BAJA(1)",1,IF(H593="MEDIA(2)",2,IF(H593="ALTA(3)",3,0)))+IF(I593="BAJA(1)",1,IF(I593="MEDIA(2)",2,IF(I593="ALTA(3)",3,0)))</f>
        <v/>
      </c>
      <c r="K593">
        <f>IF(J593="", "", IF(J593&gt;=8,"ALTA",IF(J593&gt;=6,"MEDIA","BAJA")))</f>
        <v/>
      </c>
      <c r="L593">
        <f>IF(INVENTARIO!Y593="","",INVENTARIO!Y593)</f>
        <v/>
      </c>
      <c r="M593">
        <f>IF(INVENTARIO!Z593="","",INVENTARIO!Z593)</f>
        <v/>
      </c>
      <c r="N593">
        <f>IF(INVENTARIO!AA593="","",INVENTARIO!AA593)</f>
        <v/>
      </c>
      <c r="O593">
        <f>IF(INVENTARIO!AB593="","",INVENTARIO!AB593)</f>
        <v/>
      </c>
      <c r="P593">
        <f>IF(INVENTARIO!AC593="","",INVENTARIO!AC593)</f>
        <v/>
      </c>
      <c r="Q593">
        <f>IF(AND(K593="",N593="",L593=""),"",IF(AND((K593="ALTA"),OR(LEFT(N593,2)="L0",LEFT(N593,2)="L1",L593="No Iniciado")),"CRÍTICO - Incumplimiento Normativo SEPS",IF(AND(OR(LEFT(N593,2)="L4",LEFT(N593,2)="L5"),AND(P593&lt;&gt;"",P593&lt;&gt;"N/A")),"CONFORME - Control Efectivo ISO 27001","OBSERVACIÓN - Revisar Controles")))</f>
        <v/>
      </c>
    </row>
    <row r="594">
      <c r="A594">
        <f>IF(INVENTARIO!A594="","",INVENTARIO!A594)</f>
        <v/>
      </c>
      <c r="B594">
        <f>IF(INVENTARIO!E594="","",INVENTARIO!E594)</f>
        <v/>
      </c>
      <c r="C594">
        <f>IF(INVENTARIO!F594="","",INVENTARIO!F594)</f>
        <v/>
      </c>
      <c r="D594">
        <f>IF(INVENTARIO!H594="","",INVENTARIO!H594)</f>
        <v/>
      </c>
      <c r="E594">
        <f>IF(INVENTARIO!I594="","",INVENTARIO!I594)</f>
        <v/>
      </c>
      <c r="F594">
        <f>IF(INVENTARIO!N594="","",INVENTARIO!N594)</f>
        <v/>
      </c>
      <c r="G594">
        <f>IF(INVENTARIO!P594="","",INVENTARIO!P594)</f>
        <v/>
      </c>
      <c r="H594">
        <f>IF(INVENTARIO!Q594="","",INVENTARIO!Q594)</f>
        <v/>
      </c>
      <c r="I594">
        <f>IF(INVENTARIO!R594="","",INVENTARIO!R594)</f>
        <v/>
      </c>
      <c r="J594">
        <f>IF(G594="PUBLICA(1)",1,IF(G594="USO INTERNO(2)",2,IF(G594="RESTRINGIDO(3)",3,0)))+IF(H594="BAJA(1)",1,IF(H594="MEDIA(2)",2,IF(H594="ALTA(3)",3,0)))+IF(I594="BAJA(1)",1,IF(I594="MEDIA(2)",2,IF(I594="ALTA(3)",3,0)))</f>
        <v/>
      </c>
      <c r="K594">
        <f>IF(J594="", "", IF(J594&gt;=8,"ALTA",IF(J594&gt;=6,"MEDIA","BAJA")))</f>
        <v/>
      </c>
      <c r="L594">
        <f>IF(INVENTARIO!Y594="","",INVENTARIO!Y594)</f>
        <v/>
      </c>
      <c r="M594">
        <f>IF(INVENTARIO!Z594="","",INVENTARIO!Z594)</f>
        <v/>
      </c>
      <c r="N594">
        <f>IF(INVENTARIO!AA594="","",INVENTARIO!AA594)</f>
        <v/>
      </c>
      <c r="O594">
        <f>IF(INVENTARIO!AB594="","",INVENTARIO!AB594)</f>
        <v/>
      </c>
      <c r="P594">
        <f>IF(INVENTARIO!AC594="","",INVENTARIO!AC594)</f>
        <v/>
      </c>
      <c r="Q594">
        <f>IF(AND(K594="",N594="",L594=""),"",IF(AND((K594="ALTA"),OR(LEFT(N594,2)="L0",LEFT(N594,2)="L1",L594="No Iniciado")),"CRÍTICO - Incumplimiento Normativo SEPS",IF(AND(OR(LEFT(N594,2)="L4",LEFT(N594,2)="L5"),AND(P594&lt;&gt;"",P594&lt;&gt;"N/A")),"CONFORME - Control Efectivo ISO 27001","OBSERVACIÓN - Revisar Controles")))</f>
        <v/>
      </c>
    </row>
    <row r="595">
      <c r="A595">
        <f>IF(INVENTARIO!A595="","",INVENTARIO!A595)</f>
        <v/>
      </c>
      <c r="B595">
        <f>IF(INVENTARIO!E595="","",INVENTARIO!E595)</f>
        <v/>
      </c>
      <c r="C595">
        <f>IF(INVENTARIO!F595="","",INVENTARIO!F595)</f>
        <v/>
      </c>
      <c r="D595">
        <f>IF(INVENTARIO!H595="","",INVENTARIO!H595)</f>
        <v/>
      </c>
      <c r="E595">
        <f>IF(INVENTARIO!I595="","",INVENTARIO!I595)</f>
        <v/>
      </c>
      <c r="F595">
        <f>IF(INVENTARIO!N595="","",INVENTARIO!N595)</f>
        <v/>
      </c>
      <c r="G595">
        <f>IF(INVENTARIO!P595="","",INVENTARIO!P595)</f>
        <v/>
      </c>
      <c r="H595">
        <f>IF(INVENTARIO!Q595="","",INVENTARIO!Q595)</f>
        <v/>
      </c>
      <c r="I595">
        <f>IF(INVENTARIO!R595="","",INVENTARIO!R595)</f>
        <v/>
      </c>
      <c r="J595">
        <f>IF(G595="PUBLICA(1)",1,IF(G595="USO INTERNO(2)",2,IF(G595="RESTRINGIDO(3)",3,0)))+IF(H595="BAJA(1)",1,IF(H595="MEDIA(2)",2,IF(H595="ALTA(3)",3,0)))+IF(I595="BAJA(1)",1,IF(I595="MEDIA(2)",2,IF(I595="ALTA(3)",3,0)))</f>
        <v/>
      </c>
      <c r="K595">
        <f>IF(J595="", "", IF(J595&gt;=8,"ALTA",IF(J595&gt;=6,"MEDIA","BAJA")))</f>
        <v/>
      </c>
      <c r="L595">
        <f>IF(INVENTARIO!Y595="","",INVENTARIO!Y595)</f>
        <v/>
      </c>
      <c r="M595">
        <f>IF(INVENTARIO!Z595="","",INVENTARIO!Z595)</f>
        <v/>
      </c>
      <c r="N595">
        <f>IF(INVENTARIO!AA595="","",INVENTARIO!AA595)</f>
        <v/>
      </c>
      <c r="O595">
        <f>IF(INVENTARIO!AB595="","",INVENTARIO!AB595)</f>
        <v/>
      </c>
      <c r="P595">
        <f>IF(INVENTARIO!AC595="","",INVENTARIO!AC595)</f>
        <v/>
      </c>
      <c r="Q595">
        <f>IF(AND(K595="",N595="",L595=""),"",IF(AND((K595="ALTA"),OR(LEFT(N595,2)="L0",LEFT(N595,2)="L1",L595="No Iniciado")),"CRÍTICO - Incumplimiento Normativo SEPS",IF(AND(OR(LEFT(N595,2)="L4",LEFT(N595,2)="L5"),AND(P595&lt;&gt;"",P595&lt;&gt;"N/A")),"CONFORME - Control Efectivo ISO 27001","OBSERVACIÓN - Revisar Controles")))</f>
        <v/>
      </c>
    </row>
    <row r="596">
      <c r="A596">
        <f>IF(INVENTARIO!A596="","",INVENTARIO!A596)</f>
        <v/>
      </c>
      <c r="B596">
        <f>IF(INVENTARIO!E596="","",INVENTARIO!E596)</f>
        <v/>
      </c>
      <c r="C596">
        <f>IF(INVENTARIO!F596="","",INVENTARIO!F596)</f>
        <v/>
      </c>
      <c r="D596">
        <f>IF(INVENTARIO!H596="","",INVENTARIO!H596)</f>
        <v/>
      </c>
      <c r="E596">
        <f>IF(INVENTARIO!I596="","",INVENTARIO!I596)</f>
        <v/>
      </c>
      <c r="F596">
        <f>IF(INVENTARIO!N596="","",INVENTARIO!N596)</f>
        <v/>
      </c>
      <c r="G596">
        <f>IF(INVENTARIO!P596="","",INVENTARIO!P596)</f>
        <v/>
      </c>
      <c r="H596">
        <f>IF(INVENTARIO!Q596="","",INVENTARIO!Q596)</f>
        <v/>
      </c>
      <c r="I596">
        <f>IF(INVENTARIO!R596="","",INVENTARIO!R596)</f>
        <v/>
      </c>
      <c r="J596">
        <f>IF(G596="PUBLICA(1)",1,IF(G596="USO INTERNO(2)",2,IF(G596="RESTRINGIDO(3)",3,0)))+IF(H596="BAJA(1)",1,IF(H596="MEDIA(2)",2,IF(H596="ALTA(3)",3,0)))+IF(I596="BAJA(1)",1,IF(I596="MEDIA(2)",2,IF(I596="ALTA(3)",3,0)))</f>
        <v/>
      </c>
      <c r="K596">
        <f>IF(J596="", "", IF(J596&gt;=8,"ALTA",IF(J596&gt;=6,"MEDIA","BAJA")))</f>
        <v/>
      </c>
      <c r="L596">
        <f>IF(INVENTARIO!Y596="","",INVENTARIO!Y596)</f>
        <v/>
      </c>
      <c r="M596">
        <f>IF(INVENTARIO!Z596="","",INVENTARIO!Z596)</f>
        <v/>
      </c>
      <c r="N596">
        <f>IF(INVENTARIO!AA596="","",INVENTARIO!AA596)</f>
        <v/>
      </c>
      <c r="O596">
        <f>IF(INVENTARIO!AB596="","",INVENTARIO!AB596)</f>
        <v/>
      </c>
      <c r="P596">
        <f>IF(INVENTARIO!AC596="","",INVENTARIO!AC596)</f>
        <v/>
      </c>
      <c r="Q596">
        <f>IF(AND(K596="",N596="",L596=""),"",IF(AND((K596="ALTA"),OR(LEFT(N596,2)="L0",LEFT(N596,2)="L1",L596="No Iniciado")),"CRÍTICO - Incumplimiento Normativo SEPS",IF(AND(OR(LEFT(N596,2)="L4",LEFT(N596,2)="L5"),AND(P596&lt;&gt;"",P596&lt;&gt;"N/A")),"CONFORME - Control Efectivo ISO 27001","OBSERVACIÓN - Revisar Controles")))</f>
        <v/>
      </c>
    </row>
    <row r="597">
      <c r="A597">
        <f>IF(INVENTARIO!A597="","",INVENTARIO!A597)</f>
        <v/>
      </c>
      <c r="B597">
        <f>IF(INVENTARIO!E597="","",INVENTARIO!E597)</f>
        <v/>
      </c>
      <c r="C597">
        <f>IF(INVENTARIO!F597="","",INVENTARIO!F597)</f>
        <v/>
      </c>
      <c r="D597">
        <f>IF(INVENTARIO!H597="","",INVENTARIO!H597)</f>
        <v/>
      </c>
      <c r="E597">
        <f>IF(INVENTARIO!I597="","",INVENTARIO!I597)</f>
        <v/>
      </c>
      <c r="F597">
        <f>IF(INVENTARIO!N597="","",INVENTARIO!N597)</f>
        <v/>
      </c>
      <c r="G597">
        <f>IF(INVENTARIO!P597="","",INVENTARIO!P597)</f>
        <v/>
      </c>
      <c r="H597">
        <f>IF(INVENTARIO!Q597="","",INVENTARIO!Q597)</f>
        <v/>
      </c>
      <c r="I597">
        <f>IF(INVENTARIO!R597="","",INVENTARIO!R597)</f>
        <v/>
      </c>
      <c r="J597">
        <f>IF(G597="PUBLICA(1)",1,IF(G597="USO INTERNO(2)",2,IF(G597="RESTRINGIDO(3)",3,0)))+IF(H597="BAJA(1)",1,IF(H597="MEDIA(2)",2,IF(H597="ALTA(3)",3,0)))+IF(I597="BAJA(1)",1,IF(I597="MEDIA(2)",2,IF(I597="ALTA(3)",3,0)))</f>
        <v/>
      </c>
      <c r="K597">
        <f>IF(J597="", "", IF(J597&gt;=8,"ALTA",IF(J597&gt;=6,"MEDIA","BAJA")))</f>
        <v/>
      </c>
      <c r="L597">
        <f>IF(INVENTARIO!Y597="","",INVENTARIO!Y597)</f>
        <v/>
      </c>
      <c r="M597">
        <f>IF(INVENTARIO!Z597="","",INVENTARIO!Z597)</f>
        <v/>
      </c>
      <c r="N597">
        <f>IF(INVENTARIO!AA597="","",INVENTARIO!AA597)</f>
        <v/>
      </c>
      <c r="O597">
        <f>IF(INVENTARIO!AB597="","",INVENTARIO!AB597)</f>
        <v/>
      </c>
      <c r="P597">
        <f>IF(INVENTARIO!AC597="","",INVENTARIO!AC597)</f>
        <v/>
      </c>
      <c r="Q597">
        <f>IF(AND(K597="",N597="",L597=""),"",IF(AND((K597="ALTA"),OR(LEFT(N597,2)="L0",LEFT(N597,2)="L1",L597="No Iniciado")),"CRÍTICO - Incumplimiento Normativo SEPS",IF(AND(OR(LEFT(N597,2)="L4",LEFT(N597,2)="L5"),AND(P597&lt;&gt;"",P597&lt;&gt;"N/A")),"CONFORME - Control Efectivo ISO 27001","OBSERVACIÓN - Revisar Controles")))</f>
        <v/>
      </c>
    </row>
    <row r="598">
      <c r="A598">
        <f>IF(INVENTARIO!A598="","",INVENTARIO!A598)</f>
        <v/>
      </c>
      <c r="B598">
        <f>IF(INVENTARIO!E598="","",INVENTARIO!E598)</f>
        <v/>
      </c>
      <c r="C598">
        <f>IF(INVENTARIO!F598="","",INVENTARIO!F598)</f>
        <v/>
      </c>
      <c r="D598">
        <f>IF(INVENTARIO!H598="","",INVENTARIO!H598)</f>
        <v/>
      </c>
      <c r="E598">
        <f>IF(INVENTARIO!I598="","",INVENTARIO!I598)</f>
        <v/>
      </c>
      <c r="F598">
        <f>IF(INVENTARIO!N598="","",INVENTARIO!N598)</f>
        <v/>
      </c>
      <c r="G598">
        <f>IF(INVENTARIO!P598="","",INVENTARIO!P598)</f>
        <v/>
      </c>
      <c r="H598">
        <f>IF(INVENTARIO!Q598="","",INVENTARIO!Q598)</f>
        <v/>
      </c>
      <c r="I598">
        <f>IF(INVENTARIO!R598="","",INVENTARIO!R598)</f>
        <v/>
      </c>
      <c r="J598">
        <f>IF(G598="PUBLICA(1)",1,IF(G598="USO INTERNO(2)",2,IF(G598="RESTRINGIDO(3)",3,0)))+IF(H598="BAJA(1)",1,IF(H598="MEDIA(2)",2,IF(H598="ALTA(3)",3,0)))+IF(I598="BAJA(1)",1,IF(I598="MEDIA(2)",2,IF(I598="ALTA(3)",3,0)))</f>
        <v/>
      </c>
      <c r="K598">
        <f>IF(J598="", "", IF(J598&gt;=8,"ALTA",IF(J598&gt;=6,"MEDIA","BAJA")))</f>
        <v/>
      </c>
      <c r="L598">
        <f>IF(INVENTARIO!Y598="","",INVENTARIO!Y598)</f>
        <v/>
      </c>
      <c r="M598">
        <f>IF(INVENTARIO!Z598="","",INVENTARIO!Z598)</f>
        <v/>
      </c>
      <c r="N598">
        <f>IF(INVENTARIO!AA598="","",INVENTARIO!AA598)</f>
        <v/>
      </c>
      <c r="O598">
        <f>IF(INVENTARIO!AB598="","",INVENTARIO!AB598)</f>
        <v/>
      </c>
      <c r="P598">
        <f>IF(INVENTARIO!AC598="","",INVENTARIO!AC598)</f>
        <v/>
      </c>
      <c r="Q598">
        <f>IF(AND(K598="",N598="",L598=""),"",IF(AND((K598="ALTA"),OR(LEFT(N598,2)="L0",LEFT(N598,2)="L1",L598="No Iniciado")),"CRÍTICO - Incumplimiento Normativo SEPS",IF(AND(OR(LEFT(N598,2)="L4",LEFT(N598,2)="L5"),AND(P598&lt;&gt;"",P598&lt;&gt;"N/A")),"CONFORME - Control Efectivo ISO 27001","OBSERVACIÓN - Revisar Controles")))</f>
        <v/>
      </c>
    </row>
    <row r="599">
      <c r="A599">
        <f>IF(INVENTARIO!A599="","",INVENTARIO!A599)</f>
        <v/>
      </c>
      <c r="B599">
        <f>IF(INVENTARIO!E599="","",INVENTARIO!E599)</f>
        <v/>
      </c>
      <c r="C599">
        <f>IF(INVENTARIO!F599="","",INVENTARIO!F599)</f>
        <v/>
      </c>
      <c r="D599">
        <f>IF(INVENTARIO!H599="","",INVENTARIO!H599)</f>
        <v/>
      </c>
      <c r="E599">
        <f>IF(INVENTARIO!I599="","",INVENTARIO!I599)</f>
        <v/>
      </c>
      <c r="F599">
        <f>IF(INVENTARIO!N599="","",INVENTARIO!N599)</f>
        <v/>
      </c>
      <c r="G599">
        <f>IF(INVENTARIO!P599="","",INVENTARIO!P599)</f>
        <v/>
      </c>
      <c r="H599">
        <f>IF(INVENTARIO!Q599="","",INVENTARIO!Q599)</f>
        <v/>
      </c>
      <c r="I599">
        <f>IF(INVENTARIO!R599="","",INVENTARIO!R599)</f>
        <v/>
      </c>
      <c r="J599">
        <f>IF(G599="PUBLICA(1)",1,IF(G599="USO INTERNO(2)",2,IF(G599="RESTRINGIDO(3)",3,0)))+IF(H599="BAJA(1)",1,IF(H599="MEDIA(2)",2,IF(H599="ALTA(3)",3,0)))+IF(I599="BAJA(1)",1,IF(I599="MEDIA(2)",2,IF(I599="ALTA(3)",3,0)))</f>
        <v/>
      </c>
      <c r="K599">
        <f>IF(J599="", "", IF(J599&gt;=8,"ALTA",IF(J599&gt;=6,"MEDIA","BAJA")))</f>
        <v/>
      </c>
      <c r="L599">
        <f>IF(INVENTARIO!Y599="","",INVENTARIO!Y599)</f>
        <v/>
      </c>
      <c r="M599">
        <f>IF(INVENTARIO!Z599="","",INVENTARIO!Z599)</f>
        <v/>
      </c>
      <c r="N599">
        <f>IF(INVENTARIO!AA599="","",INVENTARIO!AA599)</f>
        <v/>
      </c>
      <c r="O599">
        <f>IF(INVENTARIO!AB599="","",INVENTARIO!AB599)</f>
        <v/>
      </c>
      <c r="P599">
        <f>IF(INVENTARIO!AC599="","",INVENTARIO!AC599)</f>
        <v/>
      </c>
      <c r="Q599">
        <f>IF(AND(K599="",N599="",L599=""),"",IF(AND((K599="ALTA"),OR(LEFT(N599,2)="L0",LEFT(N599,2)="L1",L599="No Iniciado")),"CRÍTICO - Incumplimiento Normativo SEPS",IF(AND(OR(LEFT(N599,2)="L4",LEFT(N599,2)="L5"),AND(P599&lt;&gt;"",P599&lt;&gt;"N/A")),"CONFORME - Control Efectivo ISO 27001","OBSERVACIÓN - Revisar Controles")))</f>
        <v/>
      </c>
    </row>
    <row r="600">
      <c r="A600">
        <f>IF(INVENTARIO!A600="","",INVENTARIO!A600)</f>
        <v/>
      </c>
      <c r="B600">
        <f>IF(INVENTARIO!E600="","",INVENTARIO!E600)</f>
        <v/>
      </c>
      <c r="C600">
        <f>IF(INVENTARIO!F600="","",INVENTARIO!F600)</f>
        <v/>
      </c>
      <c r="D600">
        <f>IF(INVENTARIO!H600="","",INVENTARIO!H600)</f>
        <v/>
      </c>
      <c r="E600">
        <f>IF(INVENTARIO!I600="","",INVENTARIO!I600)</f>
        <v/>
      </c>
      <c r="F600">
        <f>IF(INVENTARIO!N600="","",INVENTARIO!N600)</f>
        <v/>
      </c>
      <c r="G600">
        <f>IF(INVENTARIO!P600="","",INVENTARIO!P600)</f>
        <v/>
      </c>
      <c r="H600">
        <f>IF(INVENTARIO!Q600="","",INVENTARIO!Q600)</f>
        <v/>
      </c>
      <c r="I600">
        <f>IF(INVENTARIO!R600="","",INVENTARIO!R600)</f>
        <v/>
      </c>
      <c r="J600">
        <f>IF(G600="PUBLICA(1)",1,IF(G600="USO INTERNO(2)",2,IF(G600="RESTRINGIDO(3)",3,0)))+IF(H600="BAJA(1)",1,IF(H600="MEDIA(2)",2,IF(H600="ALTA(3)",3,0)))+IF(I600="BAJA(1)",1,IF(I600="MEDIA(2)",2,IF(I600="ALTA(3)",3,0)))</f>
        <v/>
      </c>
      <c r="K600">
        <f>IF(J600="", "", IF(J600&gt;=8,"ALTA",IF(J600&gt;=6,"MEDIA","BAJA")))</f>
        <v/>
      </c>
      <c r="L600">
        <f>IF(INVENTARIO!Y600="","",INVENTARIO!Y600)</f>
        <v/>
      </c>
      <c r="M600">
        <f>IF(INVENTARIO!Z600="","",INVENTARIO!Z600)</f>
        <v/>
      </c>
      <c r="N600">
        <f>IF(INVENTARIO!AA600="","",INVENTARIO!AA600)</f>
        <v/>
      </c>
      <c r="O600">
        <f>IF(INVENTARIO!AB600="","",INVENTARIO!AB600)</f>
        <v/>
      </c>
      <c r="P600">
        <f>IF(INVENTARIO!AC600="","",INVENTARIO!AC600)</f>
        <v/>
      </c>
      <c r="Q600">
        <f>IF(AND(K600="",N600="",L600=""),"",IF(AND((K600="ALTA"),OR(LEFT(N600,2)="L0",LEFT(N600,2)="L1",L600="No Iniciado")),"CRÍTICO - Incumplimiento Normativo SEPS",IF(AND(OR(LEFT(N600,2)="L4",LEFT(N600,2)="L5"),AND(P600&lt;&gt;"",P600&lt;&gt;"N/A")),"CONFORME - Control Efectivo ISO 27001","OBSERVACIÓN - Revisar Controles")))</f>
        <v/>
      </c>
    </row>
    <row r="601">
      <c r="A601">
        <f>IF(INVENTARIO!A601="","",INVENTARIO!A601)</f>
        <v/>
      </c>
      <c r="B601">
        <f>IF(INVENTARIO!E601="","",INVENTARIO!E601)</f>
        <v/>
      </c>
      <c r="C601">
        <f>IF(INVENTARIO!F601="","",INVENTARIO!F601)</f>
        <v/>
      </c>
      <c r="D601">
        <f>IF(INVENTARIO!H601="","",INVENTARIO!H601)</f>
        <v/>
      </c>
      <c r="E601">
        <f>IF(INVENTARIO!I601="","",INVENTARIO!I601)</f>
        <v/>
      </c>
      <c r="F601">
        <f>IF(INVENTARIO!N601="","",INVENTARIO!N601)</f>
        <v/>
      </c>
      <c r="G601">
        <f>IF(INVENTARIO!P601="","",INVENTARIO!P601)</f>
        <v/>
      </c>
      <c r="H601">
        <f>IF(INVENTARIO!Q601="","",INVENTARIO!Q601)</f>
        <v/>
      </c>
      <c r="I601">
        <f>IF(INVENTARIO!R601="","",INVENTARIO!R601)</f>
        <v/>
      </c>
      <c r="J601">
        <f>IF(G601="PUBLICA(1)",1,IF(G601="USO INTERNO(2)",2,IF(G601="RESTRINGIDO(3)",3,0)))+IF(H601="BAJA(1)",1,IF(H601="MEDIA(2)",2,IF(H601="ALTA(3)",3,0)))+IF(I601="BAJA(1)",1,IF(I601="MEDIA(2)",2,IF(I601="ALTA(3)",3,0)))</f>
        <v/>
      </c>
      <c r="K601">
        <f>IF(J601="", "", IF(J601&gt;=8,"ALTA",IF(J601&gt;=6,"MEDIA","BAJA")))</f>
        <v/>
      </c>
      <c r="L601">
        <f>IF(INVENTARIO!Y601="","",INVENTARIO!Y601)</f>
        <v/>
      </c>
      <c r="M601">
        <f>IF(INVENTARIO!Z601="","",INVENTARIO!Z601)</f>
        <v/>
      </c>
      <c r="N601">
        <f>IF(INVENTARIO!AA601="","",INVENTARIO!AA601)</f>
        <v/>
      </c>
      <c r="O601">
        <f>IF(INVENTARIO!AB601="","",INVENTARIO!AB601)</f>
        <v/>
      </c>
      <c r="P601">
        <f>IF(INVENTARIO!AC601="","",INVENTARIO!AC601)</f>
        <v/>
      </c>
      <c r="Q601">
        <f>IF(AND(K601="",N601="",L601=""),"",IF(AND((K601="ALTA"),OR(LEFT(N601,2)="L0",LEFT(N601,2)="L1",L601="No Iniciado")),"CRÍTICO - Incumplimiento Normativo SEPS",IF(AND(OR(LEFT(N601,2)="L4",LEFT(N601,2)="L5"),AND(P601&lt;&gt;"",P601&lt;&gt;"N/A")),"CONFORME - Control Efectivo ISO 27001","OBSERVACIÓN - Revisar Controles")))</f>
        <v/>
      </c>
    </row>
    <row r="602">
      <c r="A602">
        <f>IF(INVENTARIO!A602="","",INVENTARIO!A602)</f>
        <v/>
      </c>
      <c r="B602">
        <f>IF(INVENTARIO!E602="","",INVENTARIO!E602)</f>
        <v/>
      </c>
      <c r="C602">
        <f>IF(INVENTARIO!F602="","",INVENTARIO!F602)</f>
        <v/>
      </c>
      <c r="D602">
        <f>IF(INVENTARIO!H602="","",INVENTARIO!H602)</f>
        <v/>
      </c>
      <c r="E602">
        <f>IF(INVENTARIO!I602="","",INVENTARIO!I602)</f>
        <v/>
      </c>
      <c r="F602">
        <f>IF(INVENTARIO!N602="","",INVENTARIO!N602)</f>
        <v/>
      </c>
      <c r="G602">
        <f>IF(INVENTARIO!P602="","",INVENTARIO!P602)</f>
        <v/>
      </c>
      <c r="H602">
        <f>IF(INVENTARIO!Q602="","",INVENTARIO!Q602)</f>
        <v/>
      </c>
      <c r="I602">
        <f>IF(INVENTARIO!R602="","",INVENTARIO!R602)</f>
        <v/>
      </c>
      <c r="J602">
        <f>IF(G602="PUBLICA(1)",1,IF(G602="USO INTERNO(2)",2,IF(G602="RESTRINGIDO(3)",3,0)))+IF(H602="BAJA(1)",1,IF(H602="MEDIA(2)",2,IF(H602="ALTA(3)",3,0)))+IF(I602="BAJA(1)",1,IF(I602="MEDIA(2)",2,IF(I602="ALTA(3)",3,0)))</f>
        <v/>
      </c>
      <c r="K602">
        <f>IF(J602="", "", IF(J602&gt;=8,"ALTA",IF(J602&gt;=6,"MEDIA","BAJA")))</f>
        <v/>
      </c>
      <c r="L602">
        <f>IF(INVENTARIO!Y602="","",INVENTARIO!Y602)</f>
        <v/>
      </c>
      <c r="M602">
        <f>IF(INVENTARIO!Z602="","",INVENTARIO!Z602)</f>
        <v/>
      </c>
      <c r="N602">
        <f>IF(INVENTARIO!AA602="","",INVENTARIO!AA602)</f>
        <v/>
      </c>
      <c r="O602">
        <f>IF(INVENTARIO!AB602="","",INVENTARIO!AB602)</f>
        <v/>
      </c>
      <c r="P602">
        <f>IF(INVENTARIO!AC602="","",INVENTARIO!AC602)</f>
        <v/>
      </c>
      <c r="Q602">
        <f>IF(AND(K602="",N602="",L602=""),"",IF(AND((K602="ALTA"),OR(LEFT(N602,2)="L0",LEFT(N602,2)="L1",L602="No Iniciado")),"CRÍTICO - Incumplimiento Normativo SEPS",IF(AND(OR(LEFT(N602,2)="L4",LEFT(N602,2)="L5"),AND(P602&lt;&gt;"",P602&lt;&gt;"N/A")),"CONFORME - Control Efectivo ISO 27001","OBSERVACIÓN - Revisar Controles")))</f>
        <v/>
      </c>
    </row>
    <row r="603">
      <c r="A603">
        <f>IF(INVENTARIO!A603="","",INVENTARIO!A603)</f>
        <v/>
      </c>
      <c r="B603">
        <f>IF(INVENTARIO!E603="","",INVENTARIO!E603)</f>
        <v/>
      </c>
      <c r="C603">
        <f>IF(INVENTARIO!F603="","",INVENTARIO!F603)</f>
        <v/>
      </c>
      <c r="D603">
        <f>IF(INVENTARIO!H603="","",INVENTARIO!H603)</f>
        <v/>
      </c>
      <c r="E603">
        <f>IF(INVENTARIO!I603="","",INVENTARIO!I603)</f>
        <v/>
      </c>
      <c r="F603">
        <f>IF(INVENTARIO!N603="","",INVENTARIO!N603)</f>
        <v/>
      </c>
      <c r="G603">
        <f>IF(INVENTARIO!P603="","",INVENTARIO!P603)</f>
        <v/>
      </c>
      <c r="H603">
        <f>IF(INVENTARIO!Q603="","",INVENTARIO!Q603)</f>
        <v/>
      </c>
      <c r="I603">
        <f>IF(INVENTARIO!R603="","",INVENTARIO!R603)</f>
        <v/>
      </c>
      <c r="J603">
        <f>IF(G603="PUBLICA(1)",1,IF(G603="USO INTERNO(2)",2,IF(G603="RESTRINGIDO(3)",3,0)))+IF(H603="BAJA(1)",1,IF(H603="MEDIA(2)",2,IF(H603="ALTA(3)",3,0)))+IF(I603="BAJA(1)",1,IF(I603="MEDIA(2)",2,IF(I603="ALTA(3)",3,0)))</f>
        <v/>
      </c>
      <c r="K603">
        <f>IF(J603="", "", IF(J603&gt;=8,"ALTA",IF(J603&gt;=6,"MEDIA","BAJA")))</f>
        <v/>
      </c>
      <c r="L603">
        <f>IF(INVENTARIO!Y603="","",INVENTARIO!Y603)</f>
        <v/>
      </c>
      <c r="M603">
        <f>IF(INVENTARIO!Z603="","",INVENTARIO!Z603)</f>
        <v/>
      </c>
      <c r="N603">
        <f>IF(INVENTARIO!AA603="","",INVENTARIO!AA603)</f>
        <v/>
      </c>
      <c r="O603">
        <f>IF(INVENTARIO!AB603="","",INVENTARIO!AB603)</f>
        <v/>
      </c>
      <c r="P603">
        <f>IF(INVENTARIO!AC603="","",INVENTARIO!AC603)</f>
        <v/>
      </c>
      <c r="Q603">
        <f>IF(AND(K603="",N603="",L603=""),"",IF(AND((K603="ALTA"),OR(LEFT(N603,2)="L0",LEFT(N603,2)="L1",L603="No Iniciado")),"CRÍTICO - Incumplimiento Normativo SEPS",IF(AND(OR(LEFT(N603,2)="L4",LEFT(N603,2)="L5"),AND(P603&lt;&gt;"",P603&lt;&gt;"N/A")),"CONFORME - Control Efectivo ISO 27001","OBSERVACIÓN - Revisar Controles")))</f>
        <v/>
      </c>
    </row>
    <row r="604">
      <c r="A604">
        <f>IF(INVENTARIO!A604="","",INVENTARIO!A604)</f>
        <v/>
      </c>
      <c r="B604">
        <f>IF(INVENTARIO!E604="","",INVENTARIO!E604)</f>
        <v/>
      </c>
      <c r="C604">
        <f>IF(INVENTARIO!F604="","",INVENTARIO!F604)</f>
        <v/>
      </c>
      <c r="D604">
        <f>IF(INVENTARIO!H604="","",INVENTARIO!H604)</f>
        <v/>
      </c>
      <c r="E604">
        <f>IF(INVENTARIO!I604="","",INVENTARIO!I604)</f>
        <v/>
      </c>
      <c r="F604">
        <f>IF(INVENTARIO!N604="","",INVENTARIO!N604)</f>
        <v/>
      </c>
      <c r="G604">
        <f>IF(INVENTARIO!P604="","",INVENTARIO!P604)</f>
        <v/>
      </c>
      <c r="H604">
        <f>IF(INVENTARIO!Q604="","",INVENTARIO!Q604)</f>
        <v/>
      </c>
      <c r="I604">
        <f>IF(INVENTARIO!R604="","",INVENTARIO!R604)</f>
        <v/>
      </c>
      <c r="J604">
        <f>IF(G604="PUBLICA(1)",1,IF(G604="USO INTERNO(2)",2,IF(G604="RESTRINGIDO(3)",3,0)))+IF(H604="BAJA(1)",1,IF(H604="MEDIA(2)",2,IF(H604="ALTA(3)",3,0)))+IF(I604="BAJA(1)",1,IF(I604="MEDIA(2)",2,IF(I604="ALTA(3)",3,0)))</f>
        <v/>
      </c>
      <c r="K604">
        <f>IF(J604="", "", IF(J604&gt;=8,"ALTA",IF(J604&gt;=6,"MEDIA","BAJA")))</f>
        <v/>
      </c>
      <c r="L604">
        <f>IF(INVENTARIO!Y604="","",INVENTARIO!Y604)</f>
        <v/>
      </c>
      <c r="M604">
        <f>IF(INVENTARIO!Z604="","",INVENTARIO!Z604)</f>
        <v/>
      </c>
      <c r="N604">
        <f>IF(INVENTARIO!AA604="","",INVENTARIO!AA604)</f>
        <v/>
      </c>
      <c r="O604">
        <f>IF(INVENTARIO!AB604="","",INVENTARIO!AB604)</f>
        <v/>
      </c>
      <c r="P604">
        <f>IF(INVENTARIO!AC604="","",INVENTARIO!AC604)</f>
        <v/>
      </c>
      <c r="Q604">
        <f>IF(AND(K604="",N604="",L604=""),"",IF(AND((K604="ALTA"),OR(LEFT(N604,2)="L0",LEFT(N604,2)="L1",L604="No Iniciado")),"CRÍTICO - Incumplimiento Normativo SEPS",IF(AND(OR(LEFT(N604,2)="L4",LEFT(N604,2)="L5"),AND(P604&lt;&gt;"",P604&lt;&gt;"N/A")),"CONFORME - Control Efectivo ISO 27001","OBSERVACIÓN - Revisar Controles")))</f>
        <v/>
      </c>
    </row>
    <row r="605">
      <c r="A605">
        <f>IF(INVENTARIO!A605="","",INVENTARIO!A605)</f>
        <v/>
      </c>
      <c r="B605">
        <f>IF(INVENTARIO!E605="","",INVENTARIO!E605)</f>
        <v/>
      </c>
      <c r="C605">
        <f>IF(INVENTARIO!F605="","",INVENTARIO!F605)</f>
        <v/>
      </c>
      <c r="D605">
        <f>IF(INVENTARIO!H605="","",INVENTARIO!H605)</f>
        <v/>
      </c>
      <c r="E605">
        <f>IF(INVENTARIO!I605="","",INVENTARIO!I605)</f>
        <v/>
      </c>
      <c r="F605">
        <f>IF(INVENTARIO!N605="","",INVENTARIO!N605)</f>
        <v/>
      </c>
      <c r="G605">
        <f>IF(INVENTARIO!P605="","",INVENTARIO!P605)</f>
        <v/>
      </c>
      <c r="H605">
        <f>IF(INVENTARIO!Q605="","",INVENTARIO!Q605)</f>
        <v/>
      </c>
      <c r="I605">
        <f>IF(INVENTARIO!R605="","",INVENTARIO!R605)</f>
        <v/>
      </c>
      <c r="J605">
        <f>IF(G605="PUBLICA(1)",1,IF(G605="USO INTERNO(2)",2,IF(G605="RESTRINGIDO(3)",3,0)))+IF(H605="BAJA(1)",1,IF(H605="MEDIA(2)",2,IF(H605="ALTA(3)",3,0)))+IF(I605="BAJA(1)",1,IF(I605="MEDIA(2)",2,IF(I605="ALTA(3)",3,0)))</f>
        <v/>
      </c>
      <c r="K605">
        <f>IF(J605="", "", IF(J605&gt;=8,"ALTA",IF(J605&gt;=6,"MEDIA","BAJA")))</f>
        <v/>
      </c>
      <c r="L605">
        <f>IF(INVENTARIO!Y605="","",INVENTARIO!Y605)</f>
        <v/>
      </c>
      <c r="M605">
        <f>IF(INVENTARIO!Z605="","",INVENTARIO!Z605)</f>
        <v/>
      </c>
      <c r="N605">
        <f>IF(INVENTARIO!AA605="","",INVENTARIO!AA605)</f>
        <v/>
      </c>
      <c r="O605">
        <f>IF(INVENTARIO!AB605="","",INVENTARIO!AB605)</f>
        <v/>
      </c>
      <c r="P605">
        <f>IF(INVENTARIO!AC605="","",INVENTARIO!AC605)</f>
        <v/>
      </c>
      <c r="Q605">
        <f>IF(AND(K605="",N605="",L605=""),"",IF(AND((K605="ALTA"),OR(LEFT(N605,2)="L0",LEFT(N605,2)="L1",L605="No Iniciado")),"CRÍTICO - Incumplimiento Normativo SEPS",IF(AND(OR(LEFT(N605,2)="L4",LEFT(N605,2)="L5"),AND(P605&lt;&gt;"",P605&lt;&gt;"N/A")),"CONFORME - Control Efectivo ISO 27001","OBSERVACIÓN - Revisar Controles")))</f>
        <v/>
      </c>
    </row>
    <row r="606">
      <c r="A606">
        <f>IF(INVENTARIO!A606="","",INVENTARIO!A606)</f>
        <v/>
      </c>
      <c r="B606">
        <f>IF(INVENTARIO!E606="","",INVENTARIO!E606)</f>
        <v/>
      </c>
      <c r="C606">
        <f>IF(INVENTARIO!F606="","",INVENTARIO!F606)</f>
        <v/>
      </c>
      <c r="D606">
        <f>IF(INVENTARIO!H606="","",INVENTARIO!H606)</f>
        <v/>
      </c>
      <c r="E606">
        <f>IF(INVENTARIO!I606="","",INVENTARIO!I606)</f>
        <v/>
      </c>
      <c r="F606">
        <f>IF(INVENTARIO!N606="","",INVENTARIO!N606)</f>
        <v/>
      </c>
      <c r="G606">
        <f>IF(INVENTARIO!P606="","",INVENTARIO!P606)</f>
        <v/>
      </c>
      <c r="H606">
        <f>IF(INVENTARIO!Q606="","",INVENTARIO!Q606)</f>
        <v/>
      </c>
      <c r="I606">
        <f>IF(INVENTARIO!R606="","",INVENTARIO!R606)</f>
        <v/>
      </c>
      <c r="J606">
        <f>IF(G606="PUBLICA(1)",1,IF(G606="USO INTERNO(2)",2,IF(G606="RESTRINGIDO(3)",3,0)))+IF(H606="BAJA(1)",1,IF(H606="MEDIA(2)",2,IF(H606="ALTA(3)",3,0)))+IF(I606="BAJA(1)",1,IF(I606="MEDIA(2)",2,IF(I606="ALTA(3)",3,0)))</f>
        <v/>
      </c>
      <c r="K606">
        <f>IF(J606="", "", IF(J606&gt;=8,"ALTA",IF(J606&gt;=6,"MEDIA","BAJA")))</f>
        <v/>
      </c>
      <c r="L606">
        <f>IF(INVENTARIO!Y606="","",INVENTARIO!Y606)</f>
        <v/>
      </c>
      <c r="M606">
        <f>IF(INVENTARIO!Z606="","",INVENTARIO!Z606)</f>
        <v/>
      </c>
      <c r="N606">
        <f>IF(INVENTARIO!AA606="","",INVENTARIO!AA606)</f>
        <v/>
      </c>
      <c r="O606">
        <f>IF(INVENTARIO!AB606="","",INVENTARIO!AB606)</f>
        <v/>
      </c>
      <c r="P606">
        <f>IF(INVENTARIO!AC606="","",INVENTARIO!AC606)</f>
        <v/>
      </c>
      <c r="Q606">
        <f>IF(AND(K606="",N606="",L606=""),"",IF(AND((K606="ALTA"),OR(LEFT(N606,2)="L0",LEFT(N606,2)="L1",L606="No Iniciado")),"CRÍTICO - Incumplimiento Normativo SEPS",IF(AND(OR(LEFT(N606,2)="L4",LEFT(N606,2)="L5"),AND(P606&lt;&gt;"",P606&lt;&gt;"N/A")),"CONFORME - Control Efectivo ISO 27001","OBSERVACIÓN - Revisar Controles")))</f>
        <v/>
      </c>
    </row>
    <row r="607">
      <c r="A607">
        <f>IF(INVENTARIO!A607="","",INVENTARIO!A607)</f>
        <v/>
      </c>
      <c r="B607">
        <f>IF(INVENTARIO!E607="","",INVENTARIO!E607)</f>
        <v/>
      </c>
      <c r="C607">
        <f>IF(INVENTARIO!F607="","",INVENTARIO!F607)</f>
        <v/>
      </c>
      <c r="D607">
        <f>IF(INVENTARIO!H607="","",INVENTARIO!H607)</f>
        <v/>
      </c>
      <c r="E607">
        <f>IF(INVENTARIO!I607="","",INVENTARIO!I607)</f>
        <v/>
      </c>
      <c r="F607">
        <f>IF(INVENTARIO!N607="","",INVENTARIO!N607)</f>
        <v/>
      </c>
      <c r="G607">
        <f>IF(INVENTARIO!P607="","",INVENTARIO!P607)</f>
        <v/>
      </c>
      <c r="H607">
        <f>IF(INVENTARIO!Q607="","",INVENTARIO!Q607)</f>
        <v/>
      </c>
      <c r="I607">
        <f>IF(INVENTARIO!R607="","",INVENTARIO!R607)</f>
        <v/>
      </c>
      <c r="J607">
        <f>IF(G607="PUBLICA(1)",1,IF(G607="USO INTERNO(2)",2,IF(G607="RESTRINGIDO(3)",3,0)))+IF(H607="BAJA(1)",1,IF(H607="MEDIA(2)",2,IF(H607="ALTA(3)",3,0)))+IF(I607="BAJA(1)",1,IF(I607="MEDIA(2)",2,IF(I607="ALTA(3)",3,0)))</f>
        <v/>
      </c>
      <c r="K607">
        <f>IF(J607="", "", IF(J607&gt;=8,"ALTA",IF(J607&gt;=6,"MEDIA","BAJA")))</f>
        <v/>
      </c>
      <c r="L607">
        <f>IF(INVENTARIO!Y607="","",INVENTARIO!Y607)</f>
        <v/>
      </c>
      <c r="M607">
        <f>IF(INVENTARIO!Z607="","",INVENTARIO!Z607)</f>
        <v/>
      </c>
      <c r="N607">
        <f>IF(INVENTARIO!AA607="","",INVENTARIO!AA607)</f>
        <v/>
      </c>
      <c r="O607">
        <f>IF(INVENTARIO!AB607="","",INVENTARIO!AB607)</f>
        <v/>
      </c>
      <c r="P607">
        <f>IF(INVENTARIO!AC607="","",INVENTARIO!AC607)</f>
        <v/>
      </c>
      <c r="Q607">
        <f>IF(AND(K607="",N607="",L607=""),"",IF(AND((K607="ALTA"),OR(LEFT(N607,2)="L0",LEFT(N607,2)="L1",L607="No Iniciado")),"CRÍTICO - Incumplimiento Normativo SEPS",IF(AND(OR(LEFT(N607,2)="L4",LEFT(N607,2)="L5"),AND(P607&lt;&gt;"",P607&lt;&gt;"N/A")),"CONFORME - Control Efectivo ISO 27001","OBSERVACIÓN - Revisar Controles")))</f>
        <v/>
      </c>
    </row>
    <row r="608">
      <c r="A608">
        <f>IF(INVENTARIO!A608="","",INVENTARIO!A608)</f>
        <v/>
      </c>
      <c r="B608">
        <f>IF(INVENTARIO!E608="","",INVENTARIO!E608)</f>
        <v/>
      </c>
      <c r="C608">
        <f>IF(INVENTARIO!F608="","",INVENTARIO!F608)</f>
        <v/>
      </c>
      <c r="D608">
        <f>IF(INVENTARIO!H608="","",INVENTARIO!H608)</f>
        <v/>
      </c>
      <c r="E608">
        <f>IF(INVENTARIO!I608="","",INVENTARIO!I608)</f>
        <v/>
      </c>
      <c r="F608">
        <f>IF(INVENTARIO!N608="","",INVENTARIO!N608)</f>
        <v/>
      </c>
      <c r="G608">
        <f>IF(INVENTARIO!P608="","",INVENTARIO!P608)</f>
        <v/>
      </c>
      <c r="H608">
        <f>IF(INVENTARIO!Q608="","",INVENTARIO!Q608)</f>
        <v/>
      </c>
      <c r="I608">
        <f>IF(INVENTARIO!R608="","",INVENTARIO!R608)</f>
        <v/>
      </c>
      <c r="J608">
        <f>IF(G608="PUBLICA(1)",1,IF(G608="USO INTERNO(2)",2,IF(G608="RESTRINGIDO(3)",3,0)))+IF(H608="BAJA(1)",1,IF(H608="MEDIA(2)",2,IF(H608="ALTA(3)",3,0)))+IF(I608="BAJA(1)",1,IF(I608="MEDIA(2)",2,IF(I608="ALTA(3)",3,0)))</f>
        <v/>
      </c>
      <c r="K608">
        <f>IF(J608="", "", IF(J608&gt;=8,"ALTA",IF(J608&gt;=6,"MEDIA","BAJA")))</f>
        <v/>
      </c>
      <c r="L608">
        <f>IF(INVENTARIO!Y608="","",INVENTARIO!Y608)</f>
        <v/>
      </c>
      <c r="M608">
        <f>IF(INVENTARIO!Z608="","",INVENTARIO!Z608)</f>
        <v/>
      </c>
      <c r="N608">
        <f>IF(INVENTARIO!AA608="","",INVENTARIO!AA608)</f>
        <v/>
      </c>
      <c r="O608">
        <f>IF(INVENTARIO!AB608="","",INVENTARIO!AB608)</f>
        <v/>
      </c>
      <c r="P608">
        <f>IF(INVENTARIO!AC608="","",INVENTARIO!AC608)</f>
        <v/>
      </c>
      <c r="Q608">
        <f>IF(AND(K608="",N608="",L608=""),"",IF(AND((K608="ALTA"),OR(LEFT(N608,2)="L0",LEFT(N608,2)="L1",L608="No Iniciado")),"CRÍTICO - Incumplimiento Normativo SEPS",IF(AND(OR(LEFT(N608,2)="L4",LEFT(N608,2)="L5"),AND(P608&lt;&gt;"",P608&lt;&gt;"N/A")),"CONFORME - Control Efectivo ISO 27001","OBSERVACIÓN - Revisar Controles")))</f>
        <v/>
      </c>
    </row>
    <row r="609">
      <c r="A609">
        <f>IF(INVENTARIO!A609="","",INVENTARIO!A609)</f>
        <v/>
      </c>
      <c r="B609">
        <f>IF(INVENTARIO!E609="","",INVENTARIO!E609)</f>
        <v/>
      </c>
      <c r="C609">
        <f>IF(INVENTARIO!F609="","",INVENTARIO!F609)</f>
        <v/>
      </c>
      <c r="D609">
        <f>IF(INVENTARIO!H609="","",INVENTARIO!H609)</f>
        <v/>
      </c>
      <c r="E609">
        <f>IF(INVENTARIO!I609="","",INVENTARIO!I609)</f>
        <v/>
      </c>
      <c r="F609">
        <f>IF(INVENTARIO!N609="","",INVENTARIO!N609)</f>
        <v/>
      </c>
      <c r="G609">
        <f>IF(INVENTARIO!P609="","",INVENTARIO!P609)</f>
        <v/>
      </c>
      <c r="H609">
        <f>IF(INVENTARIO!Q609="","",INVENTARIO!Q609)</f>
        <v/>
      </c>
      <c r="I609">
        <f>IF(INVENTARIO!R609="","",INVENTARIO!R609)</f>
        <v/>
      </c>
      <c r="J609">
        <f>IF(G609="PUBLICA(1)",1,IF(G609="USO INTERNO(2)",2,IF(G609="RESTRINGIDO(3)",3,0)))+IF(H609="BAJA(1)",1,IF(H609="MEDIA(2)",2,IF(H609="ALTA(3)",3,0)))+IF(I609="BAJA(1)",1,IF(I609="MEDIA(2)",2,IF(I609="ALTA(3)",3,0)))</f>
        <v/>
      </c>
      <c r="K609">
        <f>IF(J609="", "", IF(J609&gt;=8,"ALTA",IF(J609&gt;=6,"MEDIA","BAJA")))</f>
        <v/>
      </c>
      <c r="L609">
        <f>IF(INVENTARIO!Y609="","",INVENTARIO!Y609)</f>
        <v/>
      </c>
      <c r="M609">
        <f>IF(INVENTARIO!Z609="","",INVENTARIO!Z609)</f>
        <v/>
      </c>
      <c r="N609">
        <f>IF(INVENTARIO!AA609="","",INVENTARIO!AA609)</f>
        <v/>
      </c>
      <c r="O609">
        <f>IF(INVENTARIO!AB609="","",INVENTARIO!AB609)</f>
        <v/>
      </c>
      <c r="P609">
        <f>IF(INVENTARIO!AC609="","",INVENTARIO!AC609)</f>
        <v/>
      </c>
      <c r="Q609">
        <f>IF(AND(K609="",N609="",L609=""),"",IF(AND((K609="ALTA"),OR(LEFT(N609,2)="L0",LEFT(N609,2)="L1",L609="No Iniciado")),"CRÍTICO - Incumplimiento Normativo SEPS",IF(AND(OR(LEFT(N609,2)="L4",LEFT(N609,2)="L5"),AND(P609&lt;&gt;"",P609&lt;&gt;"N/A")),"CONFORME - Control Efectivo ISO 27001","OBSERVACIÓN - Revisar Controles")))</f>
        <v/>
      </c>
    </row>
    <row r="610">
      <c r="A610">
        <f>IF(INVENTARIO!A610="","",INVENTARIO!A610)</f>
        <v/>
      </c>
      <c r="B610">
        <f>IF(INVENTARIO!E610="","",INVENTARIO!E610)</f>
        <v/>
      </c>
      <c r="C610">
        <f>IF(INVENTARIO!F610="","",INVENTARIO!F610)</f>
        <v/>
      </c>
      <c r="D610">
        <f>IF(INVENTARIO!H610="","",INVENTARIO!H610)</f>
        <v/>
      </c>
      <c r="E610">
        <f>IF(INVENTARIO!I610="","",INVENTARIO!I610)</f>
        <v/>
      </c>
      <c r="F610">
        <f>IF(INVENTARIO!N610="","",INVENTARIO!N610)</f>
        <v/>
      </c>
      <c r="G610">
        <f>IF(INVENTARIO!P610="","",INVENTARIO!P610)</f>
        <v/>
      </c>
      <c r="H610">
        <f>IF(INVENTARIO!Q610="","",INVENTARIO!Q610)</f>
        <v/>
      </c>
      <c r="I610">
        <f>IF(INVENTARIO!R610="","",INVENTARIO!R610)</f>
        <v/>
      </c>
      <c r="J610">
        <f>IF(G610="PUBLICA(1)",1,IF(G610="USO INTERNO(2)",2,IF(G610="RESTRINGIDO(3)",3,0)))+IF(H610="BAJA(1)",1,IF(H610="MEDIA(2)",2,IF(H610="ALTA(3)",3,0)))+IF(I610="BAJA(1)",1,IF(I610="MEDIA(2)",2,IF(I610="ALTA(3)",3,0)))</f>
        <v/>
      </c>
      <c r="K610">
        <f>IF(J610="", "", IF(J610&gt;=8,"ALTA",IF(J610&gt;=6,"MEDIA","BAJA")))</f>
        <v/>
      </c>
      <c r="L610">
        <f>IF(INVENTARIO!Y610="","",INVENTARIO!Y610)</f>
        <v/>
      </c>
      <c r="M610">
        <f>IF(INVENTARIO!Z610="","",INVENTARIO!Z610)</f>
        <v/>
      </c>
      <c r="N610">
        <f>IF(INVENTARIO!AA610="","",INVENTARIO!AA610)</f>
        <v/>
      </c>
      <c r="O610">
        <f>IF(INVENTARIO!AB610="","",INVENTARIO!AB610)</f>
        <v/>
      </c>
      <c r="P610">
        <f>IF(INVENTARIO!AC610="","",INVENTARIO!AC610)</f>
        <v/>
      </c>
      <c r="Q610">
        <f>IF(AND(K610="",N610="",L610=""),"",IF(AND((K610="ALTA"),OR(LEFT(N610,2)="L0",LEFT(N610,2)="L1",L610="No Iniciado")),"CRÍTICO - Incumplimiento Normativo SEPS",IF(AND(OR(LEFT(N610,2)="L4",LEFT(N610,2)="L5"),AND(P610&lt;&gt;"",P610&lt;&gt;"N/A")),"CONFORME - Control Efectivo ISO 27001","OBSERVACIÓN - Revisar Controles")))</f>
        <v/>
      </c>
    </row>
    <row r="611">
      <c r="A611">
        <f>IF(INVENTARIO!A611="","",INVENTARIO!A611)</f>
        <v/>
      </c>
      <c r="B611">
        <f>IF(INVENTARIO!E611="","",INVENTARIO!E611)</f>
        <v/>
      </c>
      <c r="C611">
        <f>IF(INVENTARIO!F611="","",INVENTARIO!F611)</f>
        <v/>
      </c>
      <c r="D611">
        <f>IF(INVENTARIO!H611="","",INVENTARIO!H611)</f>
        <v/>
      </c>
      <c r="E611">
        <f>IF(INVENTARIO!I611="","",INVENTARIO!I611)</f>
        <v/>
      </c>
      <c r="F611">
        <f>IF(INVENTARIO!N611="","",INVENTARIO!N611)</f>
        <v/>
      </c>
      <c r="G611">
        <f>IF(INVENTARIO!P611="","",INVENTARIO!P611)</f>
        <v/>
      </c>
      <c r="H611">
        <f>IF(INVENTARIO!Q611="","",INVENTARIO!Q611)</f>
        <v/>
      </c>
      <c r="I611">
        <f>IF(INVENTARIO!R611="","",INVENTARIO!R611)</f>
        <v/>
      </c>
      <c r="J611">
        <f>IF(G611="PUBLICA(1)",1,IF(G611="USO INTERNO(2)",2,IF(G611="RESTRINGIDO(3)",3,0)))+IF(H611="BAJA(1)",1,IF(H611="MEDIA(2)",2,IF(H611="ALTA(3)",3,0)))+IF(I611="BAJA(1)",1,IF(I611="MEDIA(2)",2,IF(I611="ALTA(3)",3,0)))</f>
        <v/>
      </c>
      <c r="K611">
        <f>IF(J611="", "", IF(J611&gt;=8,"ALTA",IF(J611&gt;=6,"MEDIA","BAJA")))</f>
        <v/>
      </c>
      <c r="L611">
        <f>IF(INVENTARIO!Y611="","",INVENTARIO!Y611)</f>
        <v/>
      </c>
      <c r="M611">
        <f>IF(INVENTARIO!Z611="","",INVENTARIO!Z611)</f>
        <v/>
      </c>
      <c r="N611">
        <f>IF(INVENTARIO!AA611="","",INVENTARIO!AA611)</f>
        <v/>
      </c>
      <c r="O611">
        <f>IF(INVENTARIO!AB611="","",INVENTARIO!AB611)</f>
        <v/>
      </c>
      <c r="P611">
        <f>IF(INVENTARIO!AC611="","",INVENTARIO!AC611)</f>
        <v/>
      </c>
      <c r="Q611">
        <f>IF(AND(K611="",N611="",L611=""),"",IF(AND((K611="ALTA"),OR(LEFT(N611,2)="L0",LEFT(N611,2)="L1",L611="No Iniciado")),"CRÍTICO - Incumplimiento Normativo SEPS",IF(AND(OR(LEFT(N611,2)="L4",LEFT(N611,2)="L5"),AND(P611&lt;&gt;"",P611&lt;&gt;"N/A")),"CONFORME - Control Efectivo ISO 27001","OBSERVACIÓN - Revisar Controles")))</f>
        <v/>
      </c>
    </row>
    <row r="612">
      <c r="A612">
        <f>IF(INVENTARIO!A612="","",INVENTARIO!A612)</f>
        <v/>
      </c>
      <c r="B612">
        <f>IF(INVENTARIO!E612="","",INVENTARIO!E612)</f>
        <v/>
      </c>
      <c r="C612">
        <f>IF(INVENTARIO!F612="","",INVENTARIO!F612)</f>
        <v/>
      </c>
      <c r="D612">
        <f>IF(INVENTARIO!H612="","",INVENTARIO!H612)</f>
        <v/>
      </c>
      <c r="E612">
        <f>IF(INVENTARIO!I612="","",INVENTARIO!I612)</f>
        <v/>
      </c>
      <c r="F612">
        <f>IF(INVENTARIO!N612="","",INVENTARIO!N612)</f>
        <v/>
      </c>
      <c r="G612">
        <f>IF(INVENTARIO!P612="","",INVENTARIO!P612)</f>
        <v/>
      </c>
      <c r="H612">
        <f>IF(INVENTARIO!Q612="","",INVENTARIO!Q612)</f>
        <v/>
      </c>
      <c r="I612">
        <f>IF(INVENTARIO!R612="","",INVENTARIO!R612)</f>
        <v/>
      </c>
      <c r="J612">
        <f>IF(G612="PUBLICA(1)",1,IF(G612="USO INTERNO(2)",2,IF(G612="RESTRINGIDO(3)",3,0)))+IF(H612="BAJA(1)",1,IF(H612="MEDIA(2)",2,IF(H612="ALTA(3)",3,0)))+IF(I612="BAJA(1)",1,IF(I612="MEDIA(2)",2,IF(I612="ALTA(3)",3,0)))</f>
        <v/>
      </c>
      <c r="K612">
        <f>IF(J612="", "", IF(J612&gt;=8,"ALTA",IF(J612&gt;=6,"MEDIA","BAJA")))</f>
        <v/>
      </c>
      <c r="L612">
        <f>IF(INVENTARIO!Y612="","",INVENTARIO!Y612)</f>
        <v/>
      </c>
      <c r="M612">
        <f>IF(INVENTARIO!Z612="","",INVENTARIO!Z612)</f>
        <v/>
      </c>
      <c r="N612">
        <f>IF(INVENTARIO!AA612="","",INVENTARIO!AA612)</f>
        <v/>
      </c>
      <c r="O612">
        <f>IF(INVENTARIO!AB612="","",INVENTARIO!AB612)</f>
        <v/>
      </c>
      <c r="P612">
        <f>IF(INVENTARIO!AC612="","",INVENTARIO!AC612)</f>
        <v/>
      </c>
      <c r="Q612">
        <f>IF(AND(K612="",N612="",L612=""),"",IF(AND((K612="ALTA"),OR(LEFT(N612,2)="L0",LEFT(N612,2)="L1",L612="No Iniciado")),"CRÍTICO - Incumplimiento Normativo SEPS",IF(AND(OR(LEFT(N612,2)="L4",LEFT(N612,2)="L5"),AND(P612&lt;&gt;"",P612&lt;&gt;"N/A")),"CONFORME - Control Efectivo ISO 27001","OBSERVACIÓN - Revisar Controles")))</f>
        <v/>
      </c>
    </row>
    <row r="613">
      <c r="A613">
        <f>IF(INVENTARIO!A613="","",INVENTARIO!A613)</f>
        <v/>
      </c>
      <c r="B613">
        <f>IF(INVENTARIO!E613="","",INVENTARIO!E613)</f>
        <v/>
      </c>
      <c r="C613">
        <f>IF(INVENTARIO!F613="","",INVENTARIO!F613)</f>
        <v/>
      </c>
      <c r="D613">
        <f>IF(INVENTARIO!H613="","",INVENTARIO!H613)</f>
        <v/>
      </c>
      <c r="E613">
        <f>IF(INVENTARIO!I613="","",INVENTARIO!I613)</f>
        <v/>
      </c>
      <c r="F613">
        <f>IF(INVENTARIO!N613="","",INVENTARIO!N613)</f>
        <v/>
      </c>
      <c r="G613">
        <f>IF(INVENTARIO!P613="","",INVENTARIO!P613)</f>
        <v/>
      </c>
      <c r="H613">
        <f>IF(INVENTARIO!Q613="","",INVENTARIO!Q613)</f>
        <v/>
      </c>
      <c r="I613">
        <f>IF(INVENTARIO!R613="","",INVENTARIO!R613)</f>
        <v/>
      </c>
      <c r="J613">
        <f>IF(G613="PUBLICA(1)",1,IF(G613="USO INTERNO(2)",2,IF(G613="RESTRINGIDO(3)",3,0)))+IF(H613="BAJA(1)",1,IF(H613="MEDIA(2)",2,IF(H613="ALTA(3)",3,0)))+IF(I613="BAJA(1)",1,IF(I613="MEDIA(2)",2,IF(I613="ALTA(3)",3,0)))</f>
        <v/>
      </c>
      <c r="K613">
        <f>IF(J613="", "", IF(J613&gt;=8,"ALTA",IF(J613&gt;=6,"MEDIA","BAJA")))</f>
        <v/>
      </c>
      <c r="L613">
        <f>IF(INVENTARIO!Y613="","",INVENTARIO!Y613)</f>
        <v/>
      </c>
      <c r="M613">
        <f>IF(INVENTARIO!Z613="","",INVENTARIO!Z613)</f>
        <v/>
      </c>
      <c r="N613">
        <f>IF(INVENTARIO!AA613="","",INVENTARIO!AA613)</f>
        <v/>
      </c>
      <c r="O613">
        <f>IF(INVENTARIO!AB613="","",INVENTARIO!AB613)</f>
        <v/>
      </c>
      <c r="P613">
        <f>IF(INVENTARIO!AC613="","",INVENTARIO!AC613)</f>
        <v/>
      </c>
      <c r="Q613">
        <f>IF(AND(K613="",N613="",L613=""),"",IF(AND((K613="ALTA"),OR(LEFT(N613,2)="L0",LEFT(N613,2)="L1",L613="No Iniciado")),"CRÍTICO - Incumplimiento Normativo SEPS",IF(AND(OR(LEFT(N613,2)="L4",LEFT(N613,2)="L5"),AND(P613&lt;&gt;"",P613&lt;&gt;"N/A")),"CONFORME - Control Efectivo ISO 27001","OBSERVACIÓN - Revisar Controles")))</f>
        <v/>
      </c>
    </row>
    <row r="614">
      <c r="A614">
        <f>IF(INVENTARIO!A614="","",INVENTARIO!A614)</f>
        <v/>
      </c>
      <c r="B614">
        <f>IF(INVENTARIO!E614="","",INVENTARIO!E614)</f>
        <v/>
      </c>
      <c r="C614">
        <f>IF(INVENTARIO!F614="","",INVENTARIO!F614)</f>
        <v/>
      </c>
      <c r="D614">
        <f>IF(INVENTARIO!H614="","",INVENTARIO!H614)</f>
        <v/>
      </c>
      <c r="E614">
        <f>IF(INVENTARIO!I614="","",INVENTARIO!I614)</f>
        <v/>
      </c>
      <c r="F614">
        <f>IF(INVENTARIO!N614="","",INVENTARIO!N614)</f>
        <v/>
      </c>
      <c r="G614">
        <f>IF(INVENTARIO!P614="","",INVENTARIO!P614)</f>
        <v/>
      </c>
      <c r="H614">
        <f>IF(INVENTARIO!Q614="","",INVENTARIO!Q614)</f>
        <v/>
      </c>
      <c r="I614">
        <f>IF(INVENTARIO!R614="","",INVENTARIO!R614)</f>
        <v/>
      </c>
      <c r="J614">
        <f>IF(G614="PUBLICA(1)",1,IF(G614="USO INTERNO(2)",2,IF(G614="RESTRINGIDO(3)",3,0)))+IF(H614="BAJA(1)",1,IF(H614="MEDIA(2)",2,IF(H614="ALTA(3)",3,0)))+IF(I614="BAJA(1)",1,IF(I614="MEDIA(2)",2,IF(I614="ALTA(3)",3,0)))</f>
        <v/>
      </c>
      <c r="K614">
        <f>IF(J614="", "", IF(J614&gt;=8,"ALTA",IF(J614&gt;=6,"MEDIA","BAJA")))</f>
        <v/>
      </c>
      <c r="L614">
        <f>IF(INVENTARIO!Y614="","",INVENTARIO!Y614)</f>
        <v/>
      </c>
      <c r="M614">
        <f>IF(INVENTARIO!Z614="","",INVENTARIO!Z614)</f>
        <v/>
      </c>
      <c r="N614">
        <f>IF(INVENTARIO!AA614="","",INVENTARIO!AA614)</f>
        <v/>
      </c>
      <c r="O614">
        <f>IF(INVENTARIO!AB614="","",INVENTARIO!AB614)</f>
        <v/>
      </c>
      <c r="P614">
        <f>IF(INVENTARIO!AC614="","",INVENTARIO!AC614)</f>
        <v/>
      </c>
      <c r="Q614">
        <f>IF(AND(K614="",N614="",L614=""),"",IF(AND((K614="ALTA"),OR(LEFT(N614,2)="L0",LEFT(N614,2)="L1",L614="No Iniciado")),"CRÍTICO - Incumplimiento Normativo SEPS",IF(AND(OR(LEFT(N614,2)="L4",LEFT(N614,2)="L5"),AND(P614&lt;&gt;"",P614&lt;&gt;"N/A")),"CONFORME - Control Efectivo ISO 27001","OBSERVACIÓN - Revisar Controles")))</f>
        <v/>
      </c>
    </row>
    <row r="615">
      <c r="A615">
        <f>IF(INVENTARIO!A615="","",INVENTARIO!A615)</f>
        <v/>
      </c>
      <c r="B615">
        <f>IF(INVENTARIO!E615="","",INVENTARIO!E615)</f>
        <v/>
      </c>
      <c r="C615">
        <f>IF(INVENTARIO!F615="","",INVENTARIO!F615)</f>
        <v/>
      </c>
      <c r="D615">
        <f>IF(INVENTARIO!H615="","",INVENTARIO!H615)</f>
        <v/>
      </c>
      <c r="E615">
        <f>IF(INVENTARIO!I615="","",INVENTARIO!I615)</f>
        <v/>
      </c>
      <c r="F615">
        <f>IF(INVENTARIO!N615="","",INVENTARIO!N615)</f>
        <v/>
      </c>
      <c r="G615">
        <f>IF(INVENTARIO!P615="","",INVENTARIO!P615)</f>
        <v/>
      </c>
      <c r="H615">
        <f>IF(INVENTARIO!Q615="","",INVENTARIO!Q615)</f>
        <v/>
      </c>
      <c r="I615">
        <f>IF(INVENTARIO!R615="","",INVENTARIO!R615)</f>
        <v/>
      </c>
      <c r="J615">
        <f>IF(G615="PUBLICA(1)",1,IF(G615="USO INTERNO(2)",2,IF(G615="RESTRINGIDO(3)",3,0)))+IF(H615="BAJA(1)",1,IF(H615="MEDIA(2)",2,IF(H615="ALTA(3)",3,0)))+IF(I615="BAJA(1)",1,IF(I615="MEDIA(2)",2,IF(I615="ALTA(3)",3,0)))</f>
        <v/>
      </c>
      <c r="K615">
        <f>IF(J615="", "", IF(J615&gt;=8,"ALTA",IF(J615&gt;=6,"MEDIA","BAJA")))</f>
        <v/>
      </c>
      <c r="L615">
        <f>IF(INVENTARIO!Y615="","",INVENTARIO!Y615)</f>
        <v/>
      </c>
      <c r="M615">
        <f>IF(INVENTARIO!Z615="","",INVENTARIO!Z615)</f>
        <v/>
      </c>
      <c r="N615">
        <f>IF(INVENTARIO!AA615="","",INVENTARIO!AA615)</f>
        <v/>
      </c>
      <c r="O615">
        <f>IF(INVENTARIO!AB615="","",INVENTARIO!AB615)</f>
        <v/>
      </c>
      <c r="P615">
        <f>IF(INVENTARIO!AC615="","",INVENTARIO!AC615)</f>
        <v/>
      </c>
      <c r="Q615">
        <f>IF(AND(K615="",N615="",L615=""),"",IF(AND((K615="ALTA"),OR(LEFT(N615,2)="L0",LEFT(N615,2)="L1",L615="No Iniciado")),"CRÍTICO - Incumplimiento Normativo SEPS",IF(AND(OR(LEFT(N615,2)="L4",LEFT(N615,2)="L5"),AND(P615&lt;&gt;"",P615&lt;&gt;"N/A")),"CONFORME - Control Efectivo ISO 27001","OBSERVACIÓN - Revisar Controles")))</f>
        <v/>
      </c>
    </row>
    <row r="616">
      <c r="A616">
        <f>IF(INVENTARIO!A616="","",INVENTARIO!A616)</f>
        <v/>
      </c>
      <c r="B616">
        <f>IF(INVENTARIO!E616="","",INVENTARIO!E616)</f>
        <v/>
      </c>
      <c r="C616">
        <f>IF(INVENTARIO!F616="","",INVENTARIO!F616)</f>
        <v/>
      </c>
      <c r="D616">
        <f>IF(INVENTARIO!H616="","",INVENTARIO!H616)</f>
        <v/>
      </c>
      <c r="E616">
        <f>IF(INVENTARIO!I616="","",INVENTARIO!I616)</f>
        <v/>
      </c>
      <c r="F616">
        <f>IF(INVENTARIO!N616="","",INVENTARIO!N616)</f>
        <v/>
      </c>
      <c r="G616">
        <f>IF(INVENTARIO!P616="","",INVENTARIO!P616)</f>
        <v/>
      </c>
      <c r="H616">
        <f>IF(INVENTARIO!Q616="","",INVENTARIO!Q616)</f>
        <v/>
      </c>
      <c r="I616">
        <f>IF(INVENTARIO!R616="","",INVENTARIO!R616)</f>
        <v/>
      </c>
      <c r="J616">
        <f>IF(G616="PUBLICA(1)",1,IF(G616="USO INTERNO(2)",2,IF(G616="RESTRINGIDO(3)",3,0)))+IF(H616="BAJA(1)",1,IF(H616="MEDIA(2)",2,IF(H616="ALTA(3)",3,0)))+IF(I616="BAJA(1)",1,IF(I616="MEDIA(2)",2,IF(I616="ALTA(3)",3,0)))</f>
        <v/>
      </c>
      <c r="K616">
        <f>IF(J616="", "", IF(J616&gt;=8,"ALTA",IF(J616&gt;=6,"MEDIA","BAJA")))</f>
        <v/>
      </c>
      <c r="L616">
        <f>IF(INVENTARIO!Y616="","",INVENTARIO!Y616)</f>
        <v/>
      </c>
      <c r="M616">
        <f>IF(INVENTARIO!Z616="","",INVENTARIO!Z616)</f>
        <v/>
      </c>
      <c r="N616">
        <f>IF(INVENTARIO!AA616="","",INVENTARIO!AA616)</f>
        <v/>
      </c>
      <c r="O616">
        <f>IF(INVENTARIO!AB616="","",INVENTARIO!AB616)</f>
        <v/>
      </c>
      <c r="P616">
        <f>IF(INVENTARIO!AC616="","",INVENTARIO!AC616)</f>
        <v/>
      </c>
      <c r="Q616">
        <f>IF(AND(K616="",N616="",L616=""),"",IF(AND((K616="ALTA"),OR(LEFT(N616,2)="L0",LEFT(N616,2)="L1",L616="No Iniciado")),"CRÍTICO - Incumplimiento Normativo SEPS",IF(AND(OR(LEFT(N616,2)="L4",LEFT(N616,2)="L5"),AND(P616&lt;&gt;"",P616&lt;&gt;"N/A")),"CONFORME - Control Efectivo ISO 27001","OBSERVACIÓN - Revisar Controles")))</f>
        <v/>
      </c>
    </row>
    <row r="617">
      <c r="A617">
        <f>IF(INVENTARIO!A617="","",INVENTARIO!A617)</f>
        <v/>
      </c>
      <c r="B617">
        <f>IF(INVENTARIO!E617="","",INVENTARIO!E617)</f>
        <v/>
      </c>
      <c r="C617">
        <f>IF(INVENTARIO!F617="","",INVENTARIO!F617)</f>
        <v/>
      </c>
      <c r="D617">
        <f>IF(INVENTARIO!H617="","",INVENTARIO!H617)</f>
        <v/>
      </c>
      <c r="E617">
        <f>IF(INVENTARIO!I617="","",INVENTARIO!I617)</f>
        <v/>
      </c>
      <c r="F617">
        <f>IF(INVENTARIO!N617="","",INVENTARIO!N617)</f>
        <v/>
      </c>
      <c r="G617">
        <f>IF(INVENTARIO!P617="","",INVENTARIO!P617)</f>
        <v/>
      </c>
      <c r="H617">
        <f>IF(INVENTARIO!Q617="","",INVENTARIO!Q617)</f>
        <v/>
      </c>
      <c r="I617">
        <f>IF(INVENTARIO!R617="","",INVENTARIO!R617)</f>
        <v/>
      </c>
      <c r="J617">
        <f>IF(G617="PUBLICA(1)",1,IF(G617="USO INTERNO(2)",2,IF(G617="RESTRINGIDO(3)",3,0)))+IF(H617="BAJA(1)",1,IF(H617="MEDIA(2)",2,IF(H617="ALTA(3)",3,0)))+IF(I617="BAJA(1)",1,IF(I617="MEDIA(2)",2,IF(I617="ALTA(3)",3,0)))</f>
        <v/>
      </c>
      <c r="K617">
        <f>IF(J617="", "", IF(J617&gt;=8,"ALTA",IF(J617&gt;=6,"MEDIA","BAJA")))</f>
        <v/>
      </c>
      <c r="L617">
        <f>IF(INVENTARIO!Y617="","",INVENTARIO!Y617)</f>
        <v/>
      </c>
      <c r="M617">
        <f>IF(INVENTARIO!Z617="","",INVENTARIO!Z617)</f>
        <v/>
      </c>
      <c r="N617">
        <f>IF(INVENTARIO!AA617="","",INVENTARIO!AA617)</f>
        <v/>
      </c>
      <c r="O617">
        <f>IF(INVENTARIO!AB617="","",INVENTARIO!AB617)</f>
        <v/>
      </c>
      <c r="P617">
        <f>IF(INVENTARIO!AC617="","",INVENTARIO!AC617)</f>
        <v/>
      </c>
      <c r="Q617">
        <f>IF(AND(K617="",N617="",L617=""),"",IF(AND((K617="ALTA"),OR(LEFT(N617,2)="L0",LEFT(N617,2)="L1",L617="No Iniciado")),"CRÍTICO - Incumplimiento Normativo SEPS",IF(AND(OR(LEFT(N617,2)="L4",LEFT(N617,2)="L5"),AND(P617&lt;&gt;"",P617&lt;&gt;"N/A")),"CONFORME - Control Efectivo ISO 27001","OBSERVACIÓN - Revisar Controles")))</f>
        <v/>
      </c>
    </row>
    <row r="618">
      <c r="A618">
        <f>IF(INVENTARIO!A618="","",INVENTARIO!A618)</f>
        <v/>
      </c>
      <c r="B618">
        <f>IF(INVENTARIO!E618="","",INVENTARIO!E618)</f>
        <v/>
      </c>
      <c r="C618">
        <f>IF(INVENTARIO!F618="","",INVENTARIO!F618)</f>
        <v/>
      </c>
      <c r="D618">
        <f>IF(INVENTARIO!H618="","",INVENTARIO!H618)</f>
        <v/>
      </c>
      <c r="E618">
        <f>IF(INVENTARIO!I618="","",INVENTARIO!I618)</f>
        <v/>
      </c>
      <c r="F618">
        <f>IF(INVENTARIO!N618="","",INVENTARIO!N618)</f>
        <v/>
      </c>
      <c r="G618">
        <f>IF(INVENTARIO!P618="","",INVENTARIO!P618)</f>
        <v/>
      </c>
      <c r="H618">
        <f>IF(INVENTARIO!Q618="","",INVENTARIO!Q618)</f>
        <v/>
      </c>
      <c r="I618">
        <f>IF(INVENTARIO!R618="","",INVENTARIO!R618)</f>
        <v/>
      </c>
      <c r="J618">
        <f>IF(G618="PUBLICA(1)",1,IF(G618="USO INTERNO(2)",2,IF(G618="RESTRINGIDO(3)",3,0)))+IF(H618="BAJA(1)",1,IF(H618="MEDIA(2)",2,IF(H618="ALTA(3)",3,0)))+IF(I618="BAJA(1)",1,IF(I618="MEDIA(2)",2,IF(I618="ALTA(3)",3,0)))</f>
        <v/>
      </c>
      <c r="K618">
        <f>IF(J618="", "", IF(J618&gt;=8,"ALTA",IF(J618&gt;=6,"MEDIA","BAJA")))</f>
        <v/>
      </c>
      <c r="L618">
        <f>IF(INVENTARIO!Y618="","",INVENTARIO!Y618)</f>
        <v/>
      </c>
      <c r="M618">
        <f>IF(INVENTARIO!Z618="","",INVENTARIO!Z618)</f>
        <v/>
      </c>
      <c r="N618">
        <f>IF(INVENTARIO!AA618="","",INVENTARIO!AA618)</f>
        <v/>
      </c>
      <c r="O618">
        <f>IF(INVENTARIO!AB618="","",INVENTARIO!AB618)</f>
        <v/>
      </c>
      <c r="P618">
        <f>IF(INVENTARIO!AC618="","",INVENTARIO!AC618)</f>
        <v/>
      </c>
      <c r="Q618">
        <f>IF(AND(K618="",N618="",L618=""),"",IF(AND((K618="ALTA"),OR(LEFT(N618,2)="L0",LEFT(N618,2)="L1",L618="No Iniciado")),"CRÍTICO - Incumplimiento Normativo SEPS",IF(AND(OR(LEFT(N618,2)="L4",LEFT(N618,2)="L5"),AND(P618&lt;&gt;"",P618&lt;&gt;"N/A")),"CONFORME - Control Efectivo ISO 27001","OBSERVACIÓN - Revisar Controles")))</f>
        <v/>
      </c>
    </row>
    <row r="619">
      <c r="A619">
        <f>IF(INVENTARIO!A619="","",INVENTARIO!A619)</f>
        <v/>
      </c>
      <c r="B619">
        <f>IF(INVENTARIO!E619="","",INVENTARIO!E619)</f>
        <v/>
      </c>
      <c r="C619">
        <f>IF(INVENTARIO!F619="","",INVENTARIO!F619)</f>
        <v/>
      </c>
      <c r="D619">
        <f>IF(INVENTARIO!H619="","",INVENTARIO!H619)</f>
        <v/>
      </c>
      <c r="E619">
        <f>IF(INVENTARIO!I619="","",INVENTARIO!I619)</f>
        <v/>
      </c>
      <c r="F619">
        <f>IF(INVENTARIO!N619="","",INVENTARIO!N619)</f>
        <v/>
      </c>
      <c r="G619">
        <f>IF(INVENTARIO!P619="","",INVENTARIO!P619)</f>
        <v/>
      </c>
      <c r="H619">
        <f>IF(INVENTARIO!Q619="","",INVENTARIO!Q619)</f>
        <v/>
      </c>
      <c r="I619">
        <f>IF(INVENTARIO!R619="","",INVENTARIO!R619)</f>
        <v/>
      </c>
      <c r="J619">
        <f>IF(G619="PUBLICA(1)",1,IF(G619="USO INTERNO(2)",2,IF(G619="RESTRINGIDO(3)",3,0)))+IF(H619="BAJA(1)",1,IF(H619="MEDIA(2)",2,IF(H619="ALTA(3)",3,0)))+IF(I619="BAJA(1)",1,IF(I619="MEDIA(2)",2,IF(I619="ALTA(3)",3,0)))</f>
        <v/>
      </c>
      <c r="K619">
        <f>IF(J619="", "", IF(J619&gt;=8,"ALTA",IF(J619&gt;=6,"MEDIA","BAJA")))</f>
        <v/>
      </c>
      <c r="L619">
        <f>IF(INVENTARIO!Y619="","",INVENTARIO!Y619)</f>
        <v/>
      </c>
      <c r="M619">
        <f>IF(INVENTARIO!Z619="","",INVENTARIO!Z619)</f>
        <v/>
      </c>
      <c r="N619">
        <f>IF(INVENTARIO!AA619="","",INVENTARIO!AA619)</f>
        <v/>
      </c>
      <c r="O619">
        <f>IF(INVENTARIO!AB619="","",INVENTARIO!AB619)</f>
        <v/>
      </c>
      <c r="P619">
        <f>IF(INVENTARIO!AC619="","",INVENTARIO!AC619)</f>
        <v/>
      </c>
      <c r="Q619">
        <f>IF(AND(K619="",N619="",L619=""),"",IF(AND((K619="ALTA"),OR(LEFT(N619,2)="L0",LEFT(N619,2)="L1",L619="No Iniciado")),"CRÍTICO - Incumplimiento Normativo SEPS",IF(AND(OR(LEFT(N619,2)="L4",LEFT(N619,2)="L5"),AND(P619&lt;&gt;"",P619&lt;&gt;"N/A")),"CONFORME - Control Efectivo ISO 27001","OBSERVACIÓN - Revisar Controles")))</f>
        <v/>
      </c>
    </row>
    <row r="620">
      <c r="A620">
        <f>IF(INVENTARIO!A620="","",INVENTARIO!A620)</f>
        <v/>
      </c>
      <c r="B620">
        <f>IF(INVENTARIO!E620="","",INVENTARIO!E620)</f>
        <v/>
      </c>
      <c r="C620">
        <f>IF(INVENTARIO!F620="","",INVENTARIO!F620)</f>
        <v/>
      </c>
      <c r="D620">
        <f>IF(INVENTARIO!H620="","",INVENTARIO!H620)</f>
        <v/>
      </c>
      <c r="E620">
        <f>IF(INVENTARIO!I620="","",INVENTARIO!I620)</f>
        <v/>
      </c>
      <c r="F620">
        <f>IF(INVENTARIO!N620="","",INVENTARIO!N620)</f>
        <v/>
      </c>
      <c r="G620">
        <f>IF(INVENTARIO!P620="","",INVENTARIO!P620)</f>
        <v/>
      </c>
      <c r="H620">
        <f>IF(INVENTARIO!Q620="","",INVENTARIO!Q620)</f>
        <v/>
      </c>
      <c r="I620">
        <f>IF(INVENTARIO!R620="","",INVENTARIO!R620)</f>
        <v/>
      </c>
      <c r="J620">
        <f>IF(G620="PUBLICA(1)",1,IF(G620="USO INTERNO(2)",2,IF(G620="RESTRINGIDO(3)",3,0)))+IF(H620="BAJA(1)",1,IF(H620="MEDIA(2)",2,IF(H620="ALTA(3)",3,0)))+IF(I620="BAJA(1)",1,IF(I620="MEDIA(2)",2,IF(I620="ALTA(3)",3,0)))</f>
        <v/>
      </c>
      <c r="K620">
        <f>IF(J620="", "", IF(J620&gt;=8,"ALTA",IF(J620&gt;=6,"MEDIA","BAJA")))</f>
        <v/>
      </c>
      <c r="L620">
        <f>IF(INVENTARIO!Y620="","",INVENTARIO!Y620)</f>
        <v/>
      </c>
      <c r="M620">
        <f>IF(INVENTARIO!Z620="","",INVENTARIO!Z620)</f>
        <v/>
      </c>
      <c r="N620">
        <f>IF(INVENTARIO!AA620="","",INVENTARIO!AA620)</f>
        <v/>
      </c>
      <c r="O620">
        <f>IF(INVENTARIO!AB620="","",INVENTARIO!AB620)</f>
        <v/>
      </c>
      <c r="P620">
        <f>IF(INVENTARIO!AC620="","",INVENTARIO!AC620)</f>
        <v/>
      </c>
      <c r="Q620">
        <f>IF(AND(K620="",N620="",L620=""),"",IF(AND((K620="ALTA"),OR(LEFT(N620,2)="L0",LEFT(N620,2)="L1",L620="No Iniciado")),"CRÍTICO - Incumplimiento Normativo SEPS",IF(AND(OR(LEFT(N620,2)="L4",LEFT(N620,2)="L5"),AND(P620&lt;&gt;"",P620&lt;&gt;"N/A")),"CONFORME - Control Efectivo ISO 27001","OBSERVACIÓN - Revisar Controles")))</f>
        <v/>
      </c>
    </row>
    <row r="621">
      <c r="A621">
        <f>IF(INVENTARIO!A621="","",INVENTARIO!A621)</f>
        <v/>
      </c>
      <c r="B621">
        <f>IF(INVENTARIO!E621="","",INVENTARIO!E621)</f>
        <v/>
      </c>
      <c r="C621">
        <f>IF(INVENTARIO!F621="","",INVENTARIO!F621)</f>
        <v/>
      </c>
      <c r="D621">
        <f>IF(INVENTARIO!H621="","",INVENTARIO!H621)</f>
        <v/>
      </c>
      <c r="E621">
        <f>IF(INVENTARIO!I621="","",INVENTARIO!I621)</f>
        <v/>
      </c>
      <c r="F621">
        <f>IF(INVENTARIO!N621="","",INVENTARIO!N621)</f>
        <v/>
      </c>
      <c r="G621">
        <f>IF(INVENTARIO!P621="","",INVENTARIO!P621)</f>
        <v/>
      </c>
      <c r="H621">
        <f>IF(INVENTARIO!Q621="","",INVENTARIO!Q621)</f>
        <v/>
      </c>
      <c r="I621">
        <f>IF(INVENTARIO!R621="","",INVENTARIO!R621)</f>
        <v/>
      </c>
      <c r="J621">
        <f>IF(G621="PUBLICA(1)",1,IF(G621="USO INTERNO(2)",2,IF(G621="RESTRINGIDO(3)",3,0)))+IF(H621="BAJA(1)",1,IF(H621="MEDIA(2)",2,IF(H621="ALTA(3)",3,0)))+IF(I621="BAJA(1)",1,IF(I621="MEDIA(2)",2,IF(I621="ALTA(3)",3,0)))</f>
        <v/>
      </c>
      <c r="K621">
        <f>IF(J621="", "", IF(J621&gt;=8,"ALTA",IF(J621&gt;=6,"MEDIA","BAJA")))</f>
        <v/>
      </c>
      <c r="L621">
        <f>IF(INVENTARIO!Y621="","",INVENTARIO!Y621)</f>
        <v/>
      </c>
      <c r="M621">
        <f>IF(INVENTARIO!Z621="","",INVENTARIO!Z621)</f>
        <v/>
      </c>
      <c r="N621">
        <f>IF(INVENTARIO!AA621="","",INVENTARIO!AA621)</f>
        <v/>
      </c>
      <c r="O621">
        <f>IF(INVENTARIO!AB621="","",INVENTARIO!AB621)</f>
        <v/>
      </c>
      <c r="P621">
        <f>IF(INVENTARIO!AC621="","",INVENTARIO!AC621)</f>
        <v/>
      </c>
      <c r="Q621">
        <f>IF(AND(K621="",N621="",L621=""),"",IF(AND((K621="ALTA"),OR(LEFT(N621,2)="L0",LEFT(N621,2)="L1",L621="No Iniciado")),"CRÍTICO - Incumplimiento Normativo SEPS",IF(AND(OR(LEFT(N621,2)="L4",LEFT(N621,2)="L5"),AND(P621&lt;&gt;"",P621&lt;&gt;"N/A")),"CONFORME - Control Efectivo ISO 27001","OBSERVACIÓN - Revisar Controles")))</f>
        <v/>
      </c>
    </row>
    <row r="622">
      <c r="A622">
        <f>IF(INVENTARIO!A622="","",INVENTARIO!A622)</f>
        <v/>
      </c>
      <c r="B622">
        <f>IF(INVENTARIO!E622="","",INVENTARIO!E622)</f>
        <v/>
      </c>
      <c r="C622">
        <f>IF(INVENTARIO!F622="","",INVENTARIO!F622)</f>
        <v/>
      </c>
      <c r="D622">
        <f>IF(INVENTARIO!H622="","",INVENTARIO!H622)</f>
        <v/>
      </c>
      <c r="E622">
        <f>IF(INVENTARIO!I622="","",INVENTARIO!I622)</f>
        <v/>
      </c>
      <c r="F622">
        <f>IF(INVENTARIO!N622="","",INVENTARIO!N622)</f>
        <v/>
      </c>
      <c r="G622">
        <f>IF(INVENTARIO!P622="","",INVENTARIO!P622)</f>
        <v/>
      </c>
      <c r="H622">
        <f>IF(INVENTARIO!Q622="","",INVENTARIO!Q622)</f>
        <v/>
      </c>
      <c r="I622">
        <f>IF(INVENTARIO!R622="","",INVENTARIO!R622)</f>
        <v/>
      </c>
      <c r="J622">
        <f>IF(G622="PUBLICA(1)",1,IF(G622="USO INTERNO(2)",2,IF(G622="RESTRINGIDO(3)",3,0)))+IF(H622="BAJA(1)",1,IF(H622="MEDIA(2)",2,IF(H622="ALTA(3)",3,0)))+IF(I622="BAJA(1)",1,IF(I622="MEDIA(2)",2,IF(I622="ALTA(3)",3,0)))</f>
        <v/>
      </c>
      <c r="K622">
        <f>IF(J622="", "", IF(J622&gt;=8,"ALTA",IF(J622&gt;=6,"MEDIA","BAJA")))</f>
        <v/>
      </c>
      <c r="L622">
        <f>IF(INVENTARIO!Y622="","",INVENTARIO!Y622)</f>
        <v/>
      </c>
      <c r="M622">
        <f>IF(INVENTARIO!Z622="","",INVENTARIO!Z622)</f>
        <v/>
      </c>
      <c r="N622">
        <f>IF(INVENTARIO!AA622="","",INVENTARIO!AA622)</f>
        <v/>
      </c>
      <c r="O622">
        <f>IF(INVENTARIO!AB622="","",INVENTARIO!AB622)</f>
        <v/>
      </c>
      <c r="P622">
        <f>IF(INVENTARIO!AC622="","",INVENTARIO!AC622)</f>
        <v/>
      </c>
      <c r="Q622">
        <f>IF(AND(K622="",N622="",L622=""),"",IF(AND((K622="ALTA"),OR(LEFT(N622,2)="L0",LEFT(N622,2)="L1",L622="No Iniciado")),"CRÍTICO - Incumplimiento Normativo SEPS",IF(AND(OR(LEFT(N622,2)="L4",LEFT(N622,2)="L5"),AND(P622&lt;&gt;"",P622&lt;&gt;"N/A")),"CONFORME - Control Efectivo ISO 27001","OBSERVACIÓN - Revisar Controles")))</f>
        <v/>
      </c>
    </row>
    <row r="623">
      <c r="A623">
        <f>IF(INVENTARIO!A623="","",INVENTARIO!A623)</f>
        <v/>
      </c>
      <c r="B623">
        <f>IF(INVENTARIO!E623="","",INVENTARIO!E623)</f>
        <v/>
      </c>
      <c r="C623">
        <f>IF(INVENTARIO!F623="","",INVENTARIO!F623)</f>
        <v/>
      </c>
      <c r="D623">
        <f>IF(INVENTARIO!H623="","",INVENTARIO!H623)</f>
        <v/>
      </c>
      <c r="E623">
        <f>IF(INVENTARIO!I623="","",INVENTARIO!I623)</f>
        <v/>
      </c>
      <c r="F623">
        <f>IF(INVENTARIO!N623="","",INVENTARIO!N623)</f>
        <v/>
      </c>
      <c r="G623">
        <f>IF(INVENTARIO!P623="","",INVENTARIO!P623)</f>
        <v/>
      </c>
      <c r="H623">
        <f>IF(INVENTARIO!Q623="","",INVENTARIO!Q623)</f>
        <v/>
      </c>
      <c r="I623">
        <f>IF(INVENTARIO!R623="","",INVENTARIO!R623)</f>
        <v/>
      </c>
      <c r="J623">
        <f>IF(G623="PUBLICA(1)",1,IF(G623="USO INTERNO(2)",2,IF(G623="RESTRINGIDO(3)",3,0)))+IF(H623="BAJA(1)",1,IF(H623="MEDIA(2)",2,IF(H623="ALTA(3)",3,0)))+IF(I623="BAJA(1)",1,IF(I623="MEDIA(2)",2,IF(I623="ALTA(3)",3,0)))</f>
        <v/>
      </c>
      <c r="K623">
        <f>IF(J623="", "", IF(J623&gt;=8,"ALTA",IF(J623&gt;=6,"MEDIA","BAJA")))</f>
        <v/>
      </c>
      <c r="L623">
        <f>IF(INVENTARIO!Y623="","",INVENTARIO!Y623)</f>
        <v/>
      </c>
      <c r="M623">
        <f>IF(INVENTARIO!Z623="","",INVENTARIO!Z623)</f>
        <v/>
      </c>
      <c r="N623">
        <f>IF(INVENTARIO!AA623="","",INVENTARIO!AA623)</f>
        <v/>
      </c>
      <c r="O623">
        <f>IF(INVENTARIO!AB623="","",INVENTARIO!AB623)</f>
        <v/>
      </c>
      <c r="P623">
        <f>IF(INVENTARIO!AC623="","",INVENTARIO!AC623)</f>
        <v/>
      </c>
      <c r="Q623">
        <f>IF(AND(K623="",N623="",L623=""),"",IF(AND((K623="ALTA"),OR(LEFT(N623,2)="L0",LEFT(N623,2)="L1",L623="No Iniciado")),"CRÍTICO - Incumplimiento Normativo SEPS",IF(AND(OR(LEFT(N623,2)="L4",LEFT(N623,2)="L5"),AND(P623&lt;&gt;"",P623&lt;&gt;"N/A")),"CONFORME - Control Efectivo ISO 27001","OBSERVACIÓN - Revisar Controles")))</f>
        <v/>
      </c>
    </row>
    <row r="624">
      <c r="A624">
        <f>IF(INVENTARIO!A624="","",INVENTARIO!A624)</f>
        <v/>
      </c>
      <c r="B624">
        <f>IF(INVENTARIO!E624="","",INVENTARIO!E624)</f>
        <v/>
      </c>
      <c r="C624">
        <f>IF(INVENTARIO!F624="","",INVENTARIO!F624)</f>
        <v/>
      </c>
      <c r="D624">
        <f>IF(INVENTARIO!H624="","",INVENTARIO!H624)</f>
        <v/>
      </c>
      <c r="E624">
        <f>IF(INVENTARIO!I624="","",INVENTARIO!I624)</f>
        <v/>
      </c>
      <c r="F624">
        <f>IF(INVENTARIO!N624="","",INVENTARIO!N624)</f>
        <v/>
      </c>
      <c r="G624">
        <f>IF(INVENTARIO!P624="","",INVENTARIO!P624)</f>
        <v/>
      </c>
      <c r="H624">
        <f>IF(INVENTARIO!Q624="","",INVENTARIO!Q624)</f>
        <v/>
      </c>
      <c r="I624">
        <f>IF(INVENTARIO!R624="","",INVENTARIO!R624)</f>
        <v/>
      </c>
      <c r="J624">
        <f>IF(G624="PUBLICA(1)",1,IF(G624="USO INTERNO(2)",2,IF(G624="RESTRINGIDO(3)",3,0)))+IF(H624="BAJA(1)",1,IF(H624="MEDIA(2)",2,IF(H624="ALTA(3)",3,0)))+IF(I624="BAJA(1)",1,IF(I624="MEDIA(2)",2,IF(I624="ALTA(3)",3,0)))</f>
        <v/>
      </c>
      <c r="K624">
        <f>IF(J624="", "", IF(J624&gt;=8,"ALTA",IF(J624&gt;=6,"MEDIA","BAJA")))</f>
        <v/>
      </c>
      <c r="L624">
        <f>IF(INVENTARIO!Y624="","",INVENTARIO!Y624)</f>
        <v/>
      </c>
      <c r="M624">
        <f>IF(INVENTARIO!Z624="","",INVENTARIO!Z624)</f>
        <v/>
      </c>
      <c r="N624">
        <f>IF(INVENTARIO!AA624="","",INVENTARIO!AA624)</f>
        <v/>
      </c>
      <c r="O624">
        <f>IF(INVENTARIO!AB624="","",INVENTARIO!AB624)</f>
        <v/>
      </c>
      <c r="P624">
        <f>IF(INVENTARIO!AC624="","",INVENTARIO!AC624)</f>
        <v/>
      </c>
      <c r="Q624">
        <f>IF(AND(K624="",N624="",L624=""),"",IF(AND((K624="ALTA"),OR(LEFT(N624,2)="L0",LEFT(N624,2)="L1",L624="No Iniciado")),"CRÍTICO - Incumplimiento Normativo SEPS",IF(AND(OR(LEFT(N624,2)="L4",LEFT(N624,2)="L5"),AND(P624&lt;&gt;"",P624&lt;&gt;"N/A")),"CONFORME - Control Efectivo ISO 27001","OBSERVACIÓN - Revisar Controles")))</f>
        <v/>
      </c>
    </row>
    <row r="625">
      <c r="A625">
        <f>IF(INVENTARIO!A625="","",INVENTARIO!A625)</f>
        <v/>
      </c>
      <c r="B625">
        <f>IF(INVENTARIO!E625="","",INVENTARIO!E625)</f>
        <v/>
      </c>
      <c r="C625">
        <f>IF(INVENTARIO!F625="","",INVENTARIO!F625)</f>
        <v/>
      </c>
      <c r="D625">
        <f>IF(INVENTARIO!H625="","",INVENTARIO!H625)</f>
        <v/>
      </c>
      <c r="E625">
        <f>IF(INVENTARIO!I625="","",INVENTARIO!I625)</f>
        <v/>
      </c>
      <c r="F625">
        <f>IF(INVENTARIO!N625="","",INVENTARIO!N625)</f>
        <v/>
      </c>
      <c r="G625">
        <f>IF(INVENTARIO!P625="","",INVENTARIO!P625)</f>
        <v/>
      </c>
      <c r="H625">
        <f>IF(INVENTARIO!Q625="","",INVENTARIO!Q625)</f>
        <v/>
      </c>
      <c r="I625">
        <f>IF(INVENTARIO!R625="","",INVENTARIO!R625)</f>
        <v/>
      </c>
      <c r="J625">
        <f>IF(G625="PUBLICA(1)",1,IF(G625="USO INTERNO(2)",2,IF(G625="RESTRINGIDO(3)",3,0)))+IF(H625="BAJA(1)",1,IF(H625="MEDIA(2)",2,IF(H625="ALTA(3)",3,0)))+IF(I625="BAJA(1)",1,IF(I625="MEDIA(2)",2,IF(I625="ALTA(3)",3,0)))</f>
        <v/>
      </c>
      <c r="K625">
        <f>IF(J625="", "", IF(J625&gt;=8,"ALTA",IF(J625&gt;=6,"MEDIA","BAJA")))</f>
        <v/>
      </c>
      <c r="L625">
        <f>IF(INVENTARIO!Y625="","",INVENTARIO!Y625)</f>
        <v/>
      </c>
      <c r="M625">
        <f>IF(INVENTARIO!Z625="","",INVENTARIO!Z625)</f>
        <v/>
      </c>
      <c r="N625">
        <f>IF(INVENTARIO!AA625="","",INVENTARIO!AA625)</f>
        <v/>
      </c>
      <c r="O625">
        <f>IF(INVENTARIO!AB625="","",INVENTARIO!AB625)</f>
        <v/>
      </c>
      <c r="P625">
        <f>IF(INVENTARIO!AC625="","",INVENTARIO!AC625)</f>
        <v/>
      </c>
      <c r="Q625">
        <f>IF(AND(K625="",N625="",L625=""),"",IF(AND((K625="ALTA"),OR(LEFT(N625,2)="L0",LEFT(N625,2)="L1",L625="No Iniciado")),"CRÍTICO - Incumplimiento Normativo SEPS",IF(AND(OR(LEFT(N625,2)="L4",LEFT(N625,2)="L5"),AND(P625&lt;&gt;"",P625&lt;&gt;"N/A")),"CONFORME - Control Efectivo ISO 27001","OBSERVACIÓN - Revisar Controles")))</f>
        <v/>
      </c>
    </row>
    <row r="626">
      <c r="A626">
        <f>IF(INVENTARIO!A626="","",INVENTARIO!A626)</f>
        <v/>
      </c>
      <c r="B626">
        <f>IF(INVENTARIO!E626="","",INVENTARIO!E626)</f>
        <v/>
      </c>
      <c r="C626">
        <f>IF(INVENTARIO!F626="","",INVENTARIO!F626)</f>
        <v/>
      </c>
      <c r="D626">
        <f>IF(INVENTARIO!H626="","",INVENTARIO!H626)</f>
        <v/>
      </c>
      <c r="E626">
        <f>IF(INVENTARIO!I626="","",INVENTARIO!I626)</f>
        <v/>
      </c>
      <c r="F626">
        <f>IF(INVENTARIO!N626="","",INVENTARIO!N626)</f>
        <v/>
      </c>
      <c r="G626">
        <f>IF(INVENTARIO!P626="","",INVENTARIO!P626)</f>
        <v/>
      </c>
      <c r="H626">
        <f>IF(INVENTARIO!Q626="","",INVENTARIO!Q626)</f>
        <v/>
      </c>
      <c r="I626">
        <f>IF(INVENTARIO!R626="","",INVENTARIO!R626)</f>
        <v/>
      </c>
      <c r="J626">
        <f>IF(G626="PUBLICA(1)",1,IF(G626="USO INTERNO(2)",2,IF(G626="RESTRINGIDO(3)",3,0)))+IF(H626="BAJA(1)",1,IF(H626="MEDIA(2)",2,IF(H626="ALTA(3)",3,0)))+IF(I626="BAJA(1)",1,IF(I626="MEDIA(2)",2,IF(I626="ALTA(3)",3,0)))</f>
        <v/>
      </c>
      <c r="K626">
        <f>IF(J626="", "", IF(J626&gt;=8,"ALTA",IF(J626&gt;=6,"MEDIA","BAJA")))</f>
        <v/>
      </c>
      <c r="L626">
        <f>IF(INVENTARIO!Y626="","",INVENTARIO!Y626)</f>
        <v/>
      </c>
      <c r="M626">
        <f>IF(INVENTARIO!Z626="","",INVENTARIO!Z626)</f>
        <v/>
      </c>
      <c r="N626">
        <f>IF(INVENTARIO!AA626="","",INVENTARIO!AA626)</f>
        <v/>
      </c>
      <c r="O626">
        <f>IF(INVENTARIO!AB626="","",INVENTARIO!AB626)</f>
        <v/>
      </c>
      <c r="P626">
        <f>IF(INVENTARIO!AC626="","",INVENTARIO!AC626)</f>
        <v/>
      </c>
      <c r="Q626">
        <f>IF(AND(K626="",N626="",L626=""),"",IF(AND((K626="ALTA"),OR(LEFT(N626,2)="L0",LEFT(N626,2)="L1",L626="No Iniciado")),"CRÍTICO - Incumplimiento Normativo SEPS",IF(AND(OR(LEFT(N626,2)="L4",LEFT(N626,2)="L5"),AND(P626&lt;&gt;"",P626&lt;&gt;"N/A")),"CONFORME - Control Efectivo ISO 27001","OBSERVACIÓN - Revisar Controles")))</f>
        <v/>
      </c>
    </row>
    <row r="627">
      <c r="A627">
        <f>IF(INVENTARIO!A627="","",INVENTARIO!A627)</f>
        <v/>
      </c>
      <c r="B627">
        <f>IF(INVENTARIO!E627="","",INVENTARIO!E627)</f>
        <v/>
      </c>
      <c r="C627">
        <f>IF(INVENTARIO!F627="","",INVENTARIO!F627)</f>
        <v/>
      </c>
      <c r="D627">
        <f>IF(INVENTARIO!H627="","",INVENTARIO!H627)</f>
        <v/>
      </c>
      <c r="E627">
        <f>IF(INVENTARIO!I627="","",INVENTARIO!I627)</f>
        <v/>
      </c>
      <c r="F627">
        <f>IF(INVENTARIO!N627="","",INVENTARIO!N627)</f>
        <v/>
      </c>
      <c r="G627">
        <f>IF(INVENTARIO!P627="","",INVENTARIO!P627)</f>
        <v/>
      </c>
      <c r="H627">
        <f>IF(INVENTARIO!Q627="","",INVENTARIO!Q627)</f>
        <v/>
      </c>
      <c r="I627">
        <f>IF(INVENTARIO!R627="","",INVENTARIO!R627)</f>
        <v/>
      </c>
      <c r="J627">
        <f>IF(G627="PUBLICA(1)",1,IF(G627="USO INTERNO(2)",2,IF(G627="RESTRINGIDO(3)",3,0)))+IF(H627="BAJA(1)",1,IF(H627="MEDIA(2)",2,IF(H627="ALTA(3)",3,0)))+IF(I627="BAJA(1)",1,IF(I627="MEDIA(2)",2,IF(I627="ALTA(3)",3,0)))</f>
        <v/>
      </c>
      <c r="K627">
        <f>IF(J627="", "", IF(J627&gt;=8,"ALTA",IF(J627&gt;=6,"MEDIA","BAJA")))</f>
        <v/>
      </c>
      <c r="L627">
        <f>IF(INVENTARIO!Y627="","",INVENTARIO!Y627)</f>
        <v/>
      </c>
      <c r="M627">
        <f>IF(INVENTARIO!Z627="","",INVENTARIO!Z627)</f>
        <v/>
      </c>
      <c r="N627">
        <f>IF(INVENTARIO!AA627="","",INVENTARIO!AA627)</f>
        <v/>
      </c>
      <c r="O627">
        <f>IF(INVENTARIO!AB627="","",INVENTARIO!AB627)</f>
        <v/>
      </c>
      <c r="P627">
        <f>IF(INVENTARIO!AC627="","",INVENTARIO!AC627)</f>
        <v/>
      </c>
      <c r="Q627">
        <f>IF(AND(K627="",N627="",L627=""),"",IF(AND((K627="ALTA"),OR(LEFT(N627,2)="L0",LEFT(N627,2)="L1",L627="No Iniciado")),"CRÍTICO - Incumplimiento Normativo SEPS",IF(AND(OR(LEFT(N627,2)="L4",LEFT(N627,2)="L5"),AND(P627&lt;&gt;"",P627&lt;&gt;"N/A")),"CONFORME - Control Efectivo ISO 27001","OBSERVACIÓN - Revisar Controles")))</f>
        <v/>
      </c>
    </row>
    <row r="628">
      <c r="A628">
        <f>IF(INVENTARIO!A628="","",INVENTARIO!A628)</f>
        <v/>
      </c>
      <c r="B628">
        <f>IF(INVENTARIO!E628="","",INVENTARIO!E628)</f>
        <v/>
      </c>
      <c r="C628">
        <f>IF(INVENTARIO!F628="","",INVENTARIO!F628)</f>
        <v/>
      </c>
      <c r="D628">
        <f>IF(INVENTARIO!H628="","",INVENTARIO!H628)</f>
        <v/>
      </c>
      <c r="E628">
        <f>IF(INVENTARIO!I628="","",INVENTARIO!I628)</f>
        <v/>
      </c>
      <c r="F628">
        <f>IF(INVENTARIO!N628="","",INVENTARIO!N628)</f>
        <v/>
      </c>
      <c r="G628">
        <f>IF(INVENTARIO!P628="","",INVENTARIO!P628)</f>
        <v/>
      </c>
      <c r="H628">
        <f>IF(INVENTARIO!Q628="","",INVENTARIO!Q628)</f>
        <v/>
      </c>
      <c r="I628">
        <f>IF(INVENTARIO!R628="","",INVENTARIO!R628)</f>
        <v/>
      </c>
      <c r="J628">
        <f>IF(G628="PUBLICA(1)",1,IF(G628="USO INTERNO(2)",2,IF(G628="RESTRINGIDO(3)",3,0)))+IF(H628="BAJA(1)",1,IF(H628="MEDIA(2)",2,IF(H628="ALTA(3)",3,0)))+IF(I628="BAJA(1)",1,IF(I628="MEDIA(2)",2,IF(I628="ALTA(3)",3,0)))</f>
        <v/>
      </c>
      <c r="K628">
        <f>IF(J628="", "", IF(J628&gt;=8,"ALTA",IF(J628&gt;=6,"MEDIA","BAJA")))</f>
        <v/>
      </c>
      <c r="L628">
        <f>IF(INVENTARIO!Y628="","",INVENTARIO!Y628)</f>
        <v/>
      </c>
      <c r="M628">
        <f>IF(INVENTARIO!Z628="","",INVENTARIO!Z628)</f>
        <v/>
      </c>
      <c r="N628">
        <f>IF(INVENTARIO!AA628="","",INVENTARIO!AA628)</f>
        <v/>
      </c>
      <c r="O628">
        <f>IF(INVENTARIO!AB628="","",INVENTARIO!AB628)</f>
        <v/>
      </c>
      <c r="P628">
        <f>IF(INVENTARIO!AC628="","",INVENTARIO!AC628)</f>
        <v/>
      </c>
      <c r="Q628">
        <f>IF(AND(K628="",N628="",L628=""),"",IF(AND((K628="ALTA"),OR(LEFT(N628,2)="L0",LEFT(N628,2)="L1",L628="No Iniciado")),"CRÍTICO - Incumplimiento Normativo SEPS",IF(AND(OR(LEFT(N628,2)="L4",LEFT(N628,2)="L5"),AND(P628&lt;&gt;"",P628&lt;&gt;"N/A")),"CONFORME - Control Efectivo ISO 27001","OBSERVACIÓN - Revisar Controles")))</f>
        <v/>
      </c>
    </row>
    <row r="629">
      <c r="A629">
        <f>IF(INVENTARIO!A629="","",INVENTARIO!A629)</f>
        <v/>
      </c>
      <c r="B629">
        <f>IF(INVENTARIO!E629="","",INVENTARIO!E629)</f>
        <v/>
      </c>
      <c r="C629">
        <f>IF(INVENTARIO!F629="","",INVENTARIO!F629)</f>
        <v/>
      </c>
      <c r="D629">
        <f>IF(INVENTARIO!H629="","",INVENTARIO!H629)</f>
        <v/>
      </c>
      <c r="E629">
        <f>IF(INVENTARIO!I629="","",INVENTARIO!I629)</f>
        <v/>
      </c>
      <c r="F629">
        <f>IF(INVENTARIO!N629="","",INVENTARIO!N629)</f>
        <v/>
      </c>
      <c r="G629">
        <f>IF(INVENTARIO!P629="","",INVENTARIO!P629)</f>
        <v/>
      </c>
      <c r="H629">
        <f>IF(INVENTARIO!Q629="","",INVENTARIO!Q629)</f>
        <v/>
      </c>
      <c r="I629">
        <f>IF(INVENTARIO!R629="","",INVENTARIO!R629)</f>
        <v/>
      </c>
      <c r="J629">
        <f>IF(G629="PUBLICA(1)",1,IF(G629="USO INTERNO(2)",2,IF(G629="RESTRINGIDO(3)",3,0)))+IF(H629="BAJA(1)",1,IF(H629="MEDIA(2)",2,IF(H629="ALTA(3)",3,0)))+IF(I629="BAJA(1)",1,IF(I629="MEDIA(2)",2,IF(I629="ALTA(3)",3,0)))</f>
        <v/>
      </c>
      <c r="K629">
        <f>IF(J629="", "", IF(J629&gt;=8,"ALTA",IF(J629&gt;=6,"MEDIA","BAJA")))</f>
        <v/>
      </c>
      <c r="L629">
        <f>IF(INVENTARIO!Y629="","",INVENTARIO!Y629)</f>
        <v/>
      </c>
      <c r="M629">
        <f>IF(INVENTARIO!Z629="","",INVENTARIO!Z629)</f>
        <v/>
      </c>
      <c r="N629">
        <f>IF(INVENTARIO!AA629="","",INVENTARIO!AA629)</f>
        <v/>
      </c>
      <c r="O629">
        <f>IF(INVENTARIO!AB629="","",INVENTARIO!AB629)</f>
        <v/>
      </c>
      <c r="P629">
        <f>IF(INVENTARIO!AC629="","",INVENTARIO!AC629)</f>
        <v/>
      </c>
      <c r="Q629">
        <f>IF(AND(K629="",N629="",L629=""),"",IF(AND((K629="ALTA"),OR(LEFT(N629,2)="L0",LEFT(N629,2)="L1",L629="No Iniciado")),"CRÍTICO - Incumplimiento Normativo SEPS",IF(AND(OR(LEFT(N629,2)="L4",LEFT(N629,2)="L5"),AND(P629&lt;&gt;"",P629&lt;&gt;"N/A")),"CONFORME - Control Efectivo ISO 27001","OBSERVACIÓN - Revisar Controles")))</f>
        <v/>
      </c>
    </row>
    <row r="630">
      <c r="A630">
        <f>IF(INVENTARIO!A630="","",INVENTARIO!A630)</f>
        <v/>
      </c>
      <c r="B630">
        <f>IF(INVENTARIO!E630="","",INVENTARIO!E630)</f>
        <v/>
      </c>
      <c r="C630">
        <f>IF(INVENTARIO!F630="","",INVENTARIO!F630)</f>
        <v/>
      </c>
      <c r="D630">
        <f>IF(INVENTARIO!H630="","",INVENTARIO!H630)</f>
        <v/>
      </c>
      <c r="E630">
        <f>IF(INVENTARIO!I630="","",INVENTARIO!I630)</f>
        <v/>
      </c>
      <c r="F630">
        <f>IF(INVENTARIO!N630="","",INVENTARIO!N630)</f>
        <v/>
      </c>
      <c r="G630">
        <f>IF(INVENTARIO!P630="","",INVENTARIO!P630)</f>
        <v/>
      </c>
      <c r="H630">
        <f>IF(INVENTARIO!Q630="","",INVENTARIO!Q630)</f>
        <v/>
      </c>
      <c r="I630">
        <f>IF(INVENTARIO!R630="","",INVENTARIO!R630)</f>
        <v/>
      </c>
      <c r="J630">
        <f>IF(G630="PUBLICA(1)",1,IF(G630="USO INTERNO(2)",2,IF(G630="RESTRINGIDO(3)",3,0)))+IF(H630="BAJA(1)",1,IF(H630="MEDIA(2)",2,IF(H630="ALTA(3)",3,0)))+IF(I630="BAJA(1)",1,IF(I630="MEDIA(2)",2,IF(I630="ALTA(3)",3,0)))</f>
        <v/>
      </c>
      <c r="K630">
        <f>IF(J630="", "", IF(J630&gt;=8,"ALTA",IF(J630&gt;=6,"MEDIA","BAJA")))</f>
        <v/>
      </c>
      <c r="L630">
        <f>IF(INVENTARIO!Y630="","",INVENTARIO!Y630)</f>
        <v/>
      </c>
      <c r="M630">
        <f>IF(INVENTARIO!Z630="","",INVENTARIO!Z630)</f>
        <v/>
      </c>
      <c r="N630">
        <f>IF(INVENTARIO!AA630="","",INVENTARIO!AA630)</f>
        <v/>
      </c>
      <c r="O630">
        <f>IF(INVENTARIO!AB630="","",INVENTARIO!AB630)</f>
        <v/>
      </c>
      <c r="P630">
        <f>IF(INVENTARIO!AC630="","",INVENTARIO!AC630)</f>
        <v/>
      </c>
      <c r="Q630">
        <f>IF(AND(K630="",N630="",L630=""),"",IF(AND((K630="ALTA"),OR(LEFT(N630,2)="L0",LEFT(N630,2)="L1",L630="No Iniciado")),"CRÍTICO - Incumplimiento Normativo SEPS",IF(AND(OR(LEFT(N630,2)="L4",LEFT(N630,2)="L5"),AND(P630&lt;&gt;"",P630&lt;&gt;"N/A")),"CONFORME - Control Efectivo ISO 27001","OBSERVACIÓN - Revisar Controles")))</f>
        <v/>
      </c>
    </row>
    <row r="631">
      <c r="A631">
        <f>IF(INVENTARIO!A631="","",INVENTARIO!A631)</f>
        <v/>
      </c>
      <c r="B631">
        <f>IF(INVENTARIO!E631="","",INVENTARIO!E631)</f>
        <v/>
      </c>
      <c r="C631">
        <f>IF(INVENTARIO!F631="","",INVENTARIO!F631)</f>
        <v/>
      </c>
      <c r="D631">
        <f>IF(INVENTARIO!H631="","",INVENTARIO!H631)</f>
        <v/>
      </c>
      <c r="E631">
        <f>IF(INVENTARIO!I631="","",INVENTARIO!I631)</f>
        <v/>
      </c>
      <c r="F631">
        <f>IF(INVENTARIO!N631="","",INVENTARIO!N631)</f>
        <v/>
      </c>
      <c r="G631">
        <f>IF(INVENTARIO!P631="","",INVENTARIO!P631)</f>
        <v/>
      </c>
      <c r="H631">
        <f>IF(INVENTARIO!Q631="","",INVENTARIO!Q631)</f>
        <v/>
      </c>
      <c r="I631">
        <f>IF(INVENTARIO!R631="","",INVENTARIO!R631)</f>
        <v/>
      </c>
      <c r="J631">
        <f>IF(G631="PUBLICA(1)",1,IF(G631="USO INTERNO(2)",2,IF(G631="RESTRINGIDO(3)",3,0)))+IF(H631="BAJA(1)",1,IF(H631="MEDIA(2)",2,IF(H631="ALTA(3)",3,0)))+IF(I631="BAJA(1)",1,IF(I631="MEDIA(2)",2,IF(I631="ALTA(3)",3,0)))</f>
        <v/>
      </c>
      <c r="K631">
        <f>IF(J631="", "", IF(J631&gt;=8,"ALTA",IF(J631&gt;=6,"MEDIA","BAJA")))</f>
        <v/>
      </c>
      <c r="L631">
        <f>IF(INVENTARIO!Y631="","",INVENTARIO!Y631)</f>
        <v/>
      </c>
      <c r="M631">
        <f>IF(INVENTARIO!Z631="","",INVENTARIO!Z631)</f>
        <v/>
      </c>
      <c r="N631">
        <f>IF(INVENTARIO!AA631="","",INVENTARIO!AA631)</f>
        <v/>
      </c>
      <c r="O631">
        <f>IF(INVENTARIO!AB631="","",INVENTARIO!AB631)</f>
        <v/>
      </c>
      <c r="P631">
        <f>IF(INVENTARIO!AC631="","",INVENTARIO!AC631)</f>
        <v/>
      </c>
      <c r="Q631">
        <f>IF(AND(K631="",N631="",L631=""),"",IF(AND((K631="ALTA"),OR(LEFT(N631,2)="L0",LEFT(N631,2)="L1",L631="No Iniciado")),"CRÍTICO - Incumplimiento Normativo SEPS",IF(AND(OR(LEFT(N631,2)="L4",LEFT(N631,2)="L5"),AND(P631&lt;&gt;"",P631&lt;&gt;"N/A")),"CONFORME - Control Efectivo ISO 27001","OBSERVACIÓN - Revisar Controles")))</f>
        <v/>
      </c>
    </row>
    <row r="632">
      <c r="A632">
        <f>IF(INVENTARIO!A632="","",INVENTARIO!A632)</f>
        <v/>
      </c>
      <c r="B632">
        <f>IF(INVENTARIO!E632="","",INVENTARIO!E632)</f>
        <v/>
      </c>
      <c r="C632">
        <f>IF(INVENTARIO!F632="","",INVENTARIO!F632)</f>
        <v/>
      </c>
      <c r="D632">
        <f>IF(INVENTARIO!H632="","",INVENTARIO!H632)</f>
        <v/>
      </c>
      <c r="E632">
        <f>IF(INVENTARIO!I632="","",INVENTARIO!I632)</f>
        <v/>
      </c>
      <c r="F632">
        <f>IF(INVENTARIO!N632="","",INVENTARIO!N632)</f>
        <v/>
      </c>
      <c r="G632">
        <f>IF(INVENTARIO!P632="","",INVENTARIO!P632)</f>
        <v/>
      </c>
      <c r="H632">
        <f>IF(INVENTARIO!Q632="","",INVENTARIO!Q632)</f>
        <v/>
      </c>
      <c r="I632">
        <f>IF(INVENTARIO!R632="","",INVENTARIO!R632)</f>
        <v/>
      </c>
      <c r="J632">
        <f>IF(G632="PUBLICA(1)",1,IF(G632="USO INTERNO(2)",2,IF(G632="RESTRINGIDO(3)",3,0)))+IF(H632="BAJA(1)",1,IF(H632="MEDIA(2)",2,IF(H632="ALTA(3)",3,0)))+IF(I632="BAJA(1)",1,IF(I632="MEDIA(2)",2,IF(I632="ALTA(3)",3,0)))</f>
        <v/>
      </c>
      <c r="K632">
        <f>IF(J632="", "", IF(J632&gt;=8,"ALTA",IF(J632&gt;=6,"MEDIA","BAJA")))</f>
        <v/>
      </c>
      <c r="L632">
        <f>IF(INVENTARIO!Y632="","",INVENTARIO!Y632)</f>
        <v/>
      </c>
      <c r="M632">
        <f>IF(INVENTARIO!Z632="","",INVENTARIO!Z632)</f>
        <v/>
      </c>
      <c r="N632">
        <f>IF(INVENTARIO!AA632="","",INVENTARIO!AA632)</f>
        <v/>
      </c>
      <c r="O632">
        <f>IF(INVENTARIO!AB632="","",INVENTARIO!AB632)</f>
        <v/>
      </c>
      <c r="P632">
        <f>IF(INVENTARIO!AC632="","",INVENTARIO!AC632)</f>
        <v/>
      </c>
      <c r="Q632">
        <f>IF(AND(K632="",N632="",L632=""),"",IF(AND((K632="ALTA"),OR(LEFT(N632,2)="L0",LEFT(N632,2)="L1",L632="No Iniciado")),"CRÍTICO - Incumplimiento Normativo SEPS",IF(AND(OR(LEFT(N632,2)="L4",LEFT(N632,2)="L5"),AND(P632&lt;&gt;"",P632&lt;&gt;"N/A")),"CONFORME - Control Efectivo ISO 27001","OBSERVACIÓN - Revisar Controles")))</f>
        <v/>
      </c>
    </row>
    <row r="633">
      <c r="A633">
        <f>IF(INVENTARIO!A633="","",INVENTARIO!A633)</f>
        <v/>
      </c>
      <c r="B633">
        <f>IF(INVENTARIO!E633="","",INVENTARIO!E633)</f>
        <v/>
      </c>
      <c r="C633">
        <f>IF(INVENTARIO!F633="","",INVENTARIO!F633)</f>
        <v/>
      </c>
      <c r="D633">
        <f>IF(INVENTARIO!H633="","",INVENTARIO!H633)</f>
        <v/>
      </c>
      <c r="E633">
        <f>IF(INVENTARIO!I633="","",INVENTARIO!I633)</f>
        <v/>
      </c>
      <c r="F633">
        <f>IF(INVENTARIO!N633="","",INVENTARIO!N633)</f>
        <v/>
      </c>
      <c r="G633">
        <f>IF(INVENTARIO!P633="","",INVENTARIO!P633)</f>
        <v/>
      </c>
      <c r="H633">
        <f>IF(INVENTARIO!Q633="","",INVENTARIO!Q633)</f>
        <v/>
      </c>
      <c r="I633">
        <f>IF(INVENTARIO!R633="","",INVENTARIO!R633)</f>
        <v/>
      </c>
      <c r="J633">
        <f>IF(G633="PUBLICA(1)",1,IF(G633="USO INTERNO(2)",2,IF(G633="RESTRINGIDO(3)",3,0)))+IF(H633="BAJA(1)",1,IF(H633="MEDIA(2)",2,IF(H633="ALTA(3)",3,0)))+IF(I633="BAJA(1)",1,IF(I633="MEDIA(2)",2,IF(I633="ALTA(3)",3,0)))</f>
        <v/>
      </c>
      <c r="K633">
        <f>IF(J633="", "", IF(J633&gt;=8,"ALTA",IF(J633&gt;=6,"MEDIA","BAJA")))</f>
        <v/>
      </c>
      <c r="L633">
        <f>IF(INVENTARIO!Y633="","",INVENTARIO!Y633)</f>
        <v/>
      </c>
      <c r="M633">
        <f>IF(INVENTARIO!Z633="","",INVENTARIO!Z633)</f>
        <v/>
      </c>
      <c r="N633">
        <f>IF(INVENTARIO!AA633="","",INVENTARIO!AA633)</f>
        <v/>
      </c>
      <c r="O633">
        <f>IF(INVENTARIO!AB633="","",INVENTARIO!AB633)</f>
        <v/>
      </c>
      <c r="P633">
        <f>IF(INVENTARIO!AC633="","",INVENTARIO!AC633)</f>
        <v/>
      </c>
      <c r="Q633">
        <f>IF(AND(K633="",N633="",L633=""),"",IF(AND((K633="ALTA"),OR(LEFT(N633,2)="L0",LEFT(N633,2)="L1",L633="No Iniciado")),"CRÍTICO - Incumplimiento Normativo SEPS",IF(AND(OR(LEFT(N633,2)="L4",LEFT(N633,2)="L5"),AND(P633&lt;&gt;"",P633&lt;&gt;"N/A")),"CONFORME - Control Efectivo ISO 27001","OBSERVACIÓN - Revisar Controles")))</f>
        <v/>
      </c>
    </row>
    <row r="634">
      <c r="A634">
        <f>IF(INVENTARIO!A634="","",INVENTARIO!A634)</f>
        <v/>
      </c>
      <c r="B634">
        <f>IF(INVENTARIO!E634="","",INVENTARIO!E634)</f>
        <v/>
      </c>
      <c r="C634">
        <f>IF(INVENTARIO!F634="","",INVENTARIO!F634)</f>
        <v/>
      </c>
      <c r="D634">
        <f>IF(INVENTARIO!H634="","",INVENTARIO!H634)</f>
        <v/>
      </c>
      <c r="E634">
        <f>IF(INVENTARIO!I634="","",INVENTARIO!I634)</f>
        <v/>
      </c>
      <c r="F634">
        <f>IF(INVENTARIO!N634="","",INVENTARIO!N634)</f>
        <v/>
      </c>
      <c r="G634">
        <f>IF(INVENTARIO!P634="","",INVENTARIO!P634)</f>
        <v/>
      </c>
      <c r="H634">
        <f>IF(INVENTARIO!Q634="","",INVENTARIO!Q634)</f>
        <v/>
      </c>
      <c r="I634">
        <f>IF(INVENTARIO!R634="","",INVENTARIO!R634)</f>
        <v/>
      </c>
      <c r="J634">
        <f>IF(G634="PUBLICA(1)",1,IF(G634="USO INTERNO(2)",2,IF(G634="RESTRINGIDO(3)",3,0)))+IF(H634="BAJA(1)",1,IF(H634="MEDIA(2)",2,IF(H634="ALTA(3)",3,0)))+IF(I634="BAJA(1)",1,IF(I634="MEDIA(2)",2,IF(I634="ALTA(3)",3,0)))</f>
        <v/>
      </c>
      <c r="K634">
        <f>IF(J634="", "", IF(J634&gt;=8,"ALTA",IF(J634&gt;=6,"MEDIA","BAJA")))</f>
        <v/>
      </c>
      <c r="L634">
        <f>IF(INVENTARIO!Y634="","",INVENTARIO!Y634)</f>
        <v/>
      </c>
      <c r="M634">
        <f>IF(INVENTARIO!Z634="","",INVENTARIO!Z634)</f>
        <v/>
      </c>
      <c r="N634">
        <f>IF(INVENTARIO!AA634="","",INVENTARIO!AA634)</f>
        <v/>
      </c>
      <c r="O634">
        <f>IF(INVENTARIO!AB634="","",INVENTARIO!AB634)</f>
        <v/>
      </c>
      <c r="P634">
        <f>IF(INVENTARIO!AC634="","",INVENTARIO!AC634)</f>
        <v/>
      </c>
      <c r="Q634">
        <f>IF(AND(K634="",N634="",L634=""),"",IF(AND((K634="ALTA"),OR(LEFT(N634,2)="L0",LEFT(N634,2)="L1",L634="No Iniciado")),"CRÍTICO - Incumplimiento Normativo SEPS",IF(AND(OR(LEFT(N634,2)="L4",LEFT(N634,2)="L5"),AND(P634&lt;&gt;"",P634&lt;&gt;"N/A")),"CONFORME - Control Efectivo ISO 27001","OBSERVACIÓN - Revisar Controles")))</f>
        <v/>
      </c>
    </row>
    <row r="635">
      <c r="A635">
        <f>IF(INVENTARIO!A635="","",INVENTARIO!A635)</f>
        <v/>
      </c>
      <c r="B635">
        <f>IF(INVENTARIO!E635="","",INVENTARIO!E635)</f>
        <v/>
      </c>
      <c r="C635">
        <f>IF(INVENTARIO!F635="","",INVENTARIO!F635)</f>
        <v/>
      </c>
      <c r="D635">
        <f>IF(INVENTARIO!H635="","",INVENTARIO!H635)</f>
        <v/>
      </c>
      <c r="E635">
        <f>IF(INVENTARIO!I635="","",INVENTARIO!I635)</f>
        <v/>
      </c>
      <c r="F635">
        <f>IF(INVENTARIO!N635="","",INVENTARIO!N635)</f>
        <v/>
      </c>
      <c r="G635">
        <f>IF(INVENTARIO!P635="","",INVENTARIO!P635)</f>
        <v/>
      </c>
      <c r="H635">
        <f>IF(INVENTARIO!Q635="","",INVENTARIO!Q635)</f>
        <v/>
      </c>
      <c r="I635">
        <f>IF(INVENTARIO!R635="","",INVENTARIO!R635)</f>
        <v/>
      </c>
      <c r="J635">
        <f>IF(G635="PUBLICA(1)",1,IF(G635="USO INTERNO(2)",2,IF(G635="RESTRINGIDO(3)",3,0)))+IF(H635="BAJA(1)",1,IF(H635="MEDIA(2)",2,IF(H635="ALTA(3)",3,0)))+IF(I635="BAJA(1)",1,IF(I635="MEDIA(2)",2,IF(I635="ALTA(3)",3,0)))</f>
        <v/>
      </c>
      <c r="K635">
        <f>IF(J635="", "", IF(J635&gt;=8,"ALTA",IF(J635&gt;=6,"MEDIA","BAJA")))</f>
        <v/>
      </c>
      <c r="L635">
        <f>IF(INVENTARIO!Y635="","",INVENTARIO!Y635)</f>
        <v/>
      </c>
      <c r="M635">
        <f>IF(INVENTARIO!Z635="","",INVENTARIO!Z635)</f>
        <v/>
      </c>
      <c r="N635">
        <f>IF(INVENTARIO!AA635="","",INVENTARIO!AA635)</f>
        <v/>
      </c>
      <c r="O635">
        <f>IF(INVENTARIO!AB635="","",INVENTARIO!AB635)</f>
        <v/>
      </c>
      <c r="P635">
        <f>IF(INVENTARIO!AC635="","",INVENTARIO!AC635)</f>
        <v/>
      </c>
      <c r="Q635">
        <f>IF(AND(K635="",N635="",L635=""),"",IF(AND((K635="ALTA"),OR(LEFT(N635,2)="L0",LEFT(N635,2)="L1",L635="No Iniciado")),"CRÍTICO - Incumplimiento Normativo SEPS",IF(AND(OR(LEFT(N635,2)="L4",LEFT(N635,2)="L5"),AND(P635&lt;&gt;"",P635&lt;&gt;"N/A")),"CONFORME - Control Efectivo ISO 27001","OBSERVACIÓN - Revisar Controles")))</f>
        <v/>
      </c>
    </row>
    <row r="636">
      <c r="A636">
        <f>IF(INVENTARIO!A636="","",INVENTARIO!A636)</f>
        <v/>
      </c>
      <c r="B636">
        <f>IF(INVENTARIO!E636="","",INVENTARIO!E636)</f>
        <v/>
      </c>
      <c r="C636">
        <f>IF(INVENTARIO!F636="","",INVENTARIO!F636)</f>
        <v/>
      </c>
      <c r="D636">
        <f>IF(INVENTARIO!H636="","",INVENTARIO!H636)</f>
        <v/>
      </c>
      <c r="E636">
        <f>IF(INVENTARIO!I636="","",INVENTARIO!I636)</f>
        <v/>
      </c>
      <c r="F636">
        <f>IF(INVENTARIO!N636="","",INVENTARIO!N636)</f>
        <v/>
      </c>
      <c r="G636">
        <f>IF(INVENTARIO!P636="","",INVENTARIO!P636)</f>
        <v/>
      </c>
      <c r="H636">
        <f>IF(INVENTARIO!Q636="","",INVENTARIO!Q636)</f>
        <v/>
      </c>
      <c r="I636">
        <f>IF(INVENTARIO!R636="","",INVENTARIO!R636)</f>
        <v/>
      </c>
      <c r="J636">
        <f>IF(G636="PUBLICA(1)",1,IF(G636="USO INTERNO(2)",2,IF(G636="RESTRINGIDO(3)",3,0)))+IF(H636="BAJA(1)",1,IF(H636="MEDIA(2)",2,IF(H636="ALTA(3)",3,0)))+IF(I636="BAJA(1)",1,IF(I636="MEDIA(2)",2,IF(I636="ALTA(3)",3,0)))</f>
        <v/>
      </c>
      <c r="K636">
        <f>IF(J636="", "", IF(J636&gt;=8,"ALTA",IF(J636&gt;=6,"MEDIA","BAJA")))</f>
        <v/>
      </c>
      <c r="L636">
        <f>IF(INVENTARIO!Y636="","",INVENTARIO!Y636)</f>
        <v/>
      </c>
      <c r="M636">
        <f>IF(INVENTARIO!Z636="","",INVENTARIO!Z636)</f>
        <v/>
      </c>
      <c r="N636">
        <f>IF(INVENTARIO!AA636="","",INVENTARIO!AA636)</f>
        <v/>
      </c>
      <c r="O636">
        <f>IF(INVENTARIO!AB636="","",INVENTARIO!AB636)</f>
        <v/>
      </c>
      <c r="P636">
        <f>IF(INVENTARIO!AC636="","",INVENTARIO!AC636)</f>
        <v/>
      </c>
      <c r="Q636">
        <f>IF(AND(K636="",N636="",L636=""),"",IF(AND((K636="ALTA"),OR(LEFT(N636,2)="L0",LEFT(N636,2)="L1",L636="No Iniciado")),"CRÍTICO - Incumplimiento Normativo SEPS",IF(AND(OR(LEFT(N636,2)="L4",LEFT(N636,2)="L5"),AND(P636&lt;&gt;"",P636&lt;&gt;"N/A")),"CONFORME - Control Efectivo ISO 27001","OBSERVACIÓN - Revisar Controles")))</f>
        <v/>
      </c>
    </row>
    <row r="637">
      <c r="A637">
        <f>IF(INVENTARIO!A637="","",INVENTARIO!A637)</f>
        <v/>
      </c>
      <c r="B637">
        <f>IF(INVENTARIO!E637="","",INVENTARIO!E637)</f>
        <v/>
      </c>
      <c r="C637">
        <f>IF(INVENTARIO!F637="","",INVENTARIO!F637)</f>
        <v/>
      </c>
      <c r="D637">
        <f>IF(INVENTARIO!H637="","",INVENTARIO!H637)</f>
        <v/>
      </c>
      <c r="E637">
        <f>IF(INVENTARIO!I637="","",INVENTARIO!I637)</f>
        <v/>
      </c>
      <c r="F637">
        <f>IF(INVENTARIO!N637="","",INVENTARIO!N637)</f>
        <v/>
      </c>
      <c r="G637">
        <f>IF(INVENTARIO!P637="","",INVENTARIO!P637)</f>
        <v/>
      </c>
      <c r="H637">
        <f>IF(INVENTARIO!Q637="","",INVENTARIO!Q637)</f>
        <v/>
      </c>
      <c r="I637">
        <f>IF(INVENTARIO!R637="","",INVENTARIO!R637)</f>
        <v/>
      </c>
      <c r="J637">
        <f>IF(G637="PUBLICA(1)",1,IF(G637="USO INTERNO(2)",2,IF(G637="RESTRINGIDO(3)",3,0)))+IF(H637="BAJA(1)",1,IF(H637="MEDIA(2)",2,IF(H637="ALTA(3)",3,0)))+IF(I637="BAJA(1)",1,IF(I637="MEDIA(2)",2,IF(I637="ALTA(3)",3,0)))</f>
        <v/>
      </c>
      <c r="K637">
        <f>IF(J637="", "", IF(J637&gt;=8,"ALTA",IF(J637&gt;=6,"MEDIA","BAJA")))</f>
        <v/>
      </c>
      <c r="L637">
        <f>IF(INVENTARIO!Y637="","",INVENTARIO!Y637)</f>
        <v/>
      </c>
      <c r="M637">
        <f>IF(INVENTARIO!Z637="","",INVENTARIO!Z637)</f>
        <v/>
      </c>
      <c r="N637">
        <f>IF(INVENTARIO!AA637="","",INVENTARIO!AA637)</f>
        <v/>
      </c>
      <c r="O637">
        <f>IF(INVENTARIO!AB637="","",INVENTARIO!AB637)</f>
        <v/>
      </c>
      <c r="P637">
        <f>IF(INVENTARIO!AC637="","",INVENTARIO!AC637)</f>
        <v/>
      </c>
      <c r="Q637">
        <f>IF(AND(K637="",N637="",L637=""),"",IF(AND((K637="ALTA"),OR(LEFT(N637,2)="L0",LEFT(N637,2)="L1",L637="No Iniciado")),"CRÍTICO - Incumplimiento Normativo SEPS",IF(AND(OR(LEFT(N637,2)="L4",LEFT(N637,2)="L5"),AND(P637&lt;&gt;"",P637&lt;&gt;"N/A")),"CONFORME - Control Efectivo ISO 27001","OBSERVACIÓN - Revisar Controles")))</f>
        <v/>
      </c>
    </row>
    <row r="638">
      <c r="A638">
        <f>IF(INVENTARIO!A638="","",INVENTARIO!A638)</f>
        <v/>
      </c>
      <c r="B638">
        <f>IF(INVENTARIO!E638="","",INVENTARIO!E638)</f>
        <v/>
      </c>
      <c r="C638">
        <f>IF(INVENTARIO!F638="","",INVENTARIO!F638)</f>
        <v/>
      </c>
      <c r="D638">
        <f>IF(INVENTARIO!H638="","",INVENTARIO!H638)</f>
        <v/>
      </c>
      <c r="E638">
        <f>IF(INVENTARIO!I638="","",INVENTARIO!I638)</f>
        <v/>
      </c>
      <c r="F638">
        <f>IF(INVENTARIO!N638="","",INVENTARIO!N638)</f>
        <v/>
      </c>
      <c r="G638">
        <f>IF(INVENTARIO!P638="","",INVENTARIO!P638)</f>
        <v/>
      </c>
      <c r="H638">
        <f>IF(INVENTARIO!Q638="","",INVENTARIO!Q638)</f>
        <v/>
      </c>
      <c r="I638">
        <f>IF(INVENTARIO!R638="","",INVENTARIO!R638)</f>
        <v/>
      </c>
      <c r="J638">
        <f>IF(G638="PUBLICA(1)",1,IF(G638="USO INTERNO(2)",2,IF(G638="RESTRINGIDO(3)",3,0)))+IF(H638="BAJA(1)",1,IF(H638="MEDIA(2)",2,IF(H638="ALTA(3)",3,0)))+IF(I638="BAJA(1)",1,IF(I638="MEDIA(2)",2,IF(I638="ALTA(3)",3,0)))</f>
        <v/>
      </c>
      <c r="K638">
        <f>IF(J638="", "", IF(J638&gt;=8,"ALTA",IF(J638&gt;=6,"MEDIA","BAJA")))</f>
        <v/>
      </c>
      <c r="L638">
        <f>IF(INVENTARIO!Y638="","",INVENTARIO!Y638)</f>
        <v/>
      </c>
      <c r="M638">
        <f>IF(INVENTARIO!Z638="","",INVENTARIO!Z638)</f>
        <v/>
      </c>
      <c r="N638">
        <f>IF(INVENTARIO!AA638="","",INVENTARIO!AA638)</f>
        <v/>
      </c>
      <c r="O638">
        <f>IF(INVENTARIO!AB638="","",INVENTARIO!AB638)</f>
        <v/>
      </c>
      <c r="P638">
        <f>IF(INVENTARIO!AC638="","",INVENTARIO!AC638)</f>
        <v/>
      </c>
      <c r="Q638">
        <f>IF(AND(K638="",N638="",L638=""),"",IF(AND((K638="ALTA"),OR(LEFT(N638,2)="L0",LEFT(N638,2)="L1",L638="No Iniciado")),"CRÍTICO - Incumplimiento Normativo SEPS",IF(AND(OR(LEFT(N638,2)="L4",LEFT(N638,2)="L5"),AND(P638&lt;&gt;"",P638&lt;&gt;"N/A")),"CONFORME - Control Efectivo ISO 27001","OBSERVACIÓN - Revisar Controles")))</f>
        <v/>
      </c>
    </row>
    <row r="639">
      <c r="A639">
        <f>IF(INVENTARIO!A639="","",INVENTARIO!A639)</f>
        <v/>
      </c>
      <c r="B639">
        <f>IF(INVENTARIO!E639="","",INVENTARIO!E639)</f>
        <v/>
      </c>
      <c r="C639">
        <f>IF(INVENTARIO!F639="","",INVENTARIO!F639)</f>
        <v/>
      </c>
      <c r="D639">
        <f>IF(INVENTARIO!H639="","",INVENTARIO!H639)</f>
        <v/>
      </c>
      <c r="E639">
        <f>IF(INVENTARIO!I639="","",INVENTARIO!I639)</f>
        <v/>
      </c>
      <c r="F639">
        <f>IF(INVENTARIO!N639="","",INVENTARIO!N639)</f>
        <v/>
      </c>
      <c r="G639">
        <f>IF(INVENTARIO!P639="","",INVENTARIO!P639)</f>
        <v/>
      </c>
      <c r="H639">
        <f>IF(INVENTARIO!Q639="","",INVENTARIO!Q639)</f>
        <v/>
      </c>
      <c r="I639">
        <f>IF(INVENTARIO!R639="","",INVENTARIO!R639)</f>
        <v/>
      </c>
      <c r="J639">
        <f>IF(G639="PUBLICA(1)",1,IF(G639="USO INTERNO(2)",2,IF(G639="RESTRINGIDO(3)",3,0)))+IF(H639="BAJA(1)",1,IF(H639="MEDIA(2)",2,IF(H639="ALTA(3)",3,0)))+IF(I639="BAJA(1)",1,IF(I639="MEDIA(2)",2,IF(I639="ALTA(3)",3,0)))</f>
        <v/>
      </c>
      <c r="K639">
        <f>IF(J639="", "", IF(J639&gt;=8,"ALTA",IF(J639&gt;=6,"MEDIA","BAJA")))</f>
        <v/>
      </c>
      <c r="L639">
        <f>IF(INVENTARIO!Y639="","",INVENTARIO!Y639)</f>
        <v/>
      </c>
      <c r="M639">
        <f>IF(INVENTARIO!Z639="","",INVENTARIO!Z639)</f>
        <v/>
      </c>
      <c r="N639">
        <f>IF(INVENTARIO!AA639="","",INVENTARIO!AA639)</f>
        <v/>
      </c>
      <c r="O639">
        <f>IF(INVENTARIO!AB639="","",INVENTARIO!AB639)</f>
        <v/>
      </c>
      <c r="P639">
        <f>IF(INVENTARIO!AC639="","",INVENTARIO!AC639)</f>
        <v/>
      </c>
      <c r="Q639">
        <f>IF(AND(K639="",N639="",L639=""),"",IF(AND((K639="ALTA"),OR(LEFT(N639,2)="L0",LEFT(N639,2)="L1",L639="No Iniciado")),"CRÍTICO - Incumplimiento Normativo SEPS",IF(AND(OR(LEFT(N639,2)="L4",LEFT(N639,2)="L5"),AND(P639&lt;&gt;"",P639&lt;&gt;"N/A")),"CONFORME - Control Efectivo ISO 27001","OBSERVACIÓN - Revisar Controles")))</f>
        <v/>
      </c>
    </row>
    <row r="640">
      <c r="A640">
        <f>IF(INVENTARIO!A640="","",INVENTARIO!A640)</f>
        <v/>
      </c>
      <c r="B640">
        <f>IF(INVENTARIO!E640="","",INVENTARIO!E640)</f>
        <v/>
      </c>
      <c r="C640">
        <f>IF(INVENTARIO!F640="","",INVENTARIO!F640)</f>
        <v/>
      </c>
      <c r="D640">
        <f>IF(INVENTARIO!H640="","",INVENTARIO!H640)</f>
        <v/>
      </c>
      <c r="E640">
        <f>IF(INVENTARIO!I640="","",INVENTARIO!I640)</f>
        <v/>
      </c>
      <c r="F640">
        <f>IF(INVENTARIO!N640="","",INVENTARIO!N640)</f>
        <v/>
      </c>
      <c r="G640">
        <f>IF(INVENTARIO!P640="","",INVENTARIO!P640)</f>
        <v/>
      </c>
      <c r="H640">
        <f>IF(INVENTARIO!Q640="","",INVENTARIO!Q640)</f>
        <v/>
      </c>
      <c r="I640">
        <f>IF(INVENTARIO!R640="","",INVENTARIO!R640)</f>
        <v/>
      </c>
      <c r="J640">
        <f>IF(G640="PUBLICA(1)",1,IF(G640="USO INTERNO(2)",2,IF(G640="RESTRINGIDO(3)",3,0)))+IF(H640="BAJA(1)",1,IF(H640="MEDIA(2)",2,IF(H640="ALTA(3)",3,0)))+IF(I640="BAJA(1)",1,IF(I640="MEDIA(2)",2,IF(I640="ALTA(3)",3,0)))</f>
        <v/>
      </c>
      <c r="K640">
        <f>IF(J640="", "", IF(J640&gt;=8,"ALTA",IF(J640&gt;=6,"MEDIA","BAJA")))</f>
        <v/>
      </c>
      <c r="L640">
        <f>IF(INVENTARIO!Y640="","",INVENTARIO!Y640)</f>
        <v/>
      </c>
      <c r="M640">
        <f>IF(INVENTARIO!Z640="","",INVENTARIO!Z640)</f>
        <v/>
      </c>
      <c r="N640">
        <f>IF(INVENTARIO!AA640="","",INVENTARIO!AA640)</f>
        <v/>
      </c>
      <c r="O640">
        <f>IF(INVENTARIO!AB640="","",INVENTARIO!AB640)</f>
        <v/>
      </c>
      <c r="P640">
        <f>IF(INVENTARIO!AC640="","",INVENTARIO!AC640)</f>
        <v/>
      </c>
      <c r="Q640">
        <f>IF(AND(K640="",N640="",L640=""),"",IF(AND((K640="ALTA"),OR(LEFT(N640,2)="L0",LEFT(N640,2)="L1",L640="No Iniciado")),"CRÍTICO - Incumplimiento Normativo SEPS",IF(AND(OR(LEFT(N640,2)="L4",LEFT(N640,2)="L5"),AND(P640&lt;&gt;"",P640&lt;&gt;"N/A")),"CONFORME - Control Efectivo ISO 27001","OBSERVACIÓN - Revisar Controles")))</f>
        <v/>
      </c>
    </row>
    <row r="641">
      <c r="A641">
        <f>IF(INVENTARIO!A641="","",INVENTARIO!A641)</f>
        <v/>
      </c>
      <c r="B641">
        <f>IF(INVENTARIO!E641="","",INVENTARIO!E641)</f>
        <v/>
      </c>
      <c r="C641">
        <f>IF(INVENTARIO!F641="","",INVENTARIO!F641)</f>
        <v/>
      </c>
      <c r="D641">
        <f>IF(INVENTARIO!H641="","",INVENTARIO!H641)</f>
        <v/>
      </c>
      <c r="E641">
        <f>IF(INVENTARIO!I641="","",INVENTARIO!I641)</f>
        <v/>
      </c>
      <c r="F641">
        <f>IF(INVENTARIO!N641="","",INVENTARIO!N641)</f>
        <v/>
      </c>
      <c r="G641">
        <f>IF(INVENTARIO!P641="","",INVENTARIO!P641)</f>
        <v/>
      </c>
      <c r="H641">
        <f>IF(INVENTARIO!Q641="","",INVENTARIO!Q641)</f>
        <v/>
      </c>
      <c r="I641">
        <f>IF(INVENTARIO!R641="","",INVENTARIO!R641)</f>
        <v/>
      </c>
      <c r="J641">
        <f>IF(G641="PUBLICA(1)",1,IF(G641="USO INTERNO(2)",2,IF(G641="RESTRINGIDO(3)",3,0)))+IF(H641="BAJA(1)",1,IF(H641="MEDIA(2)",2,IF(H641="ALTA(3)",3,0)))+IF(I641="BAJA(1)",1,IF(I641="MEDIA(2)",2,IF(I641="ALTA(3)",3,0)))</f>
        <v/>
      </c>
      <c r="K641">
        <f>IF(J641="", "", IF(J641&gt;=8,"ALTA",IF(J641&gt;=6,"MEDIA","BAJA")))</f>
        <v/>
      </c>
      <c r="L641">
        <f>IF(INVENTARIO!Y641="","",INVENTARIO!Y641)</f>
        <v/>
      </c>
      <c r="M641">
        <f>IF(INVENTARIO!Z641="","",INVENTARIO!Z641)</f>
        <v/>
      </c>
      <c r="N641">
        <f>IF(INVENTARIO!AA641="","",INVENTARIO!AA641)</f>
        <v/>
      </c>
      <c r="O641">
        <f>IF(INVENTARIO!AB641="","",INVENTARIO!AB641)</f>
        <v/>
      </c>
      <c r="P641">
        <f>IF(INVENTARIO!AC641="","",INVENTARIO!AC641)</f>
        <v/>
      </c>
      <c r="Q641">
        <f>IF(AND(K641="",N641="",L641=""),"",IF(AND((K641="ALTA"),OR(LEFT(N641,2)="L0",LEFT(N641,2)="L1",L641="No Iniciado")),"CRÍTICO - Incumplimiento Normativo SEPS",IF(AND(OR(LEFT(N641,2)="L4",LEFT(N641,2)="L5"),AND(P641&lt;&gt;"",P641&lt;&gt;"N/A")),"CONFORME - Control Efectivo ISO 27001","OBSERVACIÓN - Revisar Controles")))</f>
        <v/>
      </c>
    </row>
    <row r="642">
      <c r="A642">
        <f>IF(INVENTARIO!A642="","",INVENTARIO!A642)</f>
        <v/>
      </c>
      <c r="B642">
        <f>IF(INVENTARIO!E642="","",INVENTARIO!E642)</f>
        <v/>
      </c>
      <c r="C642">
        <f>IF(INVENTARIO!F642="","",INVENTARIO!F642)</f>
        <v/>
      </c>
      <c r="D642">
        <f>IF(INVENTARIO!H642="","",INVENTARIO!H642)</f>
        <v/>
      </c>
      <c r="E642">
        <f>IF(INVENTARIO!I642="","",INVENTARIO!I642)</f>
        <v/>
      </c>
      <c r="F642">
        <f>IF(INVENTARIO!N642="","",INVENTARIO!N642)</f>
        <v/>
      </c>
      <c r="G642">
        <f>IF(INVENTARIO!P642="","",INVENTARIO!P642)</f>
        <v/>
      </c>
      <c r="H642">
        <f>IF(INVENTARIO!Q642="","",INVENTARIO!Q642)</f>
        <v/>
      </c>
      <c r="I642">
        <f>IF(INVENTARIO!R642="","",INVENTARIO!R642)</f>
        <v/>
      </c>
      <c r="J642">
        <f>IF(G642="PUBLICA(1)",1,IF(G642="USO INTERNO(2)",2,IF(G642="RESTRINGIDO(3)",3,0)))+IF(H642="BAJA(1)",1,IF(H642="MEDIA(2)",2,IF(H642="ALTA(3)",3,0)))+IF(I642="BAJA(1)",1,IF(I642="MEDIA(2)",2,IF(I642="ALTA(3)",3,0)))</f>
        <v/>
      </c>
      <c r="K642">
        <f>IF(J642="", "", IF(J642&gt;=8,"ALTA",IF(J642&gt;=6,"MEDIA","BAJA")))</f>
        <v/>
      </c>
      <c r="L642">
        <f>IF(INVENTARIO!Y642="","",INVENTARIO!Y642)</f>
        <v/>
      </c>
      <c r="M642">
        <f>IF(INVENTARIO!Z642="","",INVENTARIO!Z642)</f>
        <v/>
      </c>
      <c r="N642">
        <f>IF(INVENTARIO!AA642="","",INVENTARIO!AA642)</f>
        <v/>
      </c>
      <c r="O642">
        <f>IF(INVENTARIO!AB642="","",INVENTARIO!AB642)</f>
        <v/>
      </c>
      <c r="P642">
        <f>IF(INVENTARIO!AC642="","",INVENTARIO!AC642)</f>
        <v/>
      </c>
      <c r="Q642">
        <f>IF(AND(K642="",N642="",L642=""),"",IF(AND((K642="ALTA"),OR(LEFT(N642,2)="L0",LEFT(N642,2)="L1",L642="No Iniciado")),"CRÍTICO - Incumplimiento Normativo SEPS",IF(AND(OR(LEFT(N642,2)="L4",LEFT(N642,2)="L5"),AND(P642&lt;&gt;"",P642&lt;&gt;"N/A")),"CONFORME - Control Efectivo ISO 27001","OBSERVACIÓN - Revisar Controles")))</f>
        <v/>
      </c>
    </row>
    <row r="643">
      <c r="A643">
        <f>IF(INVENTARIO!A643="","",INVENTARIO!A643)</f>
        <v/>
      </c>
      <c r="B643">
        <f>IF(INVENTARIO!E643="","",INVENTARIO!E643)</f>
        <v/>
      </c>
      <c r="C643">
        <f>IF(INVENTARIO!F643="","",INVENTARIO!F643)</f>
        <v/>
      </c>
      <c r="D643">
        <f>IF(INVENTARIO!H643="","",INVENTARIO!H643)</f>
        <v/>
      </c>
      <c r="E643">
        <f>IF(INVENTARIO!I643="","",INVENTARIO!I643)</f>
        <v/>
      </c>
      <c r="F643">
        <f>IF(INVENTARIO!N643="","",INVENTARIO!N643)</f>
        <v/>
      </c>
      <c r="G643">
        <f>IF(INVENTARIO!P643="","",INVENTARIO!P643)</f>
        <v/>
      </c>
      <c r="H643">
        <f>IF(INVENTARIO!Q643="","",INVENTARIO!Q643)</f>
        <v/>
      </c>
      <c r="I643">
        <f>IF(INVENTARIO!R643="","",INVENTARIO!R643)</f>
        <v/>
      </c>
      <c r="J643">
        <f>IF(G643="PUBLICA(1)",1,IF(G643="USO INTERNO(2)",2,IF(G643="RESTRINGIDO(3)",3,0)))+IF(H643="BAJA(1)",1,IF(H643="MEDIA(2)",2,IF(H643="ALTA(3)",3,0)))+IF(I643="BAJA(1)",1,IF(I643="MEDIA(2)",2,IF(I643="ALTA(3)",3,0)))</f>
        <v/>
      </c>
      <c r="K643">
        <f>IF(J643="", "", IF(J643&gt;=8,"ALTA",IF(J643&gt;=6,"MEDIA","BAJA")))</f>
        <v/>
      </c>
      <c r="L643">
        <f>IF(INVENTARIO!Y643="","",INVENTARIO!Y643)</f>
        <v/>
      </c>
      <c r="M643">
        <f>IF(INVENTARIO!Z643="","",INVENTARIO!Z643)</f>
        <v/>
      </c>
      <c r="N643">
        <f>IF(INVENTARIO!AA643="","",INVENTARIO!AA643)</f>
        <v/>
      </c>
      <c r="O643">
        <f>IF(INVENTARIO!AB643="","",INVENTARIO!AB643)</f>
        <v/>
      </c>
      <c r="P643">
        <f>IF(INVENTARIO!AC643="","",INVENTARIO!AC643)</f>
        <v/>
      </c>
      <c r="Q643">
        <f>IF(AND(K643="",N643="",L643=""),"",IF(AND((K643="ALTA"),OR(LEFT(N643,2)="L0",LEFT(N643,2)="L1",L643="No Iniciado")),"CRÍTICO - Incumplimiento Normativo SEPS",IF(AND(OR(LEFT(N643,2)="L4",LEFT(N643,2)="L5"),AND(P643&lt;&gt;"",P643&lt;&gt;"N/A")),"CONFORME - Control Efectivo ISO 27001","OBSERVACIÓN - Revisar Controles")))</f>
        <v/>
      </c>
    </row>
    <row r="644">
      <c r="A644">
        <f>IF(INVENTARIO!A644="","",INVENTARIO!A644)</f>
        <v/>
      </c>
      <c r="B644">
        <f>IF(INVENTARIO!E644="","",INVENTARIO!E644)</f>
        <v/>
      </c>
      <c r="C644">
        <f>IF(INVENTARIO!F644="","",INVENTARIO!F644)</f>
        <v/>
      </c>
      <c r="D644">
        <f>IF(INVENTARIO!H644="","",INVENTARIO!H644)</f>
        <v/>
      </c>
      <c r="E644">
        <f>IF(INVENTARIO!I644="","",INVENTARIO!I644)</f>
        <v/>
      </c>
      <c r="F644">
        <f>IF(INVENTARIO!N644="","",INVENTARIO!N644)</f>
        <v/>
      </c>
      <c r="G644">
        <f>IF(INVENTARIO!P644="","",INVENTARIO!P644)</f>
        <v/>
      </c>
      <c r="H644">
        <f>IF(INVENTARIO!Q644="","",INVENTARIO!Q644)</f>
        <v/>
      </c>
      <c r="I644">
        <f>IF(INVENTARIO!R644="","",INVENTARIO!R644)</f>
        <v/>
      </c>
      <c r="J644">
        <f>IF(G644="PUBLICA(1)",1,IF(G644="USO INTERNO(2)",2,IF(G644="RESTRINGIDO(3)",3,0)))+IF(H644="BAJA(1)",1,IF(H644="MEDIA(2)",2,IF(H644="ALTA(3)",3,0)))+IF(I644="BAJA(1)",1,IF(I644="MEDIA(2)",2,IF(I644="ALTA(3)",3,0)))</f>
        <v/>
      </c>
      <c r="K644">
        <f>IF(J644="", "", IF(J644&gt;=8,"ALTA",IF(J644&gt;=6,"MEDIA","BAJA")))</f>
        <v/>
      </c>
      <c r="L644">
        <f>IF(INVENTARIO!Y644="","",INVENTARIO!Y644)</f>
        <v/>
      </c>
      <c r="M644">
        <f>IF(INVENTARIO!Z644="","",INVENTARIO!Z644)</f>
        <v/>
      </c>
      <c r="N644">
        <f>IF(INVENTARIO!AA644="","",INVENTARIO!AA644)</f>
        <v/>
      </c>
      <c r="O644">
        <f>IF(INVENTARIO!AB644="","",INVENTARIO!AB644)</f>
        <v/>
      </c>
      <c r="P644">
        <f>IF(INVENTARIO!AC644="","",INVENTARIO!AC644)</f>
        <v/>
      </c>
      <c r="Q644">
        <f>IF(AND(K644="",N644="",L644=""),"",IF(AND((K644="ALTA"),OR(LEFT(N644,2)="L0",LEFT(N644,2)="L1",L644="No Iniciado")),"CRÍTICO - Incumplimiento Normativo SEPS",IF(AND(OR(LEFT(N644,2)="L4",LEFT(N644,2)="L5"),AND(P644&lt;&gt;"",P644&lt;&gt;"N/A")),"CONFORME - Control Efectivo ISO 27001","OBSERVACIÓN - Revisar Controles")))</f>
        <v/>
      </c>
    </row>
    <row r="645">
      <c r="A645">
        <f>IF(INVENTARIO!A645="","",INVENTARIO!A645)</f>
        <v/>
      </c>
      <c r="B645">
        <f>IF(INVENTARIO!E645="","",INVENTARIO!E645)</f>
        <v/>
      </c>
      <c r="C645">
        <f>IF(INVENTARIO!F645="","",INVENTARIO!F645)</f>
        <v/>
      </c>
      <c r="D645">
        <f>IF(INVENTARIO!H645="","",INVENTARIO!H645)</f>
        <v/>
      </c>
      <c r="E645">
        <f>IF(INVENTARIO!I645="","",INVENTARIO!I645)</f>
        <v/>
      </c>
      <c r="F645">
        <f>IF(INVENTARIO!N645="","",INVENTARIO!N645)</f>
        <v/>
      </c>
      <c r="G645">
        <f>IF(INVENTARIO!P645="","",INVENTARIO!P645)</f>
        <v/>
      </c>
      <c r="H645">
        <f>IF(INVENTARIO!Q645="","",INVENTARIO!Q645)</f>
        <v/>
      </c>
      <c r="I645">
        <f>IF(INVENTARIO!R645="","",INVENTARIO!R645)</f>
        <v/>
      </c>
      <c r="J645">
        <f>IF(G645="PUBLICA(1)",1,IF(G645="USO INTERNO(2)",2,IF(G645="RESTRINGIDO(3)",3,0)))+IF(H645="BAJA(1)",1,IF(H645="MEDIA(2)",2,IF(H645="ALTA(3)",3,0)))+IF(I645="BAJA(1)",1,IF(I645="MEDIA(2)",2,IF(I645="ALTA(3)",3,0)))</f>
        <v/>
      </c>
      <c r="K645">
        <f>IF(J645="", "", IF(J645&gt;=8,"ALTA",IF(J645&gt;=6,"MEDIA","BAJA")))</f>
        <v/>
      </c>
      <c r="L645">
        <f>IF(INVENTARIO!Y645="","",INVENTARIO!Y645)</f>
        <v/>
      </c>
      <c r="M645">
        <f>IF(INVENTARIO!Z645="","",INVENTARIO!Z645)</f>
        <v/>
      </c>
      <c r="N645">
        <f>IF(INVENTARIO!AA645="","",INVENTARIO!AA645)</f>
        <v/>
      </c>
      <c r="O645">
        <f>IF(INVENTARIO!AB645="","",INVENTARIO!AB645)</f>
        <v/>
      </c>
      <c r="P645">
        <f>IF(INVENTARIO!AC645="","",INVENTARIO!AC645)</f>
        <v/>
      </c>
      <c r="Q645">
        <f>IF(AND(K645="",N645="",L645=""),"",IF(AND((K645="ALTA"),OR(LEFT(N645,2)="L0",LEFT(N645,2)="L1",L645="No Iniciado")),"CRÍTICO - Incumplimiento Normativo SEPS",IF(AND(OR(LEFT(N645,2)="L4",LEFT(N645,2)="L5"),AND(P645&lt;&gt;"",P645&lt;&gt;"N/A")),"CONFORME - Control Efectivo ISO 27001","OBSERVACIÓN - Revisar Controles")))</f>
        <v/>
      </c>
    </row>
    <row r="646">
      <c r="A646">
        <f>IF(INVENTARIO!A646="","",INVENTARIO!A646)</f>
        <v/>
      </c>
      <c r="B646">
        <f>IF(INVENTARIO!E646="","",INVENTARIO!E646)</f>
        <v/>
      </c>
      <c r="C646">
        <f>IF(INVENTARIO!F646="","",INVENTARIO!F646)</f>
        <v/>
      </c>
      <c r="D646">
        <f>IF(INVENTARIO!H646="","",INVENTARIO!H646)</f>
        <v/>
      </c>
      <c r="E646">
        <f>IF(INVENTARIO!I646="","",INVENTARIO!I646)</f>
        <v/>
      </c>
      <c r="F646">
        <f>IF(INVENTARIO!N646="","",INVENTARIO!N646)</f>
        <v/>
      </c>
      <c r="G646">
        <f>IF(INVENTARIO!P646="","",INVENTARIO!P646)</f>
        <v/>
      </c>
      <c r="H646">
        <f>IF(INVENTARIO!Q646="","",INVENTARIO!Q646)</f>
        <v/>
      </c>
      <c r="I646">
        <f>IF(INVENTARIO!R646="","",INVENTARIO!R646)</f>
        <v/>
      </c>
      <c r="J646">
        <f>IF(G646="PUBLICA(1)",1,IF(G646="USO INTERNO(2)",2,IF(G646="RESTRINGIDO(3)",3,0)))+IF(H646="BAJA(1)",1,IF(H646="MEDIA(2)",2,IF(H646="ALTA(3)",3,0)))+IF(I646="BAJA(1)",1,IF(I646="MEDIA(2)",2,IF(I646="ALTA(3)",3,0)))</f>
        <v/>
      </c>
      <c r="K646">
        <f>IF(J646="", "", IF(J646&gt;=8,"ALTA",IF(J646&gt;=6,"MEDIA","BAJA")))</f>
        <v/>
      </c>
      <c r="L646">
        <f>IF(INVENTARIO!Y646="","",INVENTARIO!Y646)</f>
        <v/>
      </c>
      <c r="M646">
        <f>IF(INVENTARIO!Z646="","",INVENTARIO!Z646)</f>
        <v/>
      </c>
      <c r="N646">
        <f>IF(INVENTARIO!AA646="","",INVENTARIO!AA646)</f>
        <v/>
      </c>
      <c r="O646">
        <f>IF(INVENTARIO!AB646="","",INVENTARIO!AB646)</f>
        <v/>
      </c>
      <c r="P646">
        <f>IF(INVENTARIO!AC646="","",INVENTARIO!AC646)</f>
        <v/>
      </c>
      <c r="Q646">
        <f>IF(AND(K646="",N646="",L646=""),"",IF(AND((K646="ALTA"),OR(LEFT(N646,2)="L0",LEFT(N646,2)="L1",L646="No Iniciado")),"CRÍTICO - Incumplimiento Normativo SEPS",IF(AND(OR(LEFT(N646,2)="L4",LEFT(N646,2)="L5"),AND(P646&lt;&gt;"",P646&lt;&gt;"N/A")),"CONFORME - Control Efectivo ISO 27001","OBSERVACIÓN - Revisar Controles")))</f>
        <v/>
      </c>
    </row>
    <row r="647">
      <c r="A647">
        <f>IF(INVENTARIO!A647="","",INVENTARIO!A647)</f>
        <v/>
      </c>
      <c r="B647">
        <f>IF(INVENTARIO!E647="","",INVENTARIO!E647)</f>
        <v/>
      </c>
      <c r="C647">
        <f>IF(INVENTARIO!F647="","",INVENTARIO!F647)</f>
        <v/>
      </c>
      <c r="D647">
        <f>IF(INVENTARIO!H647="","",INVENTARIO!H647)</f>
        <v/>
      </c>
      <c r="E647">
        <f>IF(INVENTARIO!I647="","",INVENTARIO!I647)</f>
        <v/>
      </c>
      <c r="F647">
        <f>IF(INVENTARIO!N647="","",INVENTARIO!N647)</f>
        <v/>
      </c>
      <c r="G647">
        <f>IF(INVENTARIO!P647="","",INVENTARIO!P647)</f>
        <v/>
      </c>
      <c r="H647">
        <f>IF(INVENTARIO!Q647="","",INVENTARIO!Q647)</f>
        <v/>
      </c>
      <c r="I647">
        <f>IF(INVENTARIO!R647="","",INVENTARIO!R647)</f>
        <v/>
      </c>
      <c r="J647">
        <f>IF(G647="PUBLICA(1)",1,IF(G647="USO INTERNO(2)",2,IF(G647="RESTRINGIDO(3)",3,0)))+IF(H647="BAJA(1)",1,IF(H647="MEDIA(2)",2,IF(H647="ALTA(3)",3,0)))+IF(I647="BAJA(1)",1,IF(I647="MEDIA(2)",2,IF(I647="ALTA(3)",3,0)))</f>
        <v/>
      </c>
      <c r="K647">
        <f>IF(J647="", "", IF(J647&gt;=8,"ALTA",IF(J647&gt;=6,"MEDIA","BAJA")))</f>
        <v/>
      </c>
      <c r="L647">
        <f>IF(INVENTARIO!Y647="","",INVENTARIO!Y647)</f>
        <v/>
      </c>
      <c r="M647">
        <f>IF(INVENTARIO!Z647="","",INVENTARIO!Z647)</f>
        <v/>
      </c>
      <c r="N647">
        <f>IF(INVENTARIO!AA647="","",INVENTARIO!AA647)</f>
        <v/>
      </c>
      <c r="O647">
        <f>IF(INVENTARIO!AB647="","",INVENTARIO!AB647)</f>
        <v/>
      </c>
      <c r="P647">
        <f>IF(INVENTARIO!AC647="","",INVENTARIO!AC647)</f>
        <v/>
      </c>
      <c r="Q647">
        <f>IF(AND(K647="",N647="",L647=""),"",IF(AND((K647="ALTA"),OR(LEFT(N647,2)="L0",LEFT(N647,2)="L1",L647="No Iniciado")),"CRÍTICO - Incumplimiento Normativo SEPS",IF(AND(OR(LEFT(N647,2)="L4",LEFT(N647,2)="L5"),AND(P647&lt;&gt;"",P647&lt;&gt;"N/A")),"CONFORME - Control Efectivo ISO 27001","OBSERVACIÓN - Revisar Controles")))</f>
        <v/>
      </c>
    </row>
    <row r="648">
      <c r="A648">
        <f>IF(INVENTARIO!A648="","",INVENTARIO!A648)</f>
        <v/>
      </c>
      <c r="B648">
        <f>IF(INVENTARIO!E648="","",INVENTARIO!E648)</f>
        <v/>
      </c>
      <c r="C648">
        <f>IF(INVENTARIO!F648="","",INVENTARIO!F648)</f>
        <v/>
      </c>
      <c r="D648">
        <f>IF(INVENTARIO!H648="","",INVENTARIO!H648)</f>
        <v/>
      </c>
      <c r="E648">
        <f>IF(INVENTARIO!I648="","",INVENTARIO!I648)</f>
        <v/>
      </c>
      <c r="F648">
        <f>IF(INVENTARIO!N648="","",INVENTARIO!N648)</f>
        <v/>
      </c>
      <c r="G648">
        <f>IF(INVENTARIO!P648="","",INVENTARIO!P648)</f>
        <v/>
      </c>
      <c r="H648">
        <f>IF(INVENTARIO!Q648="","",INVENTARIO!Q648)</f>
        <v/>
      </c>
      <c r="I648">
        <f>IF(INVENTARIO!R648="","",INVENTARIO!R648)</f>
        <v/>
      </c>
      <c r="J648">
        <f>IF(G648="PUBLICA(1)",1,IF(G648="USO INTERNO(2)",2,IF(G648="RESTRINGIDO(3)",3,0)))+IF(H648="BAJA(1)",1,IF(H648="MEDIA(2)",2,IF(H648="ALTA(3)",3,0)))+IF(I648="BAJA(1)",1,IF(I648="MEDIA(2)",2,IF(I648="ALTA(3)",3,0)))</f>
        <v/>
      </c>
      <c r="K648">
        <f>IF(J648="", "", IF(J648&gt;=8,"ALTA",IF(J648&gt;=6,"MEDIA","BAJA")))</f>
        <v/>
      </c>
      <c r="L648">
        <f>IF(INVENTARIO!Y648="","",INVENTARIO!Y648)</f>
        <v/>
      </c>
      <c r="M648">
        <f>IF(INVENTARIO!Z648="","",INVENTARIO!Z648)</f>
        <v/>
      </c>
      <c r="N648">
        <f>IF(INVENTARIO!AA648="","",INVENTARIO!AA648)</f>
        <v/>
      </c>
      <c r="O648">
        <f>IF(INVENTARIO!AB648="","",INVENTARIO!AB648)</f>
        <v/>
      </c>
      <c r="P648">
        <f>IF(INVENTARIO!AC648="","",INVENTARIO!AC648)</f>
        <v/>
      </c>
      <c r="Q648">
        <f>IF(AND(K648="",N648="",L648=""),"",IF(AND((K648="ALTA"),OR(LEFT(N648,2)="L0",LEFT(N648,2)="L1",L648="No Iniciado")),"CRÍTICO - Incumplimiento Normativo SEPS",IF(AND(OR(LEFT(N648,2)="L4",LEFT(N648,2)="L5"),AND(P648&lt;&gt;"",P648&lt;&gt;"N/A")),"CONFORME - Control Efectivo ISO 27001","OBSERVACIÓN - Revisar Controles")))</f>
        <v/>
      </c>
    </row>
    <row r="649">
      <c r="A649">
        <f>IF(INVENTARIO!A649="","",INVENTARIO!A649)</f>
        <v/>
      </c>
      <c r="B649">
        <f>IF(INVENTARIO!E649="","",INVENTARIO!E649)</f>
        <v/>
      </c>
      <c r="C649">
        <f>IF(INVENTARIO!F649="","",INVENTARIO!F649)</f>
        <v/>
      </c>
      <c r="D649">
        <f>IF(INVENTARIO!H649="","",INVENTARIO!H649)</f>
        <v/>
      </c>
      <c r="E649">
        <f>IF(INVENTARIO!I649="","",INVENTARIO!I649)</f>
        <v/>
      </c>
      <c r="F649">
        <f>IF(INVENTARIO!N649="","",INVENTARIO!N649)</f>
        <v/>
      </c>
      <c r="G649">
        <f>IF(INVENTARIO!P649="","",INVENTARIO!P649)</f>
        <v/>
      </c>
      <c r="H649">
        <f>IF(INVENTARIO!Q649="","",INVENTARIO!Q649)</f>
        <v/>
      </c>
      <c r="I649">
        <f>IF(INVENTARIO!R649="","",INVENTARIO!R649)</f>
        <v/>
      </c>
      <c r="J649">
        <f>IF(G649="PUBLICA(1)",1,IF(G649="USO INTERNO(2)",2,IF(G649="RESTRINGIDO(3)",3,0)))+IF(H649="BAJA(1)",1,IF(H649="MEDIA(2)",2,IF(H649="ALTA(3)",3,0)))+IF(I649="BAJA(1)",1,IF(I649="MEDIA(2)",2,IF(I649="ALTA(3)",3,0)))</f>
        <v/>
      </c>
      <c r="K649">
        <f>IF(J649="", "", IF(J649&gt;=8,"ALTA",IF(J649&gt;=6,"MEDIA","BAJA")))</f>
        <v/>
      </c>
      <c r="L649">
        <f>IF(INVENTARIO!Y649="","",INVENTARIO!Y649)</f>
        <v/>
      </c>
      <c r="M649">
        <f>IF(INVENTARIO!Z649="","",INVENTARIO!Z649)</f>
        <v/>
      </c>
      <c r="N649">
        <f>IF(INVENTARIO!AA649="","",INVENTARIO!AA649)</f>
        <v/>
      </c>
      <c r="O649">
        <f>IF(INVENTARIO!AB649="","",INVENTARIO!AB649)</f>
        <v/>
      </c>
      <c r="P649">
        <f>IF(INVENTARIO!AC649="","",INVENTARIO!AC649)</f>
        <v/>
      </c>
      <c r="Q649">
        <f>IF(AND(K649="",N649="",L649=""),"",IF(AND((K649="ALTA"),OR(LEFT(N649,2)="L0",LEFT(N649,2)="L1",L649="No Iniciado")),"CRÍTICO - Incumplimiento Normativo SEPS",IF(AND(OR(LEFT(N649,2)="L4",LEFT(N649,2)="L5"),AND(P649&lt;&gt;"",P649&lt;&gt;"N/A")),"CONFORME - Control Efectivo ISO 27001","OBSERVACIÓN - Revisar Controles")))</f>
        <v/>
      </c>
    </row>
    <row r="650">
      <c r="A650">
        <f>IF(INVENTARIO!A650="","",INVENTARIO!A650)</f>
        <v/>
      </c>
      <c r="B650">
        <f>IF(INVENTARIO!E650="","",INVENTARIO!E650)</f>
        <v/>
      </c>
      <c r="C650">
        <f>IF(INVENTARIO!F650="","",INVENTARIO!F650)</f>
        <v/>
      </c>
      <c r="D650">
        <f>IF(INVENTARIO!H650="","",INVENTARIO!H650)</f>
        <v/>
      </c>
      <c r="E650">
        <f>IF(INVENTARIO!I650="","",INVENTARIO!I650)</f>
        <v/>
      </c>
      <c r="F650">
        <f>IF(INVENTARIO!N650="","",INVENTARIO!N650)</f>
        <v/>
      </c>
      <c r="G650">
        <f>IF(INVENTARIO!P650="","",INVENTARIO!P650)</f>
        <v/>
      </c>
      <c r="H650">
        <f>IF(INVENTARIO!Q650="","",INVENTARIO!Q650)</f>
        <v/>
      </c>
      <c r="I650">
        <f>IF(INVENTARIO!R650="","",INVENTARIO!R650)</f>
        <v/>
      </c>
      <c r="J650">
        <f>IF(G650="PUBLICA(1)",1,IF(G650="USO INTERNO(2)",2,IF(G650="RESTRINGIDO(3)",3,0)))+IF(H650="BAJA(1)",1,IF(H650="MEDIA(2)",2,IF(H650="ALTA(3)",3,0)))+IF(I650="BAJA(1)",1,IF(I650="MEDIA(2)",2,IF(I650="ALTA(3)",3,0)))</f>
        <v/>
      </c>
      <c r="K650">
        <f>IF(J650="", "", IF(J650&gt;=8,"ALTA",IF(J650&gt;=6,"MEDIA","BAJA")))</f>
        <v/>
      </c>
      <c r="L650">
        <f>IF(INVENTARIO!Y650="","",INVENTARIO!Y650)</f>
        <v/>
      </c>
      <c r="M650">
        <f>IF(INVENTARIO!Z650="","",INVENTARIO!Z650)</f>
        <v/>
      </c>
      <c r="N650">
        <f>IF(INVENTARIO!AA650="","",INVENTARIO!AA650)</f>
        <v/>
      </c>
      <c r="O650">
        <f>IF(INVENTARIO!AB650="","",INVENTARIO!AB650)</f>
        <v/>
      </c>
      <c r="P650">
        <f>IF(INVENTARIO!AC650="","",INVENTARIO!AC650)</f>
        <v/>
      </c>
      <c r="Q650">
        <f>IF(AND(K650="",N650="",L650=""),"",IF(AND((K650="ALTA"),OR(LEFT(N650,2)="L0",LEFT(N650,2)="L1",L650="No Iniciado")),"CRÍTICO - Incumplimiento Normativo SEPS",IF(AND(OR(LEFT(N650,2)="L4",LEFT(N650,2)="L5"),AND(P650&lt;&gt;"",P650&lt;&gt;"N/A")),"CONFORME - Control Efectivo ISO 27001","OBSERVACIÓN - Revisar Controles")))</f>
        <v/>
      </c>
    </row>
    <row r="651">
      <c r="A651">
        <f>IF(INVENTARIO!A651="","",INVENTARIO!A651)</f>
        <v/>
      </c>
      <c r="B651">
        <f>IF(INVENTARIO!E651="","",INVENTARIO!E651)</f>
        <v/>
      </c>
      <c r="C651">
        <f>IF(INVENTARIO!F651="","",INVENTARIO!F651)</f>
        <v/>
      </c>
      <c r="D651">
        <f>IF(INVENTARIO!H651="","",INVENTARIO!H651)</f>
        <v/>
      </c>
      <c r="E651">
        <f>IF(INVENTARIO!I651="","",INVENTARIO!I651)</f>
        <v/>
      </c>
      <c r="F651">
        <f>IF(INVENTARIO!N651="","",INVENTARIO!N651)</f>
        <v/>
      </c>
      <c r="G651">
        <f>IF(INVENTARIO!P651="","",INVENTARIO!P651)</f>
        <v/>
      </c>
      <c r="H651">
        <f>IF(INVENTARIO!Q651="","",INVENTARIO!Q651)</f>
        <v/>
      </c>
      <c r="I651">
        <f>IF(INVENTARIO!R651="","",INVENTARIO!R651)</f>
        <v/>
      </c>
      <c r="J651">
        <f>IF(G651="PUBLICA(1)",1,IF(G651="USO INTERNO(2)",2,IF(G651="RESTRINGIDO(3)",3,0)))+IF(H651="BAJA(1)",1,IF(H651="MEDIA(2)",2,IF(H651="ALTA(3)",3,0)))+IF(I651="BAJA(1)",1,IF(I651="MEDIA(2)",2,IF(I651="ALTA(3)",3,0)))</f>
        <v/>
      </c>
      <c r="K651">
        <f>IF(J651="", "", IF(J651&gt;=8,"ALTA",IF(J651&gt;=6,"MEDIA","BAJA")))</f>
        <v/>
      </c>
      <c r="L651">
        <f>IF(INVENTARIO!Y651="","",INVENTARIO!Y651)</f>
        <v/>
      </c>
      <c r="M651">
        <f>IF(INVENTARIO!Z651="","",INVENTARIO!Z651)</f>
        <v/>
      </c>
      <c r="N651">
        <f>IF(INVENTARIO!AA651="","",INVENTARIO!AA651)</f>
        <v/>
      </c>
      <c r="O651">
        <f>IF(INVENTARIO!AB651="","",INVENTARIO!AB651)</f>
        <v/>
      </c>
      <c r="P651">
        <f>IF(INVENTARIO!AC651="","",INVENTARIO!AC651)</f>
        <v/>
      </c>
      <c r="Q651">
        <f>IF(AND(K651="",N651="",L651=""),"",IF(AND((K651="ALTA"),OR(LEFT(N651,2)="L0",LEFT(N651,2)="L1",L651="No Iniciado")),"CRÍTICO - Incumplimiento Normativo SEPS",IF(AND(OR(LEFT(N651,2)="L4",LEFT(N651,2)="L5"),AND(P651&lt;&gt;"",P651&lt;&gt;"N/A")),"CONFORME - Control Efectivo ISO 27001","OBSERVACIÓN - Revisar Controles")))</f>
        <v/>
      </c>
    </row>
    <row r="652">
      <c r="A652">
        <f>IF(INVENTARIO!A652="","",INVENTARIO!A652)</f>
        <v/>
      </c>
      <c r="B652">
        <f>IF(INVENTARIO!E652="","",INVENTARIO!E652)</f>
        <v/>
      </c>
      <c r="C652">
        <f>IF(INVENTARIO!F652="","",INVENTARIO!F652)</f>
        <v/>
      </c>
      <c r="D652">
        <f>IF(INVENTARIO!H652="","",INVENTARIO!H652)</f>
        <v/>
      </c>
      <c r="E652">
        <f>IF(INVENTARIO!I652="","",INVENTARIO!I652)</f>
        <v/>
      </c>
      <c r="F652">
        <f>IF(INVENTARIO!N652="","",INVENTARIO!N652)</f>
        <v/>
      </c>
      <c r="G652">
        <f>IF(INVENTARIO!P652="","",INVENTARIO!P652)</f>
        <v/>
      </c>
      <c r="H652">
        <f>IF(INVENTARIO!Q652="","",INVENTARIO!Q652)</f>
        <v/>
      </c>
      <c r="I652">
        <f>IF(INVENTARIO!R652="","",INVENTARIO!R652)</f>
        <v/>
      </c>
      <c r="J652">
        <f>IF(G652="PUBLICA(1)",1,IF(G652="USO INTERNO(2)",2,IF(G652="RESTRINGIDO(3)",3,0)))+IF(H652="BAJA(1)",1,IF(H652="MEDIA(2)",2,IF(H652="ALTA(3)",3,0)))+IF(I652="BAJA(1)",1,IF(I652="MEDIA(2)",2,IF(I652="ALTA(3)",3,0)))</f>
        <v/>
      </c>
      <c r="K652">
        <f>IF(J652="", "", IF(J652&gt;=8,"ALTA",IF(J652&gt;=6,"MEDIA","BAJA")))</f>
        <v/>
      </c>
      <c r="L652">
        <f>IF(INVENTARIO!Y652="","",INVENTARIO!Y652)</f>
        <v/>
      </c>
      <c r="M652">
        <f>IF(INVENTARIO!Z652="","",INVENTARIO!Z652)</f>
        <v/>
      </c>
      <c r="N652">
        <f>IF(INVENTARIO!AA652="","",INVENTARIO!AA652)</f>
        <v/>
      </c>
      <c r="O652">
        <f>IF(INVENTARIO!AB652="","",INVENTARIO!AB652)</f>
        <v/>
      </c>
      <c r="P652">
        <f>IF(INVENTARIO!AC652="","",INVENTARIO!AC652)</f>
        <v/>
      </c>
      <c r="Q652">
        <f>IF(AND(K652="",N652="",L652=""),"",IF(AND((K652="ALTA"),OR(LEFT(N652,2)="L0",LEFT(N652,2)="L1",L652="No Iniciado")),"CRÍTICO - Incumplimiento Normativo SEPS",IF(AND(OR(LEFT(N652,2)="L4",LEFT(N652,2)="L5"),AND(P652&lt;&gt;"",P652&lt;&gt;"N/A")),"CONFORME - Control Efectivo ISO 27001","OBSERVACIÓN - Revisar Controles")))</f>
        <v/>
      </c>
    </row>
    <row r="653">
      <c r="A653">
        <f>IF(INVENTARIO!A653="","",INVENTARIO!A653)</f>
        <v/>
      </c>
      <c r="B653">
        <f>IF(INVENTARIO!E653="","",INVENTARIO!E653)</f>
        <v/>
      </c>
      <c r="C653">
        <f>IF(INVENTARIO!F653="","",INVENTARIO!F653)</f>
        <v/>
      </c>
      <c r="D653">
        <f>IF(INVENTARIO!H653="","",INVENTARIO!H653)</f>
        <v/>
      </c>
      <c r="E653">
        <f>IF(INVENTARIO!I653="","",INVENTARIO!I653)</f>
        <v/>
      </c>
      <c r="F653">
        <f>IF(INVENTARIO!N653="","",INVENTARIO!N653)</f>
        <v/>
      </c>
      <c r="G653">
        <f>IF(INVENTARIO!P653="","",INVENTARIO!P653)</f>
        <v/>
      </c>
      <c r="H653">
        <f>IF(INVENTARIO!Q653="","",INVENTARIO!Q653)</f>
        <v/>
      </c>
      <c r="I653">
        <f>IF(INVENTARIO!R653="","",INVENTARIO!R653)</f>
        <v/>
      </c>
      <c r="J653">
        <f>IF(G653="PUBLICA(1)",1,IF(G653="USO INTERNO(2)",2,IF(G653="RESTRINGIDO(3)",3,0)))+IF(H653="BAJA(1)",1,IF(H653="MEDIA(2)",2,IF(H653="ALTA(3)",3,0)))+IF(I653="BAJA(1)",1,IF(I653="MEDIA(2)",2,IF(I653="ALTA(3)",3,0)))</f>
        <v/>
      </c>
      <c r="K653">
        <f>IF(J653="", "", IF(J653&gt;=8,"ALTA",IF(J653&gt;=6,"MEDIA","BAJA")))</f>
        <v/>
      </c>
      <c r="L653">
        <f>IF(INVENTARIO!Y653="","",INVENTARIO!Y653)</f>
        <v/>
      </c>
      <c r="M653">
        <f>IF(INVENTARIO!Z653="","",INVENTARIO!Z653)</f>
        <v/>
      </c>
      <c r="N653">
        <f>IF(INVENTARIO!AA653="","",INVENTARIO!AA653)</f>
        <v/>
      </c>
      <c r="O653">
        <f>IF(INVENTARIO!AB653="","",INVENTARIO!AB653)</f>
        <v/>
      </c>
      <c r="P653">
        <f>IF(INVENTARIO!AC653="","",INVENTARIO!AC653)</f>
        <v/>
      </c>
      <c r="Q653">
        <f>IF(AND(K653="",N653="",L653=""),"",IF(AND((K653="ALTA"),OR(LEFT(N653,2)="L0",LEFT(N653,2)="L1",L653="No Iniciado")),"CRÍTICO - Incumplimiento Normativo SEPS",IF(AND(OR(LEFT(N653,2)="L4",LEFT(N653,2)="L5"),AND(P653&lt;&gt;"",P653&lt;&gt;"N/A")),"CONFORME - Control Efectivo ISO 27001","OBSERVACIÓN - Revisar Controles")))</f>
        <v/>
      </c>
    </row>
    <row r="654">
      <c r="A654">
        <f>IF(INVENTARIO!A654="","",INVENTARIO!A654)</f>
        <v/>
      </c>
      <c r="B654">
        <f>IF(INVENTARIO!E654="","",INVENTARIO!E654)</f>
        <v/>
      </c>
      <c r="C654">
        <f>IF(INVENTARIO!F654="","",INVENTARIO!F654)</f>
        <v/>
      </c>
      <c r="D654">
        <f>IF(INVENTARIO!H654="","",INVENTARIO!H654)</f>
        <v/>
      </c>
      <c r="E654">
        <f>IF(INVENTARIO!I654="","",INVENTARIO!I654)</f>
        <v/>
      </c>
      <c r="F654">
        <f>IF(INVENTARIO!N654="","",INVENTARIO!N654)</f>
        <v/>
      </c>
      <c r="G654">
        <f>IF(INVENTARIO!P654="","",INVENTARIO!P654)</f>
        <v/>
      </c>
      <c r="H654">
        <f>IF(INVENTARIO!Q654="","",INVENTARIO!Q654)</f>
        <v/>
      </c>
      <c r="I654">
        <f>IF(INVENTARIO!R654="","",INVENTARIO!R654)</f>
        <v/>
      </c>
      <c r="J654">
        <f>IF(G654="PUBLICA(1)",1,IF(G654="USO INTERNO(2)",2,IF(G654="RESTRINGIDO(3)",3,0)))+IF(H654="BAJA(1)",1,IF(H654="MEDIA(2)",2,IF(H654="ALTA(3)",3,0)))+IF(I654="BAJA(1)",1,IF(I654="MEDIA(2)",2,IF(I654="ALTA(3)",3,0)))</f>
        <v/>
      </c>
      <c r="K654">
        <f>IF(J654="", "", IF(J654&gt;=8,"ALTA",IF(J654&gt;=6,"MEDIA","BAJA")))</f>
        <v/>
      </c>
      <c r="L654">
        <f>IF(INVENTARIO!Y654="","",INVENTARIO!Y654)</f>
        <v/>
      </c>
      <c r="M654">
        <f>IF(INVENTARIO!Z654="","",INVENTARIO!Z654)</f>
        <v/>
      </c>
      <c r="N654">
        <f>IF(INVENTARIO!AA654="","",INVENTARIO!AA654)</f>
        <v/>
      </c>
      <c r="O654">
        <f>IF(INVENTARIO!AB654="","",INVENTARIO!AB654)</f>
        <v/>
      </c>
      <c r="P654">
        <f>IF(INVENTARIO!AC654="","",INVENTARIO!AC654)</f>
        <v/>
      </c>
      <c r="Q654">
        <f>IF(AND(K654="",N654="",L654=""),"",IF(AND((K654="ALTA"),OR(LEFT(N654,2)="L0",LEFT(N654,2)="L1",L654="No Iniciado")),"CRÍTICO - Incumplimiento Normativo SEPS",IF(AND(OR(LEFT(N654,2)="L4",LEFT(N654,2)="L5"),AND(P654&lt;&gt;"",P654&lt;&gt;"N/A")),"CONFORME - Control Efectivo ISO 27001","OBSERVACIÓN - Revisar Controles")))</f>
        <v/>
      </c>
    </row>
    <row r="655">
      <c r="A655">
        <f>IF(INVENTARIO!A655="","",INVENTARIO!A655)</f>
        <v/>
      </c>
      <c r="B655">
        <f>IF(INVENTARIO!E655="","",INVENTARIO!E655)</f>
        <v/>
      </c>
      <c r="C655">
        <f>IF(INVENTARIO!F655="","",INVENTARIO!F655)</f>
        <v/>
      </c>
      <c r="D655">
        <f>IF(INVENTARIO!H655="","",INVENTARIO!H655)</f>
        <v/>
      </c>
      <c r="E655">
        <f>IF(INVENTARIO!I655="","",INVENTARIO!I655)</f>
        <v/>
      </c>
      <c r="F655">
        <f>IF(INVENTARIO!N655="","",INVENTARIO!N655)</f>
        <v/>
      </c>
      <c r="G655">
        <f>IF(INVENTARIO!P655="","",INVENTARIO!P655)</f>
        <v/>
      </c>
      <c r="H655">
        <f>IF(INVENTARIO!Q655="","",INVENTARIO!Q655)</f>
        <v/>
      </c>
      <c r="I655">
        <f>IF(INVENTARIO!R655="","",INVENTARIO!R655)</f>
        <v/>
      </c>
      <c r="J655">
        <f>IF(G655="PUBLICA(1)",1,IF(G655="USO INTERNO(2)",2,IF(G655="RESTRINGIDO(3)",3,0)))+IF(H655="BAJA(1)",1,IF(H655="MEDIA(2)",2,IF(H655="ALTA(3)",3,0)))+IF(I655="BAJA(1)",1,IF(I655="MEDIA(2)",2,IF(I655="ALTA(3)",3,0)))</f>
        <v/>
      </c>
      <c r="K655">
        <f>IF(J655="", "", IF(J655&gt;=8,"ALTA",IF(J655&gt;=6,"MEDIA","BAJA")))</f>
        <v/>
      </c>
      <c r="L655">
        <f>IF(INVENTARIO!Y655="","",INVENTARIO!Y655)</f>
        <v/>
      </c>
      <c r="M655">
        <f>IF(INVENTARIO!Z655="","",INVENTARIO!Z655)</f>
        <v/>
      </c>
      <c r="N655">
        <f>IF(INVENTARIO!AA655="","",INVENTARIO!AA655)</f>
        <v/>
      </c>
      <c r="O655">
        <f>IF(INVENTARIO!AB655="","",INVENTARIO!AB655)</f>
        <v/>
      </c>
      <c r="P655">
        <f>IF(INVENTARIO!AC655="","",INVENTARIO!AC655)</f>
        <v/>
      </c>
      <c r="Q655">
        <f>IF(AND(K655="",N655="",L655=""),"",IF(AND((K655="ALTA"),OR(LEFT(N655,2)="L0",LEFT(N655,2)="L1",L655="No Iniciado")),"CRÍTICO - Incumplimiento Normativo SEPS",IF(AND(OR(LEFT(N655,2)="L4",LEFT(N655,2)="L5"),AND(P655&lt;&gt;"",P655&lt;&gt;"N/A")),"CONFORME - Control Efectivo ISO 27001","OBSERVACIÓN - Revisar Controles")))</f>
        <v/>
      </c>
    </row>
    <row r="656">
      <c r="A656">
        <f>IF(INVENTARIO!A656="","",INVENTARIO!A656)</f>
        <v/>
      </c>
      <c r="B656">
        <f>IF(INVENTARIO!E656="","",INVENTARIO!E656)</f>
        <v/>
      </c>
      <c r="C656">
        <f>IF(INVENTARIO!F656="","",INVENTARIO!F656)</f>
        <v/>
      </c>
      <c r="D656">
        <f>IF(INVENTARIO!H656="","",INVENTARIO!H656)</f>
        <v/>
      </c>
      <c r="E656">
        <f>IF(INVENTARIO!I656="","",INVENTARIO!I656)</f>
        <v/>
      </c>
      <c r="F656">
        <f>IF(INVENTARIO!N656="","",INVENTARIO!N656)</f>
        <v/>
      </c>
      <c r="G656">
        <f>IF(INVENTARIO!P656="","",INVENTARIO!P656)</f>
        <v/>
      </c>
      <c r="H656">
        <f>IF(INVENTARIO!Q656="","",INVENTARIO!Q656)</f>
        <v/>
      </c>
      <c r="I656">
        <f>IF(INVENTARIO!R656="","",INVENTARIO!R656)</f>
        <v/>
      </c>
      <c r="J656">
        <f>IF(G656="PUBLICA(1)",1,IF(G656="USO INTERNO(2)",2,IF(G656="RESTRINGIDO(3)",3,0)))+IF(H656="BAJA(1)",1,IF(H656="MEDIA(2)",2,IF(H656="ALTA(3)",3,0)))+IF(I656="BAJA(1)",1,IF(I656="MEDIA(2)",2,IF(I656="ALTA(3)",3,0)))</f>
        <v/>
      </c>
      <c r="K656">
        <f>IF(J656="", "", IF(J656&gt;=8,"ALTA",IF(J656&gt;=6,"MEDIA","BAJA")))</f>
        <v/>
      </c>
      <c r="L656">
        <f>IF(INVENTARIO!Y656="","",INVENTARIO!Y656)</f>
        <v/>
      </c>
      <c r="M656">
        <f>IF(INVENTARIO!Z656="","",INVENTARIO!Z656)</f>
        <v/>
      </c>
      <c r="N656">
        <f>IF(INVENTARIO!AA656="","",INVENTARIO!AA656)</f>
        <v/>
      </c>
      <c r="O656">
        <f>IF(INVENTARIO!AB656="","",INVENTARIO!AB656)</f>
        <v/>
      </c>
      <c r="P656">
        <f>IF(INVENTARIO!AC656="","",INVENTARIO!AC656)</f>
        <v/>
      </c>
      <c r="Q656">
        <f>IF(AND(K656="",N656="",L656=""),"",IF(AND((K656="ALTA"),OR(LEFT(N656,2)="L0",LEFT(N656,2)="L1",L656="No Iniciado")),"CRÍTICO - Incumplimiento Normativo SEPS",IF(AND(OR(LEFT(N656,2)="L4",LEFT(N656,2)="L5"),AND(P656&lt;&gt;"",P656&lt;&gt;"N/A")),"CONFORME - Control Efectivo ISO 27001","OBSERVACIÓN - Revisar Controles")))</f>
        <v/>
      </c>
    </row>
    <row r="657">
      <c r="A657">
        <f>IF(INVENTARIO!A657="","",INVENTARIO!A657)</f>
        <v/>
      </c>
      <c r="B657">
        <f>IF(INVENTARIO!E657="","",INVENTARIO!E657)</f>
        <v/>
      </c>
      <c r="C657">
        <f>IF(INVENTARIO!F657="","",INVENTARIO!F657)</f>
        <v/>
      </c>
      <c r="D657">
        <f>IF(INVENTARIO!H657="","",INVENTARIO!H657)</f>
        <v/>
      </c>
      <c r="E657">
        <f>IF(INVENTARIO!I657="","",INVENTARIO!I657)</f>
        <v/>
      </c>
      <c r="F657">
        <f>IF(INVENTARIO!N657="","",INVENTARIO!N657)</f>
        <v/>
      </c>
      <c r="G657">
        <f>IF(INVENTARIO!P657="","",INVENTARIO!P657)</f>
        <v/>
      </c>
      <c r="H657">
        <f>IF(INVENTARIO!Q657="","",INVENTARIO!Q657)</f>
        <v/>
      </c>
      <c r="I657">
        <f>IF(INVENTARIO!R657="","",INVENTARIO!R657)</f>
        <v/>
      </c>
      <c r="J657">
        <f>IF(G657="PUBLICA(1)",1,IF(G657="USO INTERNO(2)",2,IF(G657="RESTRINGIDO(3)",3,0)))+IF(H657="BAJA(1)",1,IF(H657="MEDIA(2)",2,IF(H657="ALTA(3)",3,0)))+IF(I657="BAJA(1)",1,IF(I657="MEDIA(2)",2,IF(I657="ALTA(3)",3,0)))</f>
        <v/>
      </c>
      <c r="K657">
        <f>IF(J657="", "", IF(J657&gt;=8,"ALTA",IF(J657&gt;=6,"MEDIA","BAJA")))</f>
        <v/>
      </c>
      <c r="L657">
        <f>IF(INVENTARIO!Y657="","",INVENTARIO!Y657)</f>
        <v/>
      </c>
      <c r="M657">
        <f>IF(INVENTARIO!Z657="","",INVENTARIO!Z657)</f>
        <v/>
      </c>
      <c r="N657">
        <f>IF(INVENTARIO!AA657="","",INVENTARIO!AA657)</f>
        <v/>
      </c>
      <c r="O657">
        <f>IF(INVENTARIO!AB657="","",INVENTARIO!AB657)</f>
        <v/>
      </c>
      <c r="P657">
        <f>IF(INVENTARIO!AC657="","",INVENTARIO!AC657)</f>
        <v/>
      </c>
      <c r="Q657">
        <f>IF(AND(K657="",N657="",L657=""),"",IF(AND((K657="ALTA"),OR(LEFT(N657,2)="L0",LEFT(N657,2)="L1",L657="No Iniciado")),"CRÍTICO - Incumplimiento Normativo SEPS",IF(AND(OR(LEFT(N657,2)="L4",LEFT(N657,2)="L5"),AND(P657&lt;&gt;"",P657&lt;&gt;"N/A")),"CONFORME - Control Efectivo ISO 27001","OBSERVACIÓN - Revisar Controles")))</f>
        <v/>
      </c>
    </row>
    <row r="658">
      <c r="A658">
        <f>IF(INVENTARIO!A658="","",INVENTARIO!A658)</f>
        <v/>
      </c>
      <c r="B658">
        <f>IF(INVENTARIO!E658="","",INVENTARIO!E658)</f>
        <v/>
      </c>
      <c r="C658">
        <f>IF(INVENTARIO!F658="","",INVENTARIO!F658)</f>
        <v/>
      </c>
      <c r="D658">
        <f>IF(INVENTARIO!H658="","",INVENTARIO!H658)</f>
        <v/>
      </c>
      <c r="E658">
        <f>IF(INVENTARIO!I658="","",INVENTARIO!I658)</f>
        <v/>
      </c>
      <c r="F658">
        <f>IF(INVENTARIO!N658="","",INVENTARIO!N658)</f>
        <v/>
      </c>
      <c r="G658">
        <f>IF(INVENTARIO!P658="","",INVENTARIO!P658)</f>
        <v/>
      </c>
      <c r="H658">
        <f>IF(INVENTARIO!Q658="","",INVENTARIO!Q658)</f>
        <v/>
      </c>
      <c r="I658">
        <f>IF(INVENTARIO!R658="","",INVENTARIO!R658)</f>
        <v/>
      </c>
      <c r="J658">
        <f>IF(G658="PUBLICA(1)",1,IF(G658="USO INTERNO(2)",2,IF(G658="RESTRINGIDO(3)",3,0)))+IF(H658="BAJA(1)",1,IF(H658="MEDIA(2)",2,IF(H658="ALTA(3)",3,0)))+IF(I658="BAJA(1)",1,IF(I658="MEDIA(2)",2,IF(I658="ALTA(3)",3,0)))</f>
        <v/>
      </c>
      <c r="K658">
        <f>IF(J658="", "", IF(J658&gt;=8,"ALTA",IF(J658&gt;=6,"MEDIA","BAJA")))</f>
        <v/>
      </c>
      <c r="L658">
        <f>IF(INVENTARIO!Y658="","",INVENTARIO!Y658)</f>
        <v/>
      </c>
      <c r="M658">
        <f>IF(INVENTARIO!Z658="","",INVENTARIO!Z658)</f>
        <v/>
      </c>
      <c r="N658">
        <f>IF(INVENTARIO!AA658="","",INVENTARIO!AA658)</f>
        <v/>
      </c>
      <c r="O658">
        <f>IF(INVENTARIO!AB658="","",INVENTARIO!AB658)</f>
        <v/>
      </c>
      <c r="P658">
        <f>IF(INVENTARIO!AC658="","",INVENTARIO!AC658)</f>
        <v/>
      </c>
      <c r="Q658">
        <f>IF(AND(K658="",N658="",L658=""),"",IF(AND((K658="ALTA"),OR(LEFT(N658,2)="L0",LEFT(N658,2)="L1",L658="No Iniciado")),"CRÍTICO - Incumplimiento Normativo SEPS",IF(AND(OR(LEFT(N658,2)="L4",LEFT(N658,2)="L5"),AND(P658&lt;&gt;"",P658&lt;&gt;"N/A")),"CONFORME - Control Efectivo ISO 27001","OBSERVACIÓN - Revisar Controles")))</f>
        <v/>
      </c>
    </row>
    <row r="659">
      <c r="A659">
        <f>IF(INVENTARIO!A659="","",INVENTARIO!A659)</f>
        <v/>
      </c>
      <c r="B659">
        <f>IF(INVENTARIO!E659="","",INVENTARIO!E659)</f>
        <v/>
      </c>
      <c r="C659">
        <f>IF(INVENTARIO!F659="","",INVENTARIO!F659)</f>
        <v/>
      </c>
      <c r="D659">
        <f>IF(INVENTARIO!H659="","",INVENTARIO!H659)</f>
        <v/>
      </c>
      <c r="E659">
        <f>IF(INVENTARIO!I659="","",INVENTARIO!I659)</f>
        <v/>
      </c>
      <c r="F659">
        <f>IF(INVENTARIO!N659="","",INVENTARIO!N659)</f>
        <v/>
      </c>
      <c r="G659">
        <f>IF(INVENTARIO!P659="","",INVENTARIO!P659)</f>
        <v/>
      </c>
      <c r="H659">
        <f>IF(INVENTARIO!Q659="","",INVENTARIO!Q659)</f>
        <v/>
      </c>
      <c r="I659">
        <f>IF(INVENTARIO!R659="","",INVENTARIO!R659)</f>
        <v/>
      </c>
      <c r="J659">
        <f>IF(G659="PUBLICA(1)",1,IF(G659="USO INTERNO(2)",2,IF(G659="RESTRINGIDO(3)",3,0)))+IF(H659="BAJA(1)",1,IF(H659="MEDIA(2)",2,IF(H659="ALTA(3)",3,0)))+IF(I659="BAJA(1)",1,IF(I659="MEDIA(2)",2,IF(I659="ALTA(3)",3,0)))</f>
        <v/>
      </c>
      <c r="K659">
        <f>IF(J659="", "", IF(J659&gt;=8,"ALTA",IF(J659&gt;=6,"MEDIA","BAJA")))</f>
        <v/>
      </c>
      <c r="L659">
        <f>IF(INVENTARIO!Y659="","",INVENTARIO!Y659)</f>
        <v/>
      </c>
      <c r="M659">
        <f>IF(INVENTARIO!Z659="","",INVENTARIO!Z659)</f>
        <v/>
      </c>
      <c r="N659">
        <f>IF(INVENTARIO!AA659="","",INVENTARIO!AA659)</f>
        <v/>
      </c>
      <c r="O659">
        <f>IF(INVENTARIO!AB659="","",INVENTARIO!AB659)</f>
        <v/>
      </c>
      <c r="P659">
        <f>IF(INVENTARIO!AC659="","",INVENTARIO!AC659)</f>
        <v/>
      </c>
      <c r="Q659">
        <f>IF(AND(K659="",N659="",L659=""),"",IF(AND((K659="ALTA"),OR(LEFT(N659,2)="L0",LEFT(N659,2)="L1",L659="No Iniciado")),"CRÍTICO - Incumplimiento Normativo SEPS",IF(AND(OR(LEFT(N659,2)="L4",LEFT(N659,2)="L5"),AND(P659&lt;&gt;"",P659&lt;&gt;"N/A")),"CONFORME - Control Efectivo ISO 27001","OBSERVACIÓN - Revisar Controles")))</f>
        <v/>
      </c>
    </row>
    <row r="660">
      <c r="A660">
        <f>IF(INVENTARIO!A660="","",INVENTARIO!A660)</f>
        <v/>
      </c>
      <c r="B660">
        <f>IF(INVENTARIO!E660="","",INVENTARIO!E660)</f>
        <v/>
      </c>
      <c r="C660">
        <f>IF(INVENTARIO!F660="","",INVENTARIO!F660)</f>
        <v/>
      </c>
      <c r="D660">
        <f>IF(INVENTARIO!H660="","",INVENTARIO!H660)</f>
        <v/>
      </c>
      <c r="E660">
        <f>IF(INVENTARIO!I660="","",INVENTARIO!I660)</f>
        <v/>
      </c>
      <c r="F660">
        <f>IF(INVENTARIO!N660="","",INVENTARIO!N660)</f>
        <v/>
      </c>
      <c r="G660">
        <f>IF(INVENTARIO!P660="","",INVENTARIO!P660)</f>
        <v/>
      </c>
      <c r="H660">
        <f>IF(INVENTARIO!Q660="","",INVENTARIO!Q660)</f>
        <v/>
      </c>
      <c r="I660">
        <f>IF(INVENTARIO!R660="","",INVENTARIO!R660)</f>
        <v/>
      </c>
      <c r="J660">
        <f>IF(G660="PUBLICA(1)",1,IF(G660="USO INTERNO(2)",2,IF(G660="RESTRINGIDO(3)",3,0)))+IF(H660="BAJA(1)",1,IF(H660="MEDIA(2)",2,IF(H660="ALTA(3)",3,0)))+IF(I660="BAJA(1)",1,IF(I660="MEDIA(2)",2,IF(I660="ALTA(3)",3,0)))</f>
        <v/>
      </c>
      <c r="K660">
        <f>IF(J660="", "", IF(J660&gt;=8,"ALTA",IF(J660&gt;=6,"MEDIA","BAJA")))</f>
        <v/>
      </c>
      <c r="L660">
        <f>IF(INVENTARIO!Y660="","",INVENTARIO!Y660)</f>
        <v/>
      </c>
      <c r="M660">
        <f>IF(INVENTARIO!Z660="","",INVENTARIO!Z660)</f>
        <v/>
      </c>
      <c r="N660">
        <f>IF(INVENTARIO!AA660="","",INVENTARIO!AA660)</f>
        <v/>
      </c>
      <c r="O660">
        <f>IF(INVENTARIO!AB660="","",INVENTARIO!AB660)</f>
        <v/>
      </c>
      <c r="P660">
        <f>IF(INVENTARIO!AC660="","",INVENTARIO!AC660)</f>
        <v/>
      </c>
      <c r="Q660">
        <f>IF(AND(K660="",N660="",L660=""),"",IF(AND((K660="ALTA"),OR(LEFT(N660,2)="L0",LEFT(N660,2)="L1",L660="No Iniciado")),"CRÍTICO - Incumplimiento Normativo SEPS",IF(AND(OR(LEFT(N660,2)="L4",LEFT(N660,2)="L5"),AND(P660&lt;&gt;"",P660&lt;&gt;"N/A")),"CONFORME - Control Efectivo ISO 27001","OBSERVACIÓN - Revisar Controles")))</f>
        <v/>
      </c>
    </row>
    <row r="661">
      <c r="A661">
        <f>IF(INVENTARIO!A661="","",INVENTARIO!A661)</f>
        <v/>
      </c>
      <c r="B661">
        <f>IF(INVENTARIO!E661="","",INVENTARIO!E661)</f>
        <v/>
      </c>
      <c r="C661">
        <f>IF(INVENTARIO!F661="","",INVENTARIO!F661)</f>
        <v/>
      </c>
      <c r="D661">
        <f>IF(INVENTARIO!H661="","",INVENTARIO!H661)</f>
        <v/>
      </c>
      <c r="E661">
        <f>IF(INVENTARIO!I661="","",INVENTARIO!I661)</f>
        <v/>
      </c>
      <c r="F661">
        <f>IF(INVENTARIO!N661="","",INVENTARIO!N661)</f>
        <v/>
      </c>
      <c r="G661">
        <f>IF(INVENTARIO!P661="","",INVENTARIO!P661)</f>
        <v/>
      </c>
      <c r="H661">
        <f>IF(INVENTARIO!Q661="","",INVENTARIO!Q661)</f>
        <v/>
      </c>
      <c r="I661">
        <f>IF(INVENTARIO!R661="","",INVENTARIO!R661)</f>
        <v/>
      </c>
      <c r="J661">
        <f>IF(G661="PUBLICA(1)",1,IF(G661="USO INTERNO(2)",2,IF(G661="RESTRINGIDO(3)",3,0)))+IF(H661="BAJA(1)",1,IF(H661="MEDIA(2)",2,IF(H661="ALTA(3)",3,0)))+IF(I661="BAJA(1)",1,IF(I661="MEDIA(2)",2,IF(I661="ALTA(3)",3,0)))</f>
        <v/>
      </c>
      <c r="K661">
        <f>IF(J661="", "", IF(J661&gt;=8,"ALTA",IF(J661&gt;=6,"MEDIA","BAJA")))</f>
        <v/>
      </c>
      <c r="L661">
        <f>IF(INVENTARIO!Y661="","",INVENTARIO!Y661)</f>
        <v/>
      </c>
      <c r="M661">
        <f>IF(INVENTARIO!Z661="","",INVENTARIO!Z661)</f>
        <v/>
      </c>
      <c r="N661">
        <f>IF(INVENTARIO!AA661="","",INVENTARIO!AA661)</f>
        <v/>
      </c>
      <c r="O661">
        <f>IF(INVENTARIO!AB661="","",INVENTARIO!AB661)</f>
        <v/>
      </c>
      <c r="P661">
        <f>IF(INVENTARIO!AC661="","",INVENTARIO!AC661)</f>
        <v/>
      </c>
      <c r="Q661">
        <f>IF(AND(K661="",N661="",L661=""),"",IF(AND((K661="ALTA"),OR(LEFT(N661,2)="L0",LEFT(N661,2)="L1",L661="No Iniciado")),"CRÍTICO - Incumplimiento Normativo SEPS",IF(AND(OR(LEFT(N661,2)="L4",LEFT(N661,2)="L5"),AND(P661&lt;&gt;"",P661&lt;&gt;"N/A")),"CONFORME - Control Efectivo ISO 27001","OBSERVACIÓN - Revisar Controles")))</f>
        <v/>
      </c>
    </row>
    <row r="662">
      <c r="A662">
        <f>IF(INVENTARIO!A662="","",INVENTARIO!A662)</f>
        <v/>
      </c>
      <c r="B662">
        <f>IF(INVENTARIO!E662="","",INVENTARIO!E662)</f>
        <v/>
      </c>
      <c r="C662">
        <f>IF(INVENTARIO!F662="","",INVENTARIO!F662)</f>
        <v/>
      </c>
      <c r="D662">
        <f>IF(INVENTARIO!H662="","",INVENTARIO!H662)</f>
        <v/>
      </c>
      <c r="E662">
        <f>IF(INVENTARIO!I662="","",INVENTARIO!I662)</f>
        <v/>
      </c>
      <c r="F662">
        <f>IF(INVENTARIO!N662="","",INVENTARIO!N662)</f>
        <v/>
      </c>
      <c r="G662">
        <f>IF(INVENTARIO!P662="","",INVENTARIO!P662)</f>
        <v/>
      </c>
      <c r="H662">
        <f>IF(INVENTARIO!Q662="","",INVENTARIO!Q662)</f>
        <v/>
      </c>
      <c r="I662">
        <f>IF(INVENTARIO!R662="","",INVENTARIO!R662)</f>
        <v/>
      </c>
      <c r="J662">
        <f>IF(G662="PUBLICA(1)",1,IF(G662="USO INTERNO(2)",2,IF(G662="RESTRINGIDO(3)",3,0)))+IF(H662="BAJA(1)",1,IF(H662="MEDIA(2)",2,IF(H662="ALTA(3)",3,0)))+IF(I662="BAJA(1)",1,IF(I662="MEDIA(2)",2,IF(I662="ALTA(3)",3,0)))</f>
        <v/>
      </c>
      <c r="K662">
        <f>IF(J662="", "", IF(J662&gt;=8,"ALTA",IF(J662&gt;=6,"MEDIA","BAJA")))</f>
        <v/>
      </c>
      <c r="L662">
        <f>IF(INVENTARIO!Y662="","",INVENTARIO!Y662)</f>
        <v/>
      </c>
      <c r="M662">
        <f>IF(INVENTARIO!Z662="","",INVENTARIO!Z662)</f>
        <v/>
      </c>
      <c r="N662">
        <f>IF(INVENTARIO!AA662="","",INVENTARIO!AA662)</f>
        <v/>
      </c>
      <c r="O662">
        <f>IF(INVENTARIO!AB662="","",INVENTARIO!AB662)</f>
        <v/>
      </c>
      <c r="P662">
        <f>IF(INVENTARIO!AC662="","",INVENTARIO!AC662)</f>
        <v/>
      </c>
      <c r="Q662">
        <f>IF(AND(K662="",N662="",L662=""),"",IF(AND((K662="ALTA"),OR(LEFT(N662,2)="L0",LEFT(N662,2)="L1",L662="No Iniciado")),"CRÍTICO - Incumplimiento Normativo SEPS",IF(AND(OR(LEFT(N662,2)="L4",LEFT(N662,2)="L5"),AND(P662&lt;&gt;"",P662&lt;&gt;"N/A")),"CONFORME - Control Efectivo ISO 27001","OBSERVACIÓN - Revisar Controles")))</f>
        <v/>
      </c>
    </row>
    <row r="663">
      <c r="A663">
        <f>IF(INVENTARIO!A663="","",INVENTARIO!A663)</f>
        <v/>
      </c>
      <c r="B663">
        <f>IF(INVENTARIO!E663="","",INVENTARIO!E663)</f>
        <v/>
      </c>
      <c r="C663">
        <f>IF(INVENTARIO!F663="","",INVENTARIO!F663)</f>
        <v/>
      </c>
      <c r="D663">
        <f>IF(INVENTARIO!H663="","",INVENTARIO!H663)</f>
        <v/>
      </c>
      <c r="E663">
        <f>IF(INVENTARIO!I663="","",INVENTARIO!I663)</f>
        <v/>
      </c>
      <c r="F663">
        <f>IF(INVENTARIO!N663="","",INVENTARIO!N663)</f>
        <v/>
      </c>
      <c r="G663">
        <f>IF(INVENTARIO!P663="","",INVENTARIO!P663)</f>
        <v/>
      </c>
      <c r="H663">
        <f>IF(INVENTARIO!Q663="","",INVENTARIO!Q663)</f>
        <v/>
      </c>
      <c r="I663">
        <f>IF(INVENTARIO!R663="","",INVENTARIO!R663)</f>
        <v/>
      </c>
      <c r="J663">
        <f>IF(G663="PUBLICA(1)",1,IF(G663="USO INTERNO(2)",2,IF(G663="RESTRINGIDO(3)",3,0)))+IF(H663="BAJA(1)",1,IF(H663="MEDIA(2)",2,IF(H663="ALTA(3)",3,0)))+IF(I663="BAJA(1)",1,IF(I663="MEDIA(2)",2,IF(I663="ALTA(3)",3,0)))</f>
        <v/>
      </c>
      <c r="K663">
        <f>IF(J663="", "", IF(J663&gt;=8,"ALTA",IF(J663&gt;=6,"MEDIA","BAJA")))</f>
        <v/>
      </c>
      <c r="L663">
        <f>IF(INVENTARIO!Y663="","",INVENTARIO!Y663)</f>
        <v/>
      </c>
      <c r="M663">
        <f>IF(INVENTARIO!Z663="","",INVENTARIO!Z663)</f>
        <v/>
      </c>
      <c r="N663">
        <f>IF(INVENTARIO!AA663="","",INVENTARIO!AA663)</f>
        <v/>
      </c>
      <c r="O663">
        <f>IF(INVENTARIO!AB663="","",INVENTARIO!AB663)</f>
        <v/>
      </c>
      <c r="P663">
        <f>IF(INVENTARIO!AC663="","",INVENTARIO!AC663)</f>
        <v/>
      </c>
      <c r="Q663">
        <f>IF(AND(K663="",N663="",L663=""),"",IF(AND((K663="ALTA"),OR(LEFT(N663,2)="L0",LEFT(N663,2)="L1",L663="No Iniciado")),"CRÍTICO - Incumplimiento Normativo SEPS",IF(AND(OR(LEFT(N663,2)="L4",LEFT(N663,2)="L5"),AND(P663&lt;&gt;"",P663&lt;&gt;"N/A")),"CONFORME - Control Efectivo ISO 27001","OBSERVACIÓN - Revisar Controles")))</f>
        <v/>
      </c>
    </row>
    <row r="664">
      <c r="A664">
        <f>IF(INVENTARIO!A664="","",INVENTARIO!A664)</f>
        <v/>
      </c>
      <c r="B664">
        <f>IF(INVENTARIO!E664="","",INVENTARIO!E664)</f>
        <v/>
      </c>
      <c r="C664">
        <f>IF(INVENTARIO!F664="","",INVENTARIO!F664)</f>
        <v/>
      </c>
      <c r="D664">
        <f>IF(INVENTARIO!H664="","",INVENTARIO!H664)</f>
        <v/>
      </c>
      <c r="E664">
        <f>IF(INVENTARIO!I664="","",INVENTARIO!I664)</f>
        <v/>
      </c>
      <c r="F664">
        <f>IF(INVENTARIO!N664="","",INVENTARIO!N664)</f>
        <v/>
      </c>
      <c r="G664">
        <f>IF(INVENTARIO!P664="","",INVENTARIO!P664)</f>
        <v/>
      </c>
      <c r="H664">
        <f>IF(INVENTARIO!Q664="","",INVENTARIO!Q664)</f>
        <v/>
      </c>
      <c r="I664">
        <f>IF(INVENTARIO!R664="","",INVENTARIO!R664)</f>
        <v/>
      </c>
      <c r="J664">
        <f>IF(G664="PUBLICA(1)",1,IF(G664="USO INTERNO(2)",2,IF(G664="RESTRINGIDO(3)",3,0)))+IF(H664="BAJA(1)",1,IF(H664="MEDIA(2)",2,IF(H664="ALTA(3)",3,0)))+IF(I664="BAJA(1)",1,IF(I664="MEDIA(2)",2,IF(I664="ALTA(3)",3,0)))</f>
        <v/>
      </c>
      <c r="K664">
        <f>IF(J664="", "", IF(J664&gt;=8,"ALTA",IF(J664&gt;=6,"MEDIA","BAJA")))</f>
        <v/>
      </c>
      <c r="L664">
        <f>IF(INVENTARIO!Y664="","",INVENTARIO!Y664)</f>
        <v/>
      </c>
      <c r="M664">
        <f>IF(INVENTARIO!Z664="","",INVENTARIO!Z664)</f>
        <v/>
      </c>
      <c r="N664">
        <f>IF(INVENTARIO!AA664="","",INVENTARIO!AA664)</f>
        <v/>
      </c>
      <c r="O664">
        <f>IF(INVENTARIO!AB664="","",INVENTARIO!AB664)</f>
        <v/>
      </c>
      <c r="P664">
        <f>IF(INVENTARIO!AC664="","",INVENTARIO!AC664)</f>
        <v/>
      </c>
      <c r="Q664">
        <f>IF(AND(K664="",N664="",L664=""),"",IF(AND((K664="ALTA"),OR(LEFT(N664,2)="L0",LEFT(N664,2)="L1",L664="No Iniciado")),"CRÍTICO - Incumplimiento Normativo SEPS",IF(AND(OR(LEFT(N664,2)="L4",LEFT(N664,2)="L5"),AND(P664&lt;&gt;"",P664&lt;&gt;"N/A")),"CONFORME - Control Efectivo ISO 27001","OBSERVACIÓN - Revisar Controles")))</f>
        <v/>
      </c>
    </row>
    <row r="665">
      <c r="A665">
        <f>IF(INVENTARIO!A665="","",INVENTARIO!A665)</f>
        <v/>
      </c>
      <c r="B665">
        <f>IF(INVENTARIO!E665="","",INVENTARIO!E665)</f>
        <v/>
      </c>
      <c r="C665">
        <f>IF(INVENTARIO!F665="","",INVENTARIO!F665)</f>
        <v/>
      </c>
      <c r="D665">
        <f>IF(INVENTARIO!H665="","",INVENTARIO!H665)</f>
        <v/>
      </c>
      <c r="E665">
        <f>IF(INVENTARIO!I665="","",INVENTARIO!I665)</f>
        <v/>
      </c>
      <c r="F665">
        <f>IF(INVENTARIO!N665="","",INVENTARIO!N665)</f>
        <v/>
      </c>
      <c r="G665">
        <f>IF(INVENTARIO!P665="","",INVENTARIO!P665)</f>
        <v/>
      </c>
      <c r="H665">
        <f>IF(INVENTARIO!Q665="","",INVENTARIO!Q665)</f>
        <v/>
      </c>
      <c r="I665">
        <f>IF(INVENTARIO!R665="","",INVENTARIO!R665)</f>
        <v/>
      </c>
      <c r="J665">
        <f>IF(G665="PUBLICA(1)",1,IF(G665="USO INTERNO(2)",2,IF(G665="RESTRINGIDO(3)",3,0)))+IF(H665="BAJA(1)",1,IF(H665="MEDIA(2)",2,IF(H665="ALTA(3)",3,0)))+IF(I665="BAJA(1)",1,IF(I665="MEDIA(2)",2,IF(I665="ALTA(3)",3,0)))</f>
        <v/>
      </c>
      <c r="K665">
        <f>IF(J665="", "", IF(J665&gt;=8,"ALTA",IF(J665&gt;=6,"MEDIA","BAJA")))</f>
        <v/>
      </c>
      <c r="L665">
        <f>IF(INVENTARIO!Y665="","",INVENTARIO!Y665)</f>
        <v/>
      </c>
      <c r="M665">
        <f>IF(INVENTARIO!Z665="","",INVENTARIO!Z665)</f>
        <v/>
      </c>
      <c r="N665">
        <f>IF(INVENTARIO!AA665="","",INVENTARIO!AA665)</f>
        <v/>
      </c>
      <c r="O665">
        <f>IF(INVENTARIO!AB665="","",INVENTARIO!AB665)</f>
        <v/>
      </c>
      <c r="P665">
        <f>IF(INVENTARIO!AC665="","",INVENTARIO!AC665)</f>
        <v/>
      </c>
      <c r="Q665">
        <f>IF(AND(K665="",N665="",L665=""),"",IF(AND((K665="ALTA"),OR(LEFT(N665,2)="L0",LEFT(N665,2)="L1",L665="No Iniciado")),"CRÍTICO - Incumplimiento Normativo SEPS",IF(AND(OR(LEFT(N665,2)="L4",LEFT(N665,2)="L5"),AND(P665&lt;&gt;"",P665&lt;&gt;"N/A")),"CONFORME - Control Efectivo ISO 27001","OBSERVACIÓN - Revisar Controles")))</f>
        <v/>
      </c>
    </row>
    <row r="666">
      <c r="A666">
        <f>IF(INVENTARIO!A666="","",INVENTARIO!A666)</f>
        <v/>
      </c>
      <c r="B666">
        <f>IF(INVENTARIO!E666="","",INVENTARIO!E666)</f>
        <v/>
      </c>
      <c r="C666">
        <f>IF(INVENTARIO!F666="","",INVENTARIO!F666)</f>
        <v/>
      </c>
      <c r="D666">
        <f>IF(INVENTARIO!H666="","",INVENTARIO!H666)</f>
        <v/>
      </c>
      <c r="E666">
        <f>IF(INVENTARIO!I666="","",INVENTARIO!I666)</f>
        <v/>
      </c>
      <c r="F666">
        <f>IF(INVENTARIO!N666="","",INVENTARIO!N666)</f>
        <v/>
      </c>
      <c r="G666">
        <f>IF(INVENTARIO!P666="","",INVENTARIO!P666)</f>
        <v/>
      </c>
      <c r="H666">
        <f>IF(INVENTARIO!Q666="","",INVENTARIO!Q666)</f>
        <v/>
      </c>
      <c r="I666">
        <f>IF(INVENTARIO!R666="","",INVENTARIO!R666)</f>
        <v/>
      </c>
      <c r="J666">
        <f>IF(G666="PUBLICA(1)",1,IF(G666="USO INTERNO(2)",2,IF(G666="RESTRINGIDO(3)",3,0)))+IF(H666="BAJA(1)",1,IF(H666="MEDIA(2)",2,IF(H666="ALTA(3)",3,0)))+IF(I666="BAJA(1)",1,IF(I666="MEDIA(2)",2,IF(I666="ALTA(3)",3,0)))</f>
        <v/>
      </c>
      <c r="K666">
        <f>IF(J666="", "", IF(J666&gt;=8,"ALTA",IF(J666&gt;=6,"MEDIA","BAJA")))</f>
        <v/>
      </c>
      <c r="L666">
        <f>IF(INVENTARIO!Y666="","",INVENTARIO!Y666)</f>
        <v/>
      </c>
      <c r="M666">
        <f>IF(INVENTARIO!Z666="","",INVENTARIO!Z666)</f>
        <v/>
      </c>
      <c r="N666">
        <f>IF(INVENTARIO!AA666="","",INVENTARIO!AA666)</f>
        <v/>
      </c>
      <c r="O666">
        <f>IF(INVENTARIO!AB666="","",INVENTARIO!AB666)</f>
        <v/>
      </c>
      <c r="P666">
        <f>IF(INVENTARIO!AC666="","",INVENTARIO!AC666)</f>
        <v/>
      </c>
      <c r="Q666">
        <f>IF(AND(K666="",N666="",L666=""),"",IF(AND((K666="ALTA"),OR(LEFT(N666,2)="L0",LEFT(N666,2)="L1",L666="No Iniciado")),"CRÍTICO - Incumplimiento Normativo SEPS",IF(AND(OR(LEFT(N666,2)="L4",LEFT(N666,2)="L5"),AND(P666&lt;&gt;"",P666&lt;&gt;"N/A")),"CONFORME - Control Efectivo ISO 27001","OBSERVACIÓN - Revisar Controles")))</f>
        <v/>
      </c>
    </row>
    <row r="667">
      <c r="A667">
        <f>IF(INVENTARIO!A667="","",INVENTARIO!A667)</f>
        <v/>
      </c>
      <c r="B667">
        <f>IF(INVENTARIO!E667="","",INVENTARIO!E667)</f>
        <v/>
      </c>
      <c r="C667">
        <f>IF(INVENTARIO!F667="","",INVENTARIO!F667)</f>
        <v/>
      </c>
      <c r="D667">
        <f>IF(INVENTARIO!H667="","",INVENTARIO!H667)</f>
        <v/>
      </c>
      <c r="E667">
        <f>IF(INVENTARIO!I667="","",INVENTARIO!I667)</f>
        <v/>
      </c>
      <c r="F667">
        <f>IF(INVENTARIO!N667="","",INVENTARIO!N667)</f>
        <v/>
      </c>
      <c r="G667">
        <f>IF(INVENTARIO!P667="","",INVENTARIO!P667)</f>
        <v/>
      </c>
      <c r="H667">
        <f>IF(INVENTARIO!Q667="","",INVENTARIO!Q667)</f>
        <v/>
      </c>
      <c r="I667">
        <f>IF(INVENTARIO!R667="","",INVENTARIO!R667)</f>
        <v/>
      </c>
      <c r="J667">
        <f>IF(G667="PUBLICA(1)",1,IF(G667="USO INTERNO(2)",2,IF(G667="RESTRINGIDO(3)",3,0)))+IF(H667="BAJA(1)",1,IF(H667="MEDIA(2)",2,IF(H667="ALTA(3)",3,0)))+IF(I667="BAJA(1)",1,IF(I667="MEDIA(2)",2,IF(I667="ALTA(3)",3,0)))</f>
        <v/>
      </c>
      <c r="K667">
        <f>IF(J667="", "", IF(J667&gt;=8,"ALTA",IF(J667&gt;=6,"MEDIA","BAJA")))</f>
        <v/>
      </c>
      <c r="L667">
        <f>IF(INVENTARIO!Y667="","",INVENTARIO!Y667)</f>
        <v/>
      </c>
      <c r="M667">
        <f>IF(INVENTARIO!Z667="","",INVENTARIO!Z667)</f>
        <v/>
      </c>
      <c r="N667">
        <f>IF(INVENTARIO!AA667="","",INVENTARIO!AA667)</f>
        <v/>
      </c>
      <c r="O667">
        <f>IF(INVENTARIO!AB667="","",INVENTARIO!AB667)</f>
        <v/>
      </c>
      <c r="P667">
        <f>IF(INVENTARIO!AC667="","",INVENTARIO!AC667)</f>
        <v/>
      </c>
      <c r="Q667">
        <f>IF(AND(K667="",N667="",L667=""),"",IF(AND((K667="ALTA"),OR(LEFT(N667,2)="L0",LEFT(N667,2)="L1",L667="No Iniciado")),"CRÍTICO - Incumplimiento Normativo SEPS",IF(AND(OR(LEFT(N667,2)="L4",LEFT(N667,2)="L5"),AND(P667&lt;&gt;"",P667&lt;&gt;"N/A")),"CONFORME - Control Efectivo ISO 27001","OBSERVACIÓN - Revisar Controles")))</f>
        <v/>
      </c>
    </row>
    <row r="668">
      <c r="A668">
        <f>IF(INVENTARIO!A668="","",INVENTARIO!A668)</f>
        <v/>
      </c>
      <c r="B668">
        <f>IF(INVENTARIO!E668="","",INVENTARIO!E668)</f>
        <v/>
      </c>
      <c r="C668">
        <f>IF(INVENTARIO!F668="","",INVENTARIO!F668)</f>
        <v/>
      </c>
      <c r="D668">
        <f>IF(INVENTARIO!H668="","",INVENTARIO!H668)</f>
        <v/>
      </c>
      <c r="E668">
        <f>IF(INVENTARIO!I668="","",INVENTARIO!I668)</f>
        <v/>
      </c>
      <c r="F668">
        <f>IF(INVENTARIO!N668="","",INVENTARIO!N668)</f>
        <v/>
      </c>
      <c r="G668">
        <f>IF(INVENTARIO!P668="","",INVENTARIO!P668)</f>
        <v/>
      </c>
      <c r="H668">
        <f>IF(INVENTARIO!Q668="","",INVENTARIO!Q668)</f>
        <v/>
      </c>
      <c r="I668">
        <f>IF(INVENTARIO!R668="","",INVENTARIO!R668)</f>
        <v/>
      </c>
      <c r="J668">
        <f>IF(G668="PUBLICA(1)",1,IF(G668="USO INTERNO(2)",2,IF(G668="RESTRINGIDO(3)",3,0)))+IF(H668="BAJA(1)",1,IF(H668="MEDIA(2)",2,IF(H668="ALTA(3)",3,0)))+IF(I668="BAJA(1)",1,IF(I668="MEDIA(2)",2,IF(I668="ALTA(3)",3,0)))</f>
        <v/>
      </c>
      <c r="K668">
        <f>IF(J668="", "", IF(J668&gt;=8,"ALTA",IF(J668&gt;=6,"MEDIA","BAJA")))</f>
        <v/>
      </c>
      <c r="L668">
        <f>IF(INVENTARIO!Y668="","",INVENTARIO!Y668)</f>
        <v/>
      </c>
      <c r="M668">
        <f>IF(INVENTARIO!Z668="","",INVENTARIO!Z668)</f>
        <v/>
      </c>
      <c r="N668">
        <f>IF(INVENTARIO!AA668="","",INVENTARIO!AA668)</f>
        <v/>
      </c>
      <c r="O668">
        <f>IF(INVENTARIO!AB668="","",INVENTARIO!AB668)</f>
        <v/>
      </c>
      <c r="P668">
        <f>IF(INVENTARIO!AC668="","",INVENTARIO!AC668)</f>
        <v/>
      </c>
      <c r="Q668">
        <f>IF(AND(K668="",N668="",L668=""),"",IF(AND((K668="ALTA"),OR(LEFT(N668,2)="L0",LEFT(N668,2)="L1",L668="No Iniciado")),"CRÍTICO - Incumplimiento Normativo SEPS",IF(AND(OR(LEFT(N668,2)="L4",LEFT(N668,2)="L5"),AND(P668&lt;&gt;"",P668&lt;&gt;"N/A")),"CONFORME - Control Efectivo ISO 27001","OBSERVACIÓN - Revisar Controles")))</f>
        <v/>
      </c>
    </row>
    <row r="669">
      <c r="A669">
        <f>IF(INVENTARIO!A669="","",INVENTARIO!A669)</f>
        <v/>
      </c>
      <c r="B669">
        <f>IF(INVENTARIO!E669="","",INVENTARIO!E669)</f>
        <v/>
      </c>
      <c r="C669">
        <f>IF(INVENTARIO!F669="","",INVENTARIO!F669)</f>
        <v/>
      </c>
      <c r="D669">
        <f>IF(INVENTARIO!H669="","",INVENTARIO!H669)</f>
        <v/>
      </c>
      <c r="E669">
        <f>IF(INVENTARIO!I669="","",INVENTARIO!I669)</f>
        <v/>
      </c>
      <c r="F669">
        <f>IF(INVENTARIO!N669="","",INVENTARIO!N669)</f>
        <v/>
      </c>
      <c r="G669">
        <f>IF(INVENTARIO!P669="","",INVENTARIO!P669)</f>
        <v/>
      </c>
      <c r="H669">
        <f>IF(INVENTARIO!Q669="","",INVENTARIO!Q669)</f>
        <v/>
      </c>
      <c r="I669">
        <f>IF(INVENTARIO!R669="","",INVENTARIO!R669)</f>
        <v/>
      </c>
      <c r="J669">
        <f>IF(G669="PUBLICA(1)",1,IF(G669="USO INTERNO(2)",2,IF(G669="RESTRINGIDO(3)",3,0)))+IF(H669="BAJA(1)",1,IF(H669="MEDIA(2)",2,IF(H669="ALTA(3)",3,0)))+IF(I669="BAJA(1)",1,IF(I669="MEDIA(2)",2,IF(I669="ALTA(3)",3,0)))</f>
        <v/>
      </c>
      <c r="K669">
        <f>IF(J669="", "", IF(J669&gt;=8,"ALTA",IF(J669&gt;=6,"MEDIA","BAJA")))</f>
        <v/>
      </c>
      <c r="L669">
        <f>IF(INVENTARIO!Y669="","",INVENTARIO!Y669)</f>
        <v/>
      </c>
      <c r="M669">
        <f>IF(INVENTARIO!Z669="","",INVENTARIO!Z669)</f>
        <v/>
      </c>
      <c r="N669">
        <f>IF(INVENTARIO!AA669="","",INVENTARIO!AA669)</f>
        <v/>
      </c>
      <c r="O669">
        <f>IF(INVENTARIO!AB669="","",INVENTARIO!AB669)</f>
        <v/>
      </c>
      <c r="P669">
        <f>IF(INVENTARIO!AC669="","",INVENTARIO!AC669)</f>
        <v/>
      </c>
      <c r="Q669">
        <f>IF(AND(K669="",N669="",L669=""),"",IF(AND((K669="ALTA"),OR(LEFT(N669,2)="L0",LEFT(N669,2)="L1",L669="No Iniciado")),"CRÍTICO - Incumplimiento Normativo SEPS",IF(AND(OR(LEFT(N669,2)="L4",LEFT(N669,2)="L5"),AND(P669&lt;&gt;"",P669&lt;&gt;"N/A")),"CONFORME - Control Efectivo ISO 27001","OBSERVACIÓN - Revisar Controles")))</f>
        <v/>
      </c>
    </row>
    <row r="670">
      <c r="A670">
        <f>IF(INVENTARIO!A670="","",INVENTARIO!A670)</f>
        <v/>
      </c>
      <c r="B670">
        <f>IF(INVENTARIO!E670="","",INVENTARIO!E670)</f>
        <v/>
      </c>
      <c r="C670">
        <f>IF(INVENTARIO!F670="","",INVENTARIO!F670)</f>
        <v/>
      </c>
      <c r="D670">
        <f>IF(INVENTARIO!H670="","",INVENTARIO!H670)</f>
        <v/>
      </c>
      <c r="E670">
        <f>IF(INVENTARIO!I670="","",INVENTARIO!I670)</f>
        <v/>
      </c>
      <c r="F670">
        <f>IF(INVENTARIO!N670="","",INVENTARIO!N670)</f>
        <v/>
      </c>
      <c r="G670">
        <f>IF(INVENTARIO!P670="","",INVENTARIO!P670)</f>
        <v/>
      </c>
      <c r="H670">
        <f>IF(INVENTARIO!Q670="","",INVENTARIO!Q670)</f>
        <v/>
      </c>
      <c r="I670">
        <f>IF(INVENTARIO!R670="","",INVENTARIO!R670)</f>
        <v/>
      </c>
      <c r="J670">
        <f>IF(G670="PUBLICA(1)",1,IF(G670="USO INTERNO(2)",2,IF(G670="RESTRINGIDO(3)",3,0)))+IF(H670="BAJA(1)",1,IF(H670="MEDIA(2)",2,IF(H670="ALTA(3)",3,0)))+IF(I670="BAJA(1)",1,IF(I670="MEDIA(2)",2,IF(I670="ALTA(3)",3,0)))</f>
        <v/>
      </c>
      <c r="K670">
        <f>IF(J670="", "", IF(J670&gt;=8,"ALTA",IF(J670&gt;=6,"MEDIA","BAJA")))</f>
        <v/>
      </c>
      <c r="L670">
        <f>IF(INVENTARIO!Y670="","",INVENTARIO!Y670)</f>
        <v/>
      </c>
      <c r="M670">
        <f>IF(INVENTARIO!Z670="","",INVENTARIO!Z670)</f>
        <v/>
      </c>
      <c r="N670">
        <f>IF(INVENTARIO!AA670="","",INVENTARIO!AA670)</f>
        <v/>
      </c>
      <c r="O670">
        <f>IF(INVENTARIO!AB670="","",INVENTARIO!AB670)</f>
        <v/>
      </c>
      <c r="P670">
        <f>IF(INVENTARIO!AC670="","",INVENTARIO!AC670)</f>
        <v/>
      </c>
      <c r="Q670">
        <f>IF(AND(K670="",N670="",L670=""),"",IF(AND((K670="ALTA"),OR(LEFT(N670,2)="L0",LEFT(N670,2)="L1",L670="No Iniciado")),"CRÍTICO - Incumplimiento Normativo SEPS",IF(AND(OR(LEFT(N670,2)="L4",LEFT(N670,2)="L5"),AND(P670&lt;&gt;"",P670&lt;&gt;"N/A")),"CONFORME - Control Efectivo ISO 27001","OBSERVACIÓN - Revisar Controles")))</f>
        <v/>
      </c>
    </row>
    <row r="671">
      <c r="A671">
        <f>IF(INVENTARIO!A671="","",INVENTARIO!A671)</f>
        <v/>
      </c>
      <c r="B671">
        <f>IF(INVENTARIO!E671="","",INVENTARIO!E671)</f>
        <v/>
      </c>
      <c r="C671">
        <f>IF(INVENTARIO!F671="","",INVENTARIO!F671)</f>
        <v/>
      </c>
      <c r="D671">
        <f>IF(INVENTARIO!H671="","",INVENTARIO!H671)</f>
        <v/>
      </c>
      <c r="E671">
        <f>IF(INVENTARIO!I671="","",INVENTARIO!I671)</f>
        <v/>
      </c>
      <c r="F671">
        <f>IF(INVENTARIO!N671="","",INVENTARIO!N671)</f>
        <v/>
      </c>
      <c r="G671">
        <f>IF(INVENTARIO!P671="","",INVENTARIO!P671)</f>
        <v/>
      </c>
      <c r="H671">
        <f>IF(INVENTARIO!Q671="","",INVENTARIO!Q671)</f>
        <v/>
      </c>
      <c r="I671">
        <f>IF(INVENTARIO!R671="","",INVENTARIO!R671)</f>
        <v/>
      </c>
      <c r="J671">
        <f>IF(G671="PUBLICA(1)",1,IF(G671="USO INTERNO(2)",2,IF(G671="RESTRINGIDO(3)",3,0)))+IF(H671="BAJA(1)",1,IF(H671="MEDIA(2)",2,IF(H671="ALTA(3)",3,0)))+IF(I671="BAJA(1)",1,IF(I671="MEDIA(2)",2,IF(I671="ALTA(3)",3,0)))</f>
        <v/>
      </c>
      <c r="K671">
        <f>IF(J671="", "", IF(J671&gt;=8,"ALTA",IF(J671&gt;=6,"MEDIA","BAJA")))</f>
        <v/>
      </c>
      <c r="L671">
        <f>IF(INVENTARIO!Y671="","",INVENTARIO!Y671)</f>
        <v/>
      </c>
      <c r="M671">
        <f>IF(INVENTARIO!Z671="","",INVENTARIO!Z671)</f>
        <v/>
      </c>
      <c r="N671">
        <f>IF(INVENTARIO!AA671="","",INVENTARIO!AA671)</f>
        <v/>
      </c>
      <c r="O671">
        <f>IF(INVENTARIO!AB671="","",INVENTARIO!AB671)</f>
        <v/>
      </c>
      <c r="P671">
        <f>IF(INVENTARIO!AC671="","",INVENTARIO!AC671)</f>
        <v/>
      </c>
      <c r="Q671">
        <f>IF(AND(K671="",N671="",L671=""),"",IF(AND((K671="ALTA"),OR(LEFT(N671,2)="L0",LEFT(N671,2)="L1",L671="No Iniciado")),"CRÍTICO - Incumplimiento Normativo SEPS",IF(AND(OR(LEFT(N671,2)="L4",LEFT(N671,2)="L5"),AND(P671&lt;&gt;"",P671&lt;&gt;"N/A")),"CONFORME - Control Efectivo ISO 27001","OBSERVACIÓN - Revisar Controles")))</f>
        <v/>
      </c>
    </row>
    <row r="672">
      <c r="A672">
        <f>IF(INVENTARIO!A672="","",INVENTARIO!A672)</f>
        <v/>
      </c>
      <c r="B672">
        <f>IF(INVENTARIO!E672="","",INVENTARIO!E672)</f>
        <v/>
      </c>
      <c r="C672">
        <f>IF(INVENTARIO!F672="","",INVENTARIO!F672)</f>
        <v/>
      </c>
      <c r="D672">
        <f>IF(INVENTARIO!H672="","",INVENTARIO!H672)</f>
        <v/>
      </c>
      <c r="E672">
        <f>IF(INVENTARIO!I672="","",INVENTARIO!I672)</f>
        <v/>
      </c>
      <c r="F672">
        <f>IF(INVENTARIO!N672="","",INVENTARIO!N672)</f>
        <v/>
      </c>
      <c r="G672">
        <f>IF(INVENTARIO!P672="","",INVENTARIO!P672)</f>
        <v/>
      </c>
      <c r="H672">
        <f>IF(INVENTARIO!Q672="","",INVENTARIO!Q672)</f>
        <v/>
      </c>
      <c r="I672">
        <f>IF(INVENTARIO!R672="","",INVENTARIO!R672)</f>
        <v/>
      </c>
      <c r="J672">
        <f>IF(G672="PUBLICA(1)",1,IF(G672="USO INTERNO(2)",2,IF(G672="RESTRINGIDO(3)",3,0)))+IF(H672="BAJA(1)",1,IF(H672="MEDIA(2)",2,IF(H672="ALTA(3)",3,0)))+IF(I672="BAJA(1)",1,IF(I672="MEDIA(2)",2,IF(I672="ALTA(3)",3,0)))</f>
        <v/>
      </c>
      <c r="K672">
        <f>IF(J672="", "", IF(J672&gt;=8,"ALTA",IF(J672&gt;=6,"MEDIA","BAJA")))</f>
        <v/>
      </c>
      <c r="L672">
        <f>IF(INVENTARIO!Y672="","",INVENTARIO!Y672)</f>
        <v/>
      </c>
      <c r="M672">
        <f>IF(INVENTARIO!Z672="","",INVENTARIO!Z672)</f>
        <v/>
      </c>
      <c r="N672">
        <f>IF(INVENTARIO!AA672="","",INVENTARIO!AA672)</f>
        <v/>
      </c>
      <c r="O672">
        <f>IF(INVENTARIO!AB672="","",INVENTARIO!AB672)</f>
        <v/>
      </c>
      <c r="P672">
        <f>IF(INVENTARIO!AC672="","",INVENTARIO!AC672)</f>
        <v/>
      </c>
      <c r="Q672">
        <f>IF(AND(K672="",N672="",L672=""),"",IF(AND((K672="ALTA"),OR(LEFT(N672,2)="L0",LEFT(N672,2)="L1",L672="No Iniciado")),"CRÍTICO - Incumplimiento Normativo SEPS",IF(AND(OR(LEFT(N672,2)="L4",LEFT(N672,2)="L5"),AND(P672&lt;&gt;"",P672&lt;&gt;"N/A")),"CONFORME - Control Efectivo ISO 27001","OBSERVACIÓN - Revisar Controles")))</f>
        <v/>
      </c>
    </row>
    <row r="673">
      <c r="A673">
        <f>IF(INVENTARIO!A673="","",INVENTARIO!A673)</f>
        <v/>
      </c>
      <c r="B673">
        <f>IF(INVENTARIO!E673="","",INVENTARIO!E673)</f>
        <v/>
      </c>
      <c r="C673">
        <f>IF(INVENTARIO!F673="","",INVENTARIO!F673)</f>
        <v/>
      </c>
      <c r="D673">
        <f>IF(INVENTARIO!H673="","",INVENTARIO!H673)</f>
        <v/>
      </c>
      <c r="E673">
        <f>IF(INVENTARIO!I673="","",INVENTARIO!I673)</f>
        <v/>
      </c>
      <c r="F673">
        <f>IF(INVENTARIO!N673="","",INVENTARIO!N673)</f>
        <v/>
      </c>
      <c r="G673">
        <f>IF(INVENTARIO!P673="","",INVENTARIO!P673)</f>
        <v/>
      </c>
      <c r="H673">
        <f>IF(INVENTARIO!Q673="","",INVENTARIO!Q673)</f>
        <v/>
      </c>
      <c r="I673">
        <f>IF(INVENTARIO!R673="","",INVENTARIO!R673)</f>
        <v/>
      </c>
      <c r="J673">
        <f>IF(G673="PUBLICA(1)",1,IF(G673="USO INTERNO(2)",2,IF(G673="RESTRINGIDO(3)",3,0)))+IF(H673="BAJA(1)",1,IF(H673="MEDIA(2)",2,IF(H673="ALTA(3)",3,0)))+IF(I673="BAJA(1)",1,IF(I673="MEDIA(2)",2,IF(I673="ALTA(3)",3,0)))</f>
        <v/>
      </c>
      <c r="K673">
        <f>IF(J673="", "", IF(J673&gt;=8,"ALTA",IF(J673&gt;=6,"MEDIA","BAJA")))</f>
        <v/>
      </c>
      <c r="L673">
        <f>IF(INVENTARIO!Y673="","",INVENTARIO!Y673)</f>
        <v/>
      </c>
      <c r="M673">
        <f>IF(INVENTARIO!Z673="","",INVENTARIO!Z673)</f>
        <v/>
      </c>
      <c r="N673">
        <f>IF(INVENTARIO!AA673="","",INVENTARIO!AA673)</f>
        <v/>
      </c>
      <c r="O673">
        <f>IF(INVENTARIO!AB673="","",INVENTARIO!AB673)</f>
        <v/>
      </c>
      <c r="P673">
        <f>IF(INVENTARIO!AC673="","",INVENTARIO!AC673)</f>
        <v/>
      </c>
      <c r="Q673">
        <f>IF(AND(K673="",N673="",L673=""),"",IF(AND((K673="ALTA"),OR(LEFT(N673,2)="L0",LEFT(N673,2)="L1",L673="No Iniciado")),"CRÍTICO - Incumplimiento Normativo SEPS",IF(AND(OR(LEFT(N673,2)="L4",LEFT(N673,2)="L5"),AND(P673&lt;&gt;"",P673&lt;&gt;"N/A")),"CONFORME - Control Efectivo ISO 27001","OBSERVACIÓN - Revisar Controles")))</f>
        <v/>
      </c>
    </row>
    <row r="674">
      <c r="A674">
        <f>IF(INVENTARIO!A674="","",INVENTARIO!A674)</f>
        <v/>
      </c>
      <c r="B674">
        <f>IF(INVENTARIO!E674="","",INVENTARIO!E674)</f>
        <v/>
      </c>
      <c r="C674">
        <f>IF(INVENTARIO!F674="","",INVENTARIO!F674)</f>
        <v/>
      </c>
      <c r="D674">
        <f>IF(INVENTARIO!H674="","",INVENTARIO!H674)</f>
        <v/>
      </c>
      <c r="E674">
        <f>IF(INVENTARIO!I674="","",INVENTARIO!I674)</f>
        <v/>
      </c>
      <c r="F674">
        <f>IF(INVENTARIO!N674="","",INVENTARIO!N674)</f>
        <v/>
      </c>
      <c r="G674">
        <f>IF(INVENTARIO!P674="","",INVENTARIO!P674)</f>
        <v/>
      </c>
      <c r="H674">
        <f>IF(INVENTARIO!Q674="","",INVENTARIO!Q674)</f>
        <v/>
      </c>
      <c r="I674">
        <f>IF(INVENTARIO!R674="","",INVENTARIO!R674)</f>
        <v/>
      </c>
      <c r="J674">
        <f>IF(G674="PUBLICA(1)",1,IF(G674="USO INTERNO(2)",2,IF(G674="RESTRINGIDO(3)",3,0)))+IF(H674="BAJA(1)",1,IF(H674="MEDIA(2)",2,IF(H674="ALTA(3)",3,0)))+IF(I674="BAJA(1)",1,IF(I674="MEDIA(2)",2,IF(I674="ALTA(3)",3,0)))</f>
        <v/>
      </c>
      <c r="K674">
        <f>IF(J674="", "", IF(J674&gt;=8,"ALTA",IF(J674&gt;=6,"MEDIA","BAJA")))</f>
        <v/>
      </c>
      <c r="L674">
        <f>IF(INVENTARIO!Y674="","",INVENTARIO!Y674)</f>
        <v/>
      </c>
      <c r="M674">
        <f>IF(INVENTARIO!Z674="","",INVENTARIO!Z674)</f>
        <v/>
      </c>
      <c r="N674">
        <f>IF(INVENTARIO!AA674="","",INVENTARIO!AA674)</f>
        <v/>
      </c>
      <c r="O674">
        <f>IF(INVENTARIO!AB674="","",INVENTARIO!AB674)</f>
        <v/>
      </c>
      <c r="P674">
        <f>IF(INVENTARIO!AC674="","",INVENTARIO!AC674)</f>
        <v/>
      </c>
      <c r="Q674">
        <f>IF(AND(K674="",N674="",L674=""),"",IF(AND((K674="ALTA"),OR(LEFT(N674,2)="L0",LEFT(N674,2)="L1",L674="No Iniciado")),"CRÍTICO - Incumplimiento Normativo SEPS",IF(AND(OR(LEFT(N674,2)="L4",LEFT(N674,2)="L5"),AND(P674&lt;&gt;"",P674&lt;&gt;"N/A")),"CONFORME - Control Efectivo ISO 27001","OBSERVACIÓN - Revisar Controles")))</f>
        <v/>
      </c>
    </row>
    <row r="675">
      <c r="A675">
        <f>IF(INVENTARIO!A675="","",INVENTARIO!A675)</f>
        <v/>
      </c>
      <c r="B675">
        <f>IF(INVENTARIO!E675="","",INVENTARIO!E675)</f>
        <v/>
      </c>
      <c r="C675">
        <f>IF(INVENTARIO!F675="","",INVENTARIO!F675)</f>
        <v/>
      </c>
      <c r="D675">
        <f>IF(INVENTARIO!H675="","",INVENTARIO!H675)</f>
        <v/>
      </c>
      <c r="E675">
        <f>IF(INVENTARIO!I675="","",INVENTARIO!I675)</f>
        <v/>
      </c>
      <c r="F675">
        <f>IF(INVENTARIO!N675="","",INVENTARIO!N675)</f>
        <v/>
      </c>
      <c r="G675">
        <f>IF(INVENTARIO!P675="","",INVENTARIO!P675)</f>
        <v/>
      </c>
      <c r="H675">
        <f>IF(INVENTARIO!Q675="","",INVENTARIO!Q675)</f>
        <v/>
      </c>
      <c r="I675">
        <f>IF(INVENTARIO!R675="","",INVENTARIO!R675)</f>
        <v/>
      </c>
      <c r="J675">
        <f>IF(G675="PUBLICA(1)",1,IF(G675="USO INTERNO(2)",2,IF(G675="RESTRINGIDO(3)",3,0)))+IF(H675="BAJA(1)",1,IF(H675="MEDIA(2)",2,IF(H675="ALTA(3)",3,0)))+IF(I675="BAJA(1)",1,IF(I675="MEDIA(2)",2,IF(I675="ALTA(3)",3,0)))</f>
        <v/>
      </c>
      <c r="K675">
        <f>IF(J675="", "", IF(J675&gt;=8,"ALTA",IF(J675&gt;=6,"MEDIA","BAJA")))</f>
        <v/>
      </c>
      <c r="L675">
        <f>IF(INVENTARIO!Y675="","",INVENTARIO!Y675)</f>
        <v/>
      </c>
      <c r="M675">
        <f>IF(INVENTARIO!Z675="","",INVENTARIO!Z675)</f>
        <v/>
      </c>
      <c r="N675">
        <f>IF(INVENTARIO!AA675="","",INVENTARIO!AA675)</f>
        <v/>
      </c>
      <c r="O675">
        <f>IF(INVENTARIO!AB675="","",INVENTARIO!AB675)</f>
        <v/>
      </c>
      <c r="P675">
        <f>IF(INVENTARIO!AC675="","",INVENTARIO!AC675)</f>
        <v/>
      </c>
      <c r="Q675">
        <f>IF(AND(K675="",N675="",L675=""),"",IF(AND((K675="ALTA"),OR(LEFT(N675,2)="L0",LEFT(N675,2)="L1",L675="No Iniciado")),"CRÍTICO - Incumplimiento Normativo SEPS",IF(AND(OR(LEFT(N675,2)="L4",LEFT(N675,2)="L5"),AND(P675&lt;&gt;"",P675&lt;&gt;"N/A")),"CONFORME - Control Efectivo ISO 27001","OBSERVACIÓN - Revisar Controles")))</f>
        <v/>
      </c>
    </row>
    <row r="676">
      <c r="A676">
        <f>IF(INVENTARIO!A676="","",INVENTARIO!A676)</f>
        <v/>
      </c>
      <c r="B676">
        <f>IF(INVENTARIO!E676="","",INVENTARIO!E676)</f>
        <v/>
      </c>
      <c r="C676">
        <f>IF(INVENTARIO!F676="","",INVENTARIO!F676)</f>
        <v/>
      </c>
      <c r="D676">
        <f>IF(INVENTARIO!H676="","",INVENTARIO!H676)</f>
        <v/>
      </c>
      <c r="E676">
        <f>IF(INVENTARIO!I676="","",INVENTARIO!I676)</f>
        <v/>
      </c>
      <c r="F676">
        <f>IF(INVENTARIO!N676="","",INVENTARIO!N676)</f>
        <v/>
      </c>
      <c r="G676">
        <f>IF(INVENTARIO!P676="","",INVENTARIO!P676)</f>
        <v/>
      </c>
      <c r="H676">
        <f>IF(INVENTARIO!Q676="","",INVENTARIO!Q676)</f>
        <v/>
      </c>
      <c r="I676">
        <f>IF(INVENTARIO!R676="","",INVENTARIO!R676)</f>
        <v/>
      </c>
      <c r="J676">
        <f>IF(G676="PUBLICA(1)",1,IF(G676="USO INTERNO(2)",2,IF(G676="RESTRINGIDO(3)",3,0)))+IF(H676="BAJA(1)",1,IF(H676="MEDIA(2)",2,IF(H676="ALTA(3)",3,0)))+IF(I676="BAJA(1)",1,IF(I676="MEDIA(2)",2,IF(I676="ALTA(3)",3,0)))</f>
        <v/>
      </c>
      <c r="K676">
        <f>IF(J676="", "", IF(J676&gt;=8,"ALTA",IF(J676&gt;=6,"MEDIA","BAJA")))</f>
        <v/>
      </c>
      <c r="L676">
        <f>IF(INVENTARIO!Y676="","",INVENTARIO!Y676)</f>
        <v/>
      </c>
      <c r="M676">
        <f>IF(INVENTARIO!Z676="","",INVENTARIO!Z676)</f>
        <v/>
      </c>
      <c r="N676">
        <f>IF(INVENTARIO!AA676="","",INVENTARIO!AA676)</f>
        <v/>
      </c>
      <c r="O676">
        <f>IF(INVENTARIO!AB676="","",INVENTARIO!AB676)</f>
        <v/>
      </c>
      <c r="P676">
        <f>IF(INVENTARIO!AC676="","",INVENTARIO!AC676)</f>
        <v/>
      </c>
      <c r="Q676">
        <f>IF(AND(K676="",N676="",L676=""),"",IF(AND((K676="ALTA"),OR(LEFT(N676,2)="L0",LEFT(N676,2)="L1",L676="No Iniciado")),"CRÍTICO - Incumplimiento Normativo SEPS",IF(AND(OR(LEFT(N676,2)="L4",LEFT(N676,2)="L5"),AND(P676&lt;&gt;"",P676&lt;&gt;"N/A")),"CONFORME - Control Efectivo ISO 27001","OBSERVACIÓN - Revisar Controles")))</f>
        <v/>
      </c>
    </row>
    <row r="677">
      <c r="A677">
        <f>IF(INVENTARIO!A677="","",INVENTARIO!A677)</f>
        <v/>
      </c>
      <c r="B677">
        <f>IF(INVENTARIO!E677="","",INVENTARIO!E677)</f>
        <v/>
      </c>
      <c r="C677">
        <f>IF(INVENTARIO!F677="","",INVENTARIO!F677)</f>
        <v/>
      </c>
      <c r="D677">
        <f>IF(INVENTARIO!H677="","",INVENTARIO!H677)</f>
        <v/>
      </c>
      <c r="E677">
        <f>IF(INVENTARIO!I677="","",INVENTARIO!I677)</f>
        <v/>
      </c>
      <c r="F677">
        <f>IF(INVENTARIO!N677="","",INVENTARIO!N677)</f>
        <v/>
      </c>
      <c r="G677">
        <f>IF(INVENTARIO!P677="","",INVENTARIO!P677)</f>
        <v/>
      </c>
      <c r="H677">
        <f>IF(INVENTARIO!Q677="","",INVENTARIO!Q677)</f>
        <v/>
      </c>
      <c r="I677">
        <f>IF(INVENTARIO!R677="","",INVENTARIO!R677)</f>
        <v/>
      </c>
      <c r="J677">
        <f>IF(G677="PUBLICA(1)",1,IF(G677="USO INTERNO(2)",2,IF(G677="RESTRINGIDO(3)",3,0)))+IF(H677="BAJA(1)",1,IF(H677="MEDIA(2)",2,IF(H677="ALTA(3)",3,0)))+IF(I677="BAJA(1)",1,IF(I677="MEDIA(2)",2,IF(I677="ALTA(3)",3,0)))</f>
        <v/>
      </c>
      <c r="K677">
        <f>IF(J677="", "", IF(J677&gt;=8,"ALTA",IF(J677&gt;=6,"MEDIA","BAJA")))</f>
        <v/>
      </c>
      <c r="L677">
        <f>IF(INVENTARIO!Y677="","",INVENTARIO!Y677)</f>
        <v/>
      </c>
      <c r="M677">
        <f>IF(INVENTARIO!Z677="","",INVENTARIO!Z677)</f>
        <v/>
      </c>
      <c r="N677">
        <f>IF(INVENTARIO!AA677="","",INVENTARIO!AA677)</f>
        <v/>
      </c>
      <c r="O677">
        <f>IF(INVENTARIO!AB677="","",INVENTARIO!AB677)</f>
        <v/>
      </c>
      <c r="P677">
        <f>IF(INVENTARIO!AC677="","",INVENTARIO!AC677)</f>
        <v/>
      </c>
      <c r="Q677">
        <f>IF(AND(K677="",N677="",L677=""),"",IF(AND((K677="ALTA"),OR(LEFT(N677,2)="L0",LEFT(N677,2)="L1",L677="No Iniciado")),"CRÍTICO - Incumplimiento Normativo SEPS",IF(AND(OR(LEFT(N677,2)="L4",LEFT(N677,2)="L5"),AND(P677&lt;&gt;"",P677&lt;&gt;"N/A")),"CONFORME - Control Efectivo ISO 27001","OBSERVACIÓN - Revisar Controles")))</f>
        <v/>
      </c>
    </row>
    <row r="678">
      <c r="A678">
        <f>IF(INVENTARIO!A678="","",INVENTARIO!A678)</f>
        <v/>
      </c>
      <c r="B678">
        <f>IF(INVENTARIO!E678="","",INVENTARIO!E678)</f>
        <v/>
      </c>
      <c r="C678">
        <f>IF(INVENTARIO!F678="","",INVENTARIO!F678)</f>
        <v/>
      </c>
      <c r="D678">
        <f>IF(INVENTARIO!H678="","",INVENTARIO!H678)</f>
        <v/>
      </c>
      <c r="E678">
        <f>IF(INVENTARIO!I678="","",INVENTARIO!I678)</f>
        <v/>
      </c>
      <c r="F678">
        <f>IF(INVENTARIO!N678="","",INVENTARIO!N678)</f>
        <v/>
      </c>
      <c r="G678">
        <f>IF(INVENTARIO!P678="","",INVENTARIO!P678)</f>
        <v/>
      </c>
      <c r="H678">
        <f>IF(INVENTARIO!Q678="","",INVENTARIO!Q678)</f>
        <v/>
      </c>
      <c r="I678">
        <f>IF(INVENTARIO!R678="","",INVENTARIO!R678)</f>
        <v/>
      </c>
      <c r="J678">
        <f>IF(G678="PUBLICA(1)",1,IF(G678="USO INTERNO(2)",2,IF(G678="RESTRINGIDO(3)",3,0)))+IF(H678="BAJA(1)",1,IF(H678="MEDIA(2)",2,IF(H678="ALTA(3)",3,0)))+IF(I678="BAJA(1)",1,IF(I678="MEDIA(2)",2,IF(I678="ALTA(3)",3,0)))</f>
        <v/>
      </c>
      <c r="K678">
        <f>IF(J678="", "", IF(J678&gt;=8,"ALTA",IF(J678&gt;=6,"MEDIA","BAJA")))</f>
        <v/>
      </c>
      <c r="L678">
        <f>IF(INVENTARIO!Y678="","",INVENTARIO!Y678)</f>
        <v/>
      </c>
      <c r="M678">
        <f>IF(INVENTARIO!Z678="","",INVENTARIO!Z678)</f>
        <v/>
      </c>
      <c r="N678">
        <f>IF(INVENTARIO!AA678="","",INVENTARIO!AA678)</f>
        <v/>
      </c>
      <c r="O678">
        <f>IF(INVENTARIO!AB678="","",INVENTARIO!AB678)</f>
        <v/>
      </c>
      <c r="P678">
        <f>IF(INVENTARIO!AC678="","",INVENTARIO!AC678)</f>
        <v/>
      </c>
      <c r="Q678">
        <f>IF(AND(K678="",N678="",L678=""),"",IF(AND((K678="ALTA"),OR(LEFT(N678,2)="L0",LEFT(N678,2)="L1",L678="No Iniciado")),"CRÍTICO - Incumplimiento Normativo SEPS",IF(AND(OR(LEFT(N678,2)="L4",LEFT(N678,2)="L5"),AND(P678&lt;&gt;"",P678&lt;&gt;"N/A")),"CONFORME - Control Efectivo ISO 27001","OBSERVACIÓN - Revisar Controles")))</f>
        <v/>
      </c>
    </row>
    <row r="679">
      <c r="A679">
        <f>IF(INVENTARIO!A679="","",INVENTARIO!A679)</f>
        <v/>
      </c>
      <c r="B679">
        <f>IF(INVENTARIO!E679="","",INVENTARIO!E679)</f>
        <v/>
      </c>
      <c r="C679">
        <f>IF(INVENTARIO!F679="","",INVENTARIO!F679)</f>
        <v/>
      </c>
      <c r="D679">
        <f>IF(INVENTARIO!H679="","",INVENTARIO!H679)</f>
        <v/>
      </c>
      <c r="E679">
        <f>IF(INVENTARIO!I679="","",INVENTARIO!I679)</f>
        <v/>
      </c>
      <c r="F679">
        <f>IF(INVENTARIO!N679="","",INVENTARIO!N679)</f>
        <v/>
      </c>
      <c r="G679">
        <f>IF(INVENTARIO!P679="","",INVENTARIO!P679)</f>
        <v/>
      </c>
      <c r="H679">
        <f>IF(INVENTARIO!Q679="","",INVENTARIO!Q679)</f>
        <v/>
      </c>
      <c r="I679">
        <f>IF(INVENTARIO!R679="","",INVENTARIO!R679)</f>
        <v/>
      </c>
      <c r="J679">
        <f>IF(G679="PUBLICA(1)",1,IF(G679="USO INTERNO(2)",2,IF(G679="RESTRINGIDO(3)",3,0)))+IF(H679="BAJA(1)",1,IF(H679="MEDIA(2)",2,IF(H679="ALTA(3)",3,0)))+IF(I679="BAJA(1)",1,IF(I679="MEDIA(2)",2,IF(I679="ALTA(3)",3,0)))</f>
        <v/>
      </c>
      <c r="K679">
        <f>IF(J679="", "", IF(J679&gt;=8,"ALTA",IF(J679&gt;=6,"MEDIA","BAJA")))</f>
        <v/>
      </c>
      <c r="L679">
        <f>IF(INVENTARIO!Y679="","",INVENTARIO!Y679)</f>
        <v/>
      </c>
      <c r="M679">
        <f>IF(INVENTARIO!Z679="","",INVENTARIO!Z679)</f>
        <v/>
      </c>
      <c r="N679">
        <f>IF(INVENTARIO!AA679="","",INVENTARIO!AA679)</f>
        <v/>
      </c>
      <c r="O679">
        <f>IF(INVENTARIO!AB679="","",INVENTARIO!AB679)</f>
        <v/>
      </c>
      <c r="P679">
        <f>IF(INVENTARIO!AC679="","",INVENTARIO!AC679)</f>
        <v/>
      </c>
      <c r="Q679">
        <f>IF(AND(K679="",N679="",L679=""),"",IF(AND((K679="ALTA"),OR(LEFT(N679,2)="L0",LEFT(N679,2)="L1",L679="No Iniciado")),"CRÍTICO - Incumplimiento Normativo SEPS",IF(AND(OR(LEFT(N679,2)="L4",LEFT(N679,2)="L5"),AND(P679&lt;&gt;"",P679&lt;&gt;"N/A")),"CONFORME - Control Efectivo ISO 27001","OBSERVACIÓN - Revisar Controles")))</f>
        <v/>
      </c>
    </row>
    <row r="680">
      <c r="A680">
        <f>IF(INVENTARIO!A680="","",INVENTARIO!A680)</f>
        <v/>
      </c>
      <c r="B680">
        <f>IF(INVENTARIO!E680="","",INVENTARIO!E680)</f>
        <v/>
      </c>
      <c r="C680">
        <f>IF(INVENTARIO!F680="","",INVENTARIO!F680)</f>
        <v/>
      </c>
      <c r="D680">
        <f>IF(INVENTARIO!H680="","",INVENTARIO!H680)</f>
        <v/>
      </c>
      <c r="E680">
        <f>IF(INVENTARIO!I680="","",INVENTARIO!I680)</f>
        <v/>
      </c>
      <c r="F680">
        <f>IF(INVENTARIO!N680="","",INVENTARIO!N680)</f>
        <v/>
      </c>
      <c r="G680">
        <f>IF(INVENTARIO!P680="","",INVENTARIO!P680)</f>
        <v/>
      </c>
      <c r="H680">
        <f>IF(INVENTARIO!Q680="","",INVENTARIO!Q680)</f>
        <v/>
      </c>
      <c r="I680">
        <f>IF(INVENTARIO!R680="","",INVENTARIO!R680)</f>
        <v/>
      </c>
      <c r="J680">
        <f>IF(G680="PUBLICA(1)",1,IF(G680="USO INTERNO(2)",2,IF(G680="RESTRINGIDO(3)",3,0)))+IF(H680="BAJA(1)",1,IF(H680="MEDIA(2)",2,IF(H680="ALTA(3)",3,0)))+IF(I680="BAJA(1)",1,IF(I680="MEDIA(2)",2,IF(I680="ALTA(3)",3,0)))</f>
        <v/>
      </c>
      <c r="K680">
        <f>IF(J680="", "", IF(J680&gt;=8,"ALTA",IF(J680&gt;=6,"MEDIA","BAJA")))</f>
        <v/>
      </c>
      <c r="L680">
        <f>IF(INVENTARIO!Y680="","",INVENTARIO!Y680)</f>
        <v/>
      </c>
      <c r="M680">
        <f>IF(INVENTARIO!Z680="","",INVENTARIO!Z680)</f>
        <v/>
      </c>
      <c r="N680">
        <f>IF(INVENTARIO!AA680="","",INVENTARIO!AA680)</f>
        <v/>
      </c>
      <c r="O680">
        <f>IF(INVENTARIO!AB680="","",INVENTARIO!AB680)</f>
        <v/>
      </c>
      <c r="P680">
        <f>IF(INVENTARIO!AC680="","",INVENTARIO!AC680)</f>
        <v/>
      </c>
      <c r="Q680">
        <f>IF(AND(K680="",N680="",L680=""),"",IF(AND((K680="ALTA"),OR(LEFT(N680,2)="L0",LEFT(N680,2)="L1",L680="No Iniciado")),"CRÍTICO - Incumplimiento Normativo SEPS",IF(AND(OR(LEFT(N680,2)="L4",LEFT(N680,2)="L5"),AND(P680&lt;&gt;"",P680&lt;&gt;"N/A")),"CONFORME - Control Efectivo ISO 27001","OBSERVACIÓN - Revisar Controles")))</f>
        <v/>
      </c>
    </row>
    <row r="681">
      <c r="A681">
        <f>IF(INVENTARIO!A681="","",INVENTARIO!A681)</f>
        <v/>
      </c>
      <c r="B681">
        <f>IF(INVENTARIO!E681="","",INVENTARIO!E681)</f>
        <v/>
      </c>
      <c r="C681">
        <f>IF(INVENTARIO!F681="","",INVENTARIO!F681)</f>
        <v/>
      </c>
      <c r="D681">
        <f>IF(INVENTARIO!H681="","",INVENTARIO!H681)</f>
        <v/>
      </c>
      <c r="E681">
        <f>IF(INVENTARIO!I681="","",INVENTARIO!I681)</f>
        <v/>
      </c>
      <c r="F681">
        <f>IF(INVENTARIO!N681="","",INVENTARIO!N681)</f>
        <v/>
      </c>
      <c r="G681">
        <f>IF(INVENTARIO!P681="","",INVENTARIO!P681)</f>
        <v/>
      </c>
      <c r="H681">
        <f>IF(INVENTARIO!Q681="","",INVENTARIO!Q681)</f>
        <v/>
      </c>
      <c r="I681">
        <f>IF(INVENTARIO!R681="","",INVENTARIO!R681)</f>
        <v/>
      </c>
      <c r="J681">
        <f>IF(G681="PUBLICA(1)",1,IF(G681="USO INTERNO(2)",2,IF(G681="RESTRINGIDO(3)",3,0)))+IF(H681="BAJA(1)",1,IF(H681="MEDIA(2)",2,IF(H681="ALTA(3)",3,0)))+IF(I681="BAJA(1)",1,IF(I681="MEDIA(2)",2,IF(I681="ALTA(3)",3,0)))</f>
        <v/>
      </c>
      <c r="K681">
        <f>IF(J681="", "", IF(J681&gt;=8,"ALTA",IF(J681&gt;=6,"MEDIA","BAJA")))</f>
        <v/>
      </c>
      <c r="L681">
        <f>IF(INVENTARIO!Y681="","",INVENTARIO!Y681)</f>
        <v/>
      </c>
      <c r="M681">
        <f>IF(INVENTARIO!Z681="","",INVENTARIO!Z681)</f>
        <v/>
      </c>
      <c r="N681">
        <f>IF(INVENTARIO!AA681="","",INVENTARIO!AA681)</f>
        <v/>
      </c>
      <c r="O681">
        <f>IF(INVENTARIO!AB681="","",INVENTARIO!AB681)</f>
        <v/>
      </c>
      <c r="P681">
        <f>IF(INVENTARIO!AC681="","",INVENTARIO!AC681)</f>
        <v/>
      </c>
      <c r="Q681">
        <f>IF(AND(K681="",N681="",L681=""),"",IF(AND((K681="ALTA"),OR(LEFT(N681,2)="L0",LEFT(N681,2)="L1",L681="No Iniciado")),"CRÍTICO - Incumplimiento Normativo SEPS",IF(AND(OR(LEFT(N681,2)="L4",LEFT(N681,2)="L5"),AND(P681&lt;&gt;"",P681&lt;&gt;"N/A")),"CONFORME - Control Efectivo ISO 27001","OBSERVACIÓN - Revisar Controles")))</f>
        <v/>
      </c>
    </row>
    <row r="682">
      <c r="A682">
        <f>IF(INVENTARIO!A682="","",INVENTARIO!A682)</f>
        <v/>
      </c>
      <c r="B682">
        <f>IF(INVENTARIO!E682="","",INVENTARIO!E682)</f>
        <v/>
      </c>
      <c r="C682">
        <f>IF(INVENTARIO!F682="","",INVENTARIO!F682)</f>
        <v/>
      </c>
      <c r="D682">
        <f>IF(INVENTARIO!H682="","",INVENTARIO!H682)</f>
        <v/>
      </c>
      <c r="E682">
        <f>IF(INVENTARIO!I682="","",INVENTARIO!I682)</f>
        <v/>
      </c>
      <c r="F682">
        <f>IF(INVENTARIO!N682="","",INVENTARIO!N682)</f>
        <v/>
      </c>
      <c r="G682">
        <f>IF(INVENTARIO!P682="","",INVENTARIO!P682)</f>
        <v/>
      </c>
      <c r="H682">
        <f>IF(INVENTARIO!Q682="","",INVENTARIO!Q682)</f>
        <v/>
      </c>
      <c r="I682">
        <f>IF(INVENTARIO!R682="","",INVENTARIO!R682)</f>
        <v/>
      </c>
      <c r="J682">
        <f>IF(G682="PUBLICA(1)",1,IF(G682="USO INTERNO(2)",2,IF(G682="RESTRINGIDO(3)",3,0)))+IF(H682="BAJA(1)",1,IF(H682="MEDIA(2)",2,IF(H682="ALTA(3)",3,0)))+IF(I682="BAJA(1)",1,IF(I682="MEDIA(2)",2,IF(I682="ALTA(3)",3,0)))</f>
        <v/>
      </c>
      <c r="K682">
        <f>IF(J682="", "", IF(J682&gt;=8,"ALTA",IF(J682&gt;=6,"MEDIA","BAJA")))</f>
        <v/>
      </c>
      <c r="L682">
        <f>IF(INVENTARIO!Y682="","",INVENTARIO!Y682)</f>
        <v/>
      </c>
      <c r="M682">
        <f>IF(INVENTARIO!Z682="","",INVENTARIO!Z682)</f>
        <v/>
      </c>
      <c r="N682">
        <f>IF(INVENTARIO!AA682="","",INVENTARIO!AA682)</f>
        <v/>
      </c>
      <c r="O682">
        <f>IF(INVENTARIO!AB682="","",INVENTARIO!AB682)</f>
        <v/>
      </c>
      <c r="P682">
        <f>IF(INVENTARIO!AC682="","",INVENTARIO!AC682)</f>
        <v/>
      </c>
      <c r="Q682">
        <f>IF(AND(K682="",N682="",L682=""),"",IF(AND((K682="ALTA"),OR(LEFT(N682,2)="L0",LEFT(N682,2)="L1",L682="No Iniciado")),"CRÍTICO - Incumplimiento Normativo SEPS",IF(AND(OR(LEFT(N682,2)="L4",LEFT(N682,2)="L5"),AND(P682&lt;&gt;"",P682&lt;&gt;"N/A")),"CONFORME - Control Efectivo ISO 27001","OBSERVACIÓN - Revisar Controles")))</f>
        <v/>
      </c>
    </row>
    <row r="683">
      <c r="A683">
        <f>IF(INVENTARIO!A683="","",INVENTARIO!A683)</f>
        <v/>
      </c>
      <c r="B683">
        <f>IF(INVENTARIO!E683="","",INVENTARIO!E683)</f>
        <v/>
      </c>
      <c r="C683">
        <f>IF(INVENTARIO!F683="","",INVENTARIO!F683)</f>
        <v/>
      </c>
      <c r="D683">
        <f>IF(INVENTARIO!H683="","",INVENTARIO!H683)</f>
        <v/>
      </c>
      <c r="E683">
        <f>IF(INVENTARIO!I683="","",INVENTARIO!I683)</f>
        <v/>
      </c>
      <c r="F683">
        <f>IF(INVENTARIO!N683="","",INVENTARIO!N683)</f>
        <v/>
      </c>
      <c r="G683">
        <f>IF(INVENTARIO!P683="","",INVENTARIO!P683)</f>
        <v/>
      </c>
      <c r="H683">
        <f>IF(INVENTARIO!Q683="","",INVENTARIO!Q683)</f>
        <v/>
      </c>
      <c r="I683">
        <f>IF(INVENTARIO!R683="","",INVENTARIO!R683)</f>
        <v/>
      </c>
      <c r="J683">
        <f>IF(G683="PUBLICA(1)",1,IF(G683="USO INTERNO(2)",2,IF(G683="RESTRINGIDO(3)",3,0)))+IF(H683="BAJA(1)",1,IF(H683="MEDIA(2)",2,IF(H683="ALTA(3)",3,0)))+IF(I683="BAJA(1)",1,IF(I683="MEDIA(2)",2,IF(I683="ALTA(3)",3,0)))</f>
        <v/>
      </c>
      <c r="K683">
        <f>IF(J683="", "", IF(J683&gt;=8,"ALTA",IF(J683&gt;=6,"MEDIA","BAJA")))</f>
        <v/>
      </c>
      <c r="L683">
        <f>IF(INVENTARIO!Y683="","",INVENTARIO!Y683)</f>
        <v/>
      </c>
      <c r="M683">
        <f>IF(INVENTARIO!Z683="","",INVENTARIO!Z683)</f>
        <v/>
      </c>
      <c r="N683">
        <f>IF(INVENTARIO!AA683="","",INVENTARIO!AA683)</f>
        <v/>
      </c>
      <c r="O683">
        <f>IF(INVENTARIO!AB683="","",INVENTARIO!AB683)</f>
        <v/>
      </c>
      <c r="P683">
        <f>IF(INVENTARIO!AC683="","",INVENTARIO!AC683)</f>
        <v/>
      </c>
      <c r="Q683">
        <f>IF(AND(K683="",N683="",L683=""),"",IF(AND((K683="ALTA"),OR(LEFT(N683,2)="L0",LEFT(N683,2)="L1",L683="No Iniciado")),"CRÍTICO - Incumplimiento Normativo SEPS",IF(AND(OR(LEFT(N683,2)="L4",LEFT(N683,2)="L5"),AND(P683&lt;&gt;"",P683&lt;&gt;"N/A")),"CONFORME - Control Efectivo ISO 27001","OBSERVACIÓN - Revisar Controles")))</f>
        <v/>
      </c>
    </row>
    <row r="684">
      <c r="A684">
        <f>IF(INVENTARIO!A684="","",INVENTARIO!A684)</f>
        <v/>
      </c>
      <c r="B684">
        <f>IF(INVENTARIO!E684="","",INVENTARIO!E684)</f>
        <v/>
      </c>
      <c r="C684">
        <f>IF(INVENTARIO!F684="","",INVENTARIO!F684)</f>
        <v/>
      </c>
      <c r="D684">
        <f>IF(INVENTARIO!H684="","",INVENTARIO!H684)</f>
        <v/>
      </c>
      <c r="E684">
        <f>IF(INVENTARIO!I684="","",INVENTARIO!I684)</f>
        <v/>
      </c>
      <c r="F684">
        <f>IF(INVENTARIO!N684="","",INVENTARIO!N684)</f>
        <v/>
      </c>
      <c r="G684">
        <f>IF(INVENTARIO!P684="","",INVENTARIO!P684)</f>
        <v/>
      </c>
      <c r="H684">
        <f>IF(INVENTARIO!Q684="","",INVENTARIO!Q684)</f>
        <v/>
      </c>
      <c r="I684">
        <f>IF(INVENTARIO!R684="","",INVENTARIO!R684)</f>
        <v/>
      </c>
      <c r="J684">
        <f>IF(G684="PUBLICA(1)",1,IF(G684="USO INTERNO(2)",2,IF(G684="RESTRINGIDO(3)",3,0)))+IF(H684="BAJA(1)",1,IF(H684="MEDIA(2)",2,IF(H684="ALTA(3)",3,0)))+IF(I684="BAJA(1)",1,IF(I684="MEDIA(2)",2,IF(I684="ALTA(3)",3,0)))</f>
        <v/>
      </c>
      <c r="K684">
        <f>IF(J684="", "", IF(J684&gt;=8,"ALTA",IF(J684&gt;=6,"MEDIA","BAJA")))</f>
        <v/>
      </c>
      <c r="L684">
        <f>IF(INVENTARIO!Y684="","",INVENTARIO!Y684)</f>
        <v/>
      </c>
      <c r="M684">
        <f>IF(INVENTARIO!Z684="","",INVENTARIO!Z684)</f>
        <v/>
      </c>
      <c r="N684">
        <f>IF(INVENTARIO!AA684="","",INVENTARIO!AA684)</f>
        <v/>
      </c>
      <c r="O684">
        <f>IF(INVENTARIO!AB684="","",INVENTARIO!AB684)</f>
        <v/>
      </c>
      <c r="P684">
        <f>IF(INVENTARIO!AC684="","",INVENTARIO!AC684)</f>
        <v/>
      </c>
      <c r="Q684">
        <f>IF(AND(K684="",N684="",L684=""),"",IF(AND((K684="ALTA"),OR(LEFT(N684,2)="L0",LEFT(N684,2)="L1",L684="No Iniciado")),"CRÍTICO - Incumplimiento Normativo SEPS",IF(AND(OR(LEFT(N684,2)="L4",LEFT(N684,2)="L5"),AND(P684&lt;&gt;"",P684&lt;&gt;"N/A")),"CONFORME - Control Efectivo ISO 27001","OBSERVACIÓN - Revisar Controles")))</f>
        <v/>
      </c>
    </row>
    <row r="685">
      <c r="A685">
        <f>IF(INVENTARIO!A685="","",INVENTARIO!A685)</f>
        <v/>
      </c>
      <c r="B685">
        <f>IF(INVENTARIO!E685="","",INVENTARIO!E685)</f>
        <v/>
      </c>
      <c r="C685">
        <f>IF(INVENTARIO!F685="","",INVENTARIO!F685)</f>
        <v/>
      </c>
      <c r="D685">
        <f>IF(INVENTARIO!H685="","",INVENTARIO!H685)</f>
        <v/>
      </c>
      <c r="E685">
        <f>IF(INVENTARIO!I685="","",INVENTARIO!I685)</f>
        <v/>
      </c>
      <c r="F685">
        <f>IF(INVENTARIO!N685="","",INVENTARIO!N685)</f>
        <v/>
      </c>
      <c r="G685">
        <f>IF(INVENTARIO!P685="","",INVENTARIO!P685)</f>
        <v/>
      </c>
      <c r="H685">
        <f>IF(INVENTARIO!Q685="","",INVENTARIO!Q685)</f>
        <v/>
      </c>
      <c r="I685">
        <f>IF(INVENTARIO!R685="","",INVENTARIO!R685)</f>
        <v/>
      </c>
      <c r="J685">
        <f>IF(G685="PUBLICA(1)",1,IF(G685="USO INTERNO(2)",2,IF(G685="RESTRINGIDO(3)",3,0)))+IF(H685="BAJA(1)",1,IF(H685="MEDIA(2)",2,IF(H685="ALTA(3)",3,0)))+IF(I685="BAJA(1)",1,IF(I685="MEDIA(2)",2,IF(I685="ALTA(3)",3,0)))</f>
        <v/>
      </c>
      <c r="K685">
        <f>IF(J685="", "", IF(J685&gt;=8,"ALTA",IF(J685&gt;=6,"MEDIA","BAJA")))</f>
        <v/>
      </c>
      <c r="L685">
        <f>IF(INVENTARIO!Y685="","",INVENTARIO!Y685)</f>
        <v/>
      </c>
      <c r="M685">
        <f>IF(INVENTARIO!Z685="","",INVENTARIO!Z685)</f>
        <v/>
      </c>
      <c r="N685">
        <f>IF(INVENTARIO!AA685="","",INVENTARIO!AA685)</f>
        <v/>
      </c>
      <c r="O685">
        <f>IF(INVENTARIO!AB685="","",INVENTARIO!AB685)</f>
        <v/>
      </c>
      <c r="P685">
        <f>IF(INVENTARIO!AC685="","",INVENTARIO!AC685)</f>
        <v/>
      </c>
      <c r="Q685">
        <f>IF(AND(K685="",N685="",L685=""),"",IF(AND((K685="ALTA"),OR(LEFT(N685,2)="L0",LEFT(N685,2)="L1",L685="No Iniciado")),"CRÍTICO - Incumplimiento Normativo SEPS",IF(AND(OR(LEFT(N685,2)="L4",LEFT(N685,2)="L5"),AND(P685&lt;&gt;"",P685&lt;&gt;"N/A")),"CONFORME - Control Efectivo ISO 27001","OBSERVACIÓN - Revisar Controles")))</f>
        <v/>
      </c>
    </row>
    <row r="686">
      <c r="A686">
        <f>IF(INVENTARIO!A686="","",INVENTARIO!A686)</f>
        <v/>
      </c>
      <c r="B686">
        <f>IF(INVENTARIO!E686="","",INVENTARIO!E686)</f>
        <v/>
      </c>
      <c r="C686">
        <f>IF(INVENTARIO!F686="","",INVENTARIO!F686)</f>
        <v/>
      </c>
      <c r="D686">
        <f>IF(INVENTARIO!H686="","",INVENTARIO!H686)</f>
        <v/>
      </c>
      <c r="E686">
        <f>IF(INVENTARIO!I686="","",INVENTARIO!I686)</f>
        <v/>
      </c>
      <c r="F686">
        <f>IF(INVENTARIO!N686="","",INVENTARIO!N686)</f>
        <v/>
      </c>
      <c r="G686">
        <f>IF(INVENTARIO!P686="","",INVENTARIO!P686)</f>
        <v/>
      </c>
      <c r="H686">
        <f>IF(INVENTARIO!Q686="","",INVENTARIO!Q686)</f>
        <v/>
      </c>
      <c r="I686">
        <f>IF(INVENTARIO!R686="","",INVENTARIO!R686)</f>
        <v/>
      </c>
      <c r="J686">
        <f>IF(G686="PUBLICA(1)",1,IF(G686="USO INTERNO(2)",2,IF(G686="RESTRINGIDO(3)",3,0)))+IF(H686="BAJA(1)",1,IF(H686="MEDIA(2)",2,IF(H686="ALTA(3)",3,0)))+IF(I686="BAJA(1)",1,IF(I686="MEDIA(2)",2,IF(I686="ALTA(3)",3,0)))</f>
        <v/>
      </c>
      <c r="K686">
        <f>IF(J686="", "", IF(J686&gt;=8,"ALTA",IF(J686&gt;=6,"MEDIA","BAJA")))</f>
        <v/>
      </c>
      <c r="L686">
        <f>IF(INVENTARIO!Y686="","",INVENTARIO!Y686)</f>
        <v/>
      </c>
      <c r="M686">
        <f>IF(INVENTARIO!Z686="","",INVENTARIO!Z686)</f>
        <v/>
      </c>
      <c r="N686">
        <f>IF(INVENTARIO!AA686="","",INVENTARIO!AA686)</f>
        <v/>
      </c>
      <c r="O686">
        <f>IF(INVENTARIO!AB686="","",INVENTARIO!AB686)</f>
        <v/>
      </c>
      <c r="P686">
        <f>IF(INVENTARIO!AC686="","",INVENTARIO!AC686)</f>
        <v/>
      </c>
      <c r="Q686">
        <f>IF(AND(K686="",N686="",L686=""),"",IF(AND((K686="ALTA"),OR(LEFT(N686,2)="L0",LEFT(N686,2)="L1",L686="No Iniciado")),"CRÍTICO - Incumplimiento Normativo SEPS",IF(AND(OR(LEFT(N686,2)="L4",LEFT(N686,2)="L5"),AND(P686&lt;&gt;"",P686&lt;&gt;"N/A")),"CONFORME - Control Efectivo ISO 27001","OBSERVACIÓN - Revisar Controles")))</f>
        <v/>
      </c>
    </row>
    <row r="687">
      <c r="A687">
        <f>IF(INVENTARIO!A687="","",INVENTARIO!A687)</f>
        <v/>
      </c>
      <c r="B687">
        <f>IF(INVENTARIO!E687="","",INVENTARIO!E687)</f>
        <v/>
      </c>
      <c r="C687">
        <f>IF(INVENTARIO!F687="","",INVENTARIO!F687)</f>
        <v/>
      </c>
      <c r="D687">
        <f>IF(INVENTARIO!H687="","",INVENTARIO!H687)</f>
        <v/>
      </c>
      <c r="E687">
        <f>IF(INVENTARIO!I687="","",INVENTARIO!I687)</f>
        <v/>
      </c>
      <c r="F687">
        <f>IF(INVENTARIO!N687="","",INVENTARIO!N687)</f>
        <v/>
      </c>
      <c r="G687">
        <f>IF(INVENTARIO!P687="","",INVENTARIO!P687)</f>
        <v/>
      </c>
      <c r="H687">
        <f>IF(INVENTARIO!Q687="","",INVENTARIO!Q687)</f>
        <v/>
      </c>
      <c r="I687">
        <f>IF(INVENTARIO!R687="","",INVENTARIO!R687)</f>
        <v/>
      </c>
      <c r="J687">
        <f>IF(G687="PUBLICA(1)",1,IF(G687="USO INTERNO(2)",2,IF(G687="RESTRINGIDO(3)",3,0)))+IF(H687="BAJA(1)",1,IF(H687="MEDIA(2)",2,IF(H687="ALTA(3)",3,0)))+IF(I687="BAJA(1)",1,IF(I687="MEDIA(2)",2,IF(I687="ALTA(3)",3,0)))</f>
        <v/>
      </c>
      <c r="K687">
        <f>IF(J687="", "", IF(J687&gt;=8,"ALTA",IF(J687&gt;=6,"MEDIA","BAJA")))</f>
        <v/>
      </c>
      <c r="L687">
        <f>IF(INVENTARIO!Y687="","",INVENTARIO!Y687)</f>
        <v/>
      </c>
      <c r="M687">
        <f>IF(INVENTARIO!Z687="","",INVENTARIO!Z687)</f>
        <v/>
      </c>
      <c r="N687">
        <f>IF(INVENTARIO!AA687="","",INVENTARIO!AA687)</f>
        <v/>
      </c>
      <c r="O687">
        <f>IF(INVENTARIO!AB687="","",INVENTARIO!AB687)</f>
        <v/>
      </c>
      <c r="P687">
        <f>IF(INVENTARIO!AC687="","",INVENTARIO!AC687)</f>
        <v/>
      </c>
      <c r="Q687">
        <f>IF(AND(K687="",N687="",L687=""),"",IF(AND((K687="ALTA"),OR(LEFT(N687,2)="L0",LEFT(N687,2)="L1",L687="No Iniciado")),"CRÍTICO - Incumplimiento Normativo SEPS",IF(AND(OR(LEFT(N687,2)="L4",LEFT(N687,2)="L5"),AND(P687&lt;&gt;"",P687&lt;&gt;"N/A")),"CONFORME - Control Efectivo ISO 27001","OBSERVACIÓN - Revisar Controles")))</f>
        <v/>
      </c>
    </row>
    <row r="688">
      <c r="A688">
        <f>IF(INVENTARIO!A688="","",INVENTARIO!A688)</f>
        <v/>
      </c>
      <c r="B688">
        <f>IF(INVENTARIO!E688="","",INVENTARIO!E688)</f>
        <v/>
      </c>
      <c r="C688">
        <f>IF(INVENTARIO!F688="","",INVENTARIO!F688)</f>
        <v/>
      </c>
      <c r="D688">
        <f>IF(INVENTARIO!H688="","",INVENTARIO!H688)</f>
        <v/>
      </c>
      <c r="E688">
        <f>IF(INVENTARIO!I688="","",INVENTARIO!I688)</f>
        <v/>
      </c>
      <c r="F688">
        <f>IF(INVENTARIO!N688="","",INVENTARIO!N688)</f>
        <v/>
      </c>
      <c r="G688">
        <f>IF(INVENTARIO!P688="","",INVENTARIO!P688)</f>
        <v/>
      </c>
      <c r="H688">
        <f>IF(INVENTARIO!Q688="","",INVENTARIO!Q688)</f>
        <v/>
      </c>
      <c r="I688">
        <f>IF(INVENTARIO!R688="","",INVENTARIO!R688)</f>
        <v/>
      </c>
      <c r="J688">
        <f>IF(G688="PUBLICA(1)",1,IF(G688="USO INTERNO(2)",2,IF(G688="RESTRINGIDO(3)",3,0)))+IF(H688="BAJA(1)",1,IF(H688="MEDIA(2)",2,IF(H688="ALTA(3)",3,0)))+IF(I688="BAJA(1)",1,IF(I688="MEDIA(2)",2,IF(I688="ALTA(3)",3,0)))</f>
        <v/>
      </c>
      <c r="K688">
        <f>IF(J688="", "", IF(J688&gt;=8,"ALTA",IF(J688&gt;=6,"MEDIA","BAJA")))</f>
        <v/>
      </c>
      <c r="L688">
        <f>IF(INVENTARIO!Y688="","",INVENTARIO!Y688)</f>
        <v/>
      </c>
      <c r="M688">
        <f>IF(INVENTARIO!Z688="","",INVENTARIO!Z688)</f>
        <v/>
      </c>
      <c r="N688">
        <f>IF(INVENTARIO!AA688="","",INVENTARIO!AA688)</f>
        <v/>
      </c>
      <c r="O688">
        <f>IF(INVENTARIO!AB688="","",INVENTARIO!AB688)</f>
        <v/>
      </c>
      <c r="P688">
        <f>IF(INVENTARIO!AC688="","",INVENTARIO!AC688)</f>
        <v/>
      </c>
      <c r="Q688">
        <f>IF(AND(K688="",N688="",L688=""),"",IF(AND((K688="ALTA"),OR(LEFT(N688,2)="L0",LEFT(N688,2)="L1",L688="No Iniciado")),"CRÍTICO - Incumplimiento Normativo SEPS",IF(AND(OR(LEFT(N688,2)="L4",LEFT(N688,2)="L5"),AND(P688&lt;&gt;"",P688&lt;&gt;"N/A")),"CONFORME - Control Efectivo ISO 27001","OBSERVACIÓN - Revisar Controles")))</f>
        <v/>
      </c>
    </row>
    <row r="689">
      <c r="A689">
        <f>IF(INVENTARIO!A689="","",INVENTARIO!A689)</f>
        <v/>
      </c>
      <c r="B689">
        <f>IF(INVENTARIO!E689="","",INVENTARIO!E689)</f>
        <v/>
      </c>
      <c r="C689">
        <f>IF(INVENTARIO!F689="","",INVENTARIO!F689)</f>
        <v/>
      </c>
      <c r="D689">
        <f>IF(INVENTARIO!H689="","",INVENTARIO!H689)</f>
        <v/>
      </c>
      <c r="E689">
        <f>IF(INVENTARIO!I689="","",INVENTARIO!I689)</f>
        <v/>
      </c>
      <c r="F689">
        <f>IF(INVENTARIO!N689="","",INVENTARIO!N689)</f>
        <v/>
      </c>
      <c r="G689">
        <f>IF(INVENTARIO!P689="","",INVENTARIO!P689)</f>
        <v/>
      </c>
      <c r="H689">
        <f>IF(INVENTARIO!Q689="","",INVENTARIO!Q689)</f>
        <v/>
      </c>
      <c r="I689">
        <f>IF(INVENTARIO!R689="","",INVENTARIO!R689)</f>
        <v/>
      </c>
      <c r="J689">
        <f>IF(G689="PUBLICA(1)",1,IF(G689="USO INTERNO(2)",2,IF(G689="RESTRINGIDO(3)",3,0)))+IF(H689="BAJA(1)",1,IF(H689="MEDIA(2)",2,IF(H689="ALTA(3)",3,0)))+IF(I689="BAJA(1)",1,IF(I689="MEDIA(2)",2,IF(I689="ALTA(3)",3,0)))</f>
        <v/>
      </c>
      <c r="K689">
        <f>IF(J689="", "", IF(J689&gt;=8,"ALTA",IF(J689&gt;=6,"MEDIA","BAJA")))</f>
        <v/>
      </c>
      <c r="L689">
        <f>IF(INVENTARIO!Y689="","",INVENTARIO!Y689)</f>
        <v/>
      </c>
      <c r="M689">
        <f>IF(INVENTARIO!Z689="","",INVENTARIO!Z689)</f>
        <v/>
      </c>
      <c r="N689">
        <f>IF(INVENTARIO!AA689="","",INVENTARIO!AA689)</f>
        <v/>
      </c>
      <c r="O689">
        <f>IF(INVENTARIO!AB689="","",INVENTARIO!AB689)</f>
        <v/>
      </c>
      <c r="P689">
        <f>IF(INVENTARIO!AC689="","",INVENTARIO!AC689)</f>
        <v/>
      </c>
      <c r="Q689">
        <f>IF(AND(K689="",N689="",L689=""),"",IF(AND((K689="ALTA"),OR(LEFT(N689,2)="L0",LEFT(N689,2)="L1",L689="No Iniciado")),"CRÍTICO - Incumplimiento Normativo SEPS",IF(AND(OR(LEFT(N689,2)="L4",LEFT(N689,2)="L5"),AND(P689&lt;&gt;"",P689&lt;&gt;"N/A")),"CONFORME - Control Efectivo ISO 27001","OBSERVACIÓN - Revisar Controles")))</f>
        <v/>
      </c>
    </row>
    <row r="690">
      <c r="A690">
        <f>IF(INVENTARIO!A690="","",INVENTARIO!A690)</f>
        <v/>
      </c>
      <c r="B690">
        <f>IF(INVENTARIO!E690="","",INVENTARIO!E690)</f>
        <v/>
      </c>
      <c r="C690">
        <f>IF(INVENTARIO!F690="","",INVENTARIO!F690)</f>
        <v/>
      </c>
      <c r="D690">
        <f>IF(INVENTARIO!H690="","",INVENTARIO!H690)</f>
        <v/>
      </c>
      <c r="E690">
        <f>IF(INVENTARIO!I690="","",INVENTARIO!I690)</f>
        <v/>
      </c>
      <c r="F690">
        <f>IF(INVENTARIO!N690="","",INVENTARIO!N690)</f>
        <v/>
      </c>
      <c r="G690">
        <f>IF(INVENTARIO!P690="","",INVENTARIO!P690)</f>
        <v/>
      </c>
      <c r="H690">
        <f>IF(INVENTARIO!Q690="","",INVENTARIO!Q690)</f>
        <v/>
      </c>
      <c r="I690">
        <f>IF(INVENTARIO!R690="","",INVENTARIO!R690)</f>
        <v/>
      </c>
      <c r="J690">
        <f>IF(G690="PUBLICA(1)",1,IF(G690="USO INTERNO(2)",2,IF(G690="RESTRINGIDO(3)",3,0)))+IF(H690="BAJA(1)",1,IF(H690="MEDIA(2)",2,IF(H690="ALTA(3)",3,0)))+IF(I690="BAJA(1)",1,IF(I690="MEDIA(2)",2,IF(I690="ALTA(3)",3,0)))</f>
        <v/>
      </c>
      <c r="K690">
        <f>IF(J690="", "", IF(J690&gt;=8,"ALTA",IF(J690&gt;=6,"MEDIA","BAJA")))</f>
        <v/>
      </c>
      <c r="L690">
        <f>IF(INVENTARIO!Y690="","",INVENTARIO!Y690)</f>
        <v/>
      </c>
      <c r="M690">
        <f>IF(INVENTARIO!Z690="","",INVENTARIO!Z690)</f>
        <v/>
      </c>
      <c r="N690">
        <f>IF(INVENTARIO!AA690="","",INVENTARIO!AA690)</f>
        <v/>
      </c>
      <c r="O690">
        <f>IF(INVENTARIO!AB690="","",INVENTARIO!AB690)</f>
        <v/>
      </c>
      <c r="P690">
        <f>IF(INVENTARIO!AC690="","",INVENTARIO!AC690)</f>
        <v/>
      </c>
      <c r="Q690">
        <f>IF(AND(K690="",N690="",L690=""),"",IF(AND((K690="ALTA"),OR(LEFT(N690,2)="L0",LEFT(N690,2)="L1",L690="No Iniciado")),"CRÍTICO - Incumplimiento Normativo SEPS",IF(AND(OR(LEFT(N690,2)="L4",LEFT(N690,2)="L5"),AND(P690&lt;&gt;"",P690&lt;&gt;"N/A")),"CONFORME - Control Efectivo ISO 27001","OBSERVACIÓN - Revisar Controles")))</f>
        <v/>
      </c>
    </row>
    <row r="691">
      <c r="A691">
        <f>IF(INVENTARIO!A691="","",INVENTARIO!A691)</f>
        <v/>
      </c>
      <c r="B691">
        <f>IF(INVENTARIO!E691="","",INVENTARIO!E691)</f>
        <v/>
      </c>
      <c r="C691">
        <f>IF(INVENTARIO!F691="","",INVENTARIO!F691)</f>
        <v/>
      </c>
      <c r="D691">
        <f>IF(INVENTARIO!H691="","",INVENTARIO!H691)</f>
        <v/>
      </c>
      <c r="E691">
        <f>IF(INVENTARIO!I691="","",INVENTARIO!I691)</f>
        <v/>
      </c>
      <c r="F691">
        <f>IF(INVENTARIO!N691="","",INVENTARIO!N691)</f>
        <v/>
      </c>
      <c r="G691">
        <f>IF(INVENTARIO!P691="","",INVENTARIO!P691)</f>
        <v/>
      </c>
      <c r="H691">
        <f>IF(INVENTARIO!Q691="","",INVENTARIO!Q691)</f>
        <v/>
      </c>
      <c r="I691">
        <f>IF(INVENTARIO!R691="","",INVENTARIO!R691)</f>
        <v/>
      </c>
      <c r="J691">
        <f>IF(G691="PUBLICA(1)",1,IF(G691="USO INTERNO(2)",2,IF(G691="RESTRINGIDO(3)",3,0)))+IF(H691="BAJA(1)",1,IF(H691="MEDIA(2)",2,IF(H691="ALTA(3)",3,0)))+IF(I691="BAJA(1)",1,IF(I691="MEDIA(2)",2,IF(I691="ALTA(3)",3,0)))</f>
        <v/>
      </c>
      <c r="K691">
        <f>IF(J691="", "", IF(J691&gt;=8,"ALTA",IF(J691&gt;=6,"MEDIA","BAJA")))</f>
        <v/>
      </c>
      <c r="L691">
        <f>IF(INVENTARIO!Y691="","",INVENTARIO!Y691)</f>
        <v/>
      </c>
      <c r="M691">
        <f>IF(INVENTARIO!Z691="","",INVENTARIO!Z691)</f>
        <v/>
      </c>
      <c r="N691">
        <f>IF(INVENTARIO!AA691="","",INVENTARIO!AA691)</f>
        <v/>
      </c>
      <c r="O691">
        <f>IF(INVENTARIO!AB691="","",INVENTARIO!AB691)</f>
        <v/>
      </c>
      <c r="P691">
        <f>IF(INVENTARIO!AC691="","",INVENTARIO!AC691)</f>
        <v/>
      </c>
      <c r="Q691">
        <f>IF(AND(K691="",N691="",L691=""),"",IF(AND((K691="ALTA"),OR(LEFT(N691,2)="L0",LEFT(N691,2)="L1",L691="No Iniciado")),"CRÍTICO - Incumplimiento Normativo SEPS",IF(AND(OR(LEFT(N691,2)="L4",LEFT(N691,2)="L5"),AND(P691&lt;&gt;"",P691&lt;&gt;"N/A")),"CONFORME - Control Efectivo ISO 27001","OBSERVACIÓN - Revisar Controles")))</f>
        <v/>
      </c>
    </row>
    <row r="692">
      <c r="A692">
        <f>IF(INVENTARIO!A692="","",INVENTARIO!A692)</f>
        <v/>
      </c>
      <c r="B692">
        <f>IF(INVENTARIO!E692="","",INVENTARIO!E692)</f>
        <v/>
      </c>
      <c r="C692">
        <f>IF(INVENTARIO!F692="","",INVENTARIO!F692)</f>
        <v/>
      </c>
      <c r="D692">
        <f>IF(INVENTARIO!H692="","",INVENTARIO!H692)</f>
        <v/>
      </c>
      <c r="E692">
        <f>IF(INVENTARIO!I692="","",INVENTARIO!I692)</f>
        <v/>
      </c>
      <c r="F692">
        <f>IF(INVENTARIO!N692="","",INVENTARIO!N692)</f>
        <v/>
      </c>
      <c r="G692">
        <f>IF(INVENTARIO!P692="","",INVENTARIO!P692)</f>
        <v/>
      </c>
      <c r="H692">
        <f>IF(INVENTARIO!Q692="","",INVENTARIO!Q692)</f>
        <v/>
      </c>
      <c r="I692">
        <f>IF(INVENTARIO!R692="","",INVENTARIO!R692)</f>
        <v/>
      </c>
      <c r="J692">
        <f>IF(G692="PUBLICA(1)",1,IF(G692="USO INTERNO(2)",2,IF(G692="RESTRINGIDO(3)",3,0)))+IF(H692="BAJA(1)",1,IF(H692="MEDIA(2)",2,IF(H692="ALTA(3)",3,0)))+IF(I692="BAJA(1)",1,IF(I692="MEDIA(2)",2,IF(I692="ALTA(3)",3,0)))</f>
        <v/>
      </c>
      <c r="K692">
        <f>IF(J692="", "", IF(J692&gt;=8,"ALTA",IF(J692&gt;=6,"MEDIA","BAJA")))</f>
        <v/>
      </c>
      <c r="L692">
        <f>IF(INVENTARIO!Y692="","",INVENTARIO!Y692)</f>
        <v/>
      </c>
      <c r="M692">
        <f>IF(INVENTARIO!Z692="","",INVENTARIO!Z692)</f>
        <v/>
      </c>
      <c r="N692">
        <f>IF(INVENTARIO!AA692="","",INVENTARIO!AA692)</f>
        <v/>
      </c>
      <c r="O692">
        <f>IF(INVENTARIO!AB692="","",INVENTARIO!AB692)</f>
        <v/>
      </c>
      <c r="P692">
        <f>IF(INVENTARIO!AC692="","",INVENTARIO!AC692)</f>
        <v/>
      </c>
      <c r="Q692">
        <f>IF(AND(K692="",N692="",L692=""),"",IF(AND((K692="ALTA"),OR(LEFT(N692,2)="L0",LEFT(N692,2)="L1",L692="No Iniciado")),"CRÍTICO - Incumplimiento Normativo SEPS",IF(AND(OR(LEFT(N692,2)="L4",LEFT(N692,2)="L5"),AND(P692&lt;&gt;"",P692&lt;&gt;"N/A")),"CONFORME - Control Efectivo ISO 27001","OBSERVACIÓN - Revisar Controles")))</f>
        <v/>
      </c>
    </row>
    <row r="693">
      <c r="A693">
        <f>IF(INVENTARIO!A693="","",INVENTARIO!A693)</f>
        <v/>
      </c>
      <c r="B693">
        <f>IF(INVENTARIO!E693="","",INVENTARIO!E693)</f>
        <v/>
      </c>
      <c r="C693">
        <f>IF(INVENTARIO!F693="","",INVENTARIO!F693)</f>
        <v/>
      </c>
      <c r="D693">
        <f>IF(INVENTARIO!H693="","",INVENTARIO!H693)</f>
        <v/>
      </c>
      <c r="E693">
        <f>IF(INVENTARIO!I693="","",INVENTARIO!I693)</f>
        <v/>
      </c>
      <c r="F693">
        <f>IF(INVENTARIO!N693="","",INVENTARIO!N693)</f>
        <v/>
      </c>
      <c r="G693">
        <f>IF(INVENTARIO!P693="","",INVENTARIO!P693)</f>
        <v/>
      </c>
      <c r="H693">
        <f>IF(INVENTARIO!Q693="","",INVENTARIO!Q693)</f>
        <v/>
      </c>
      <c r="I693">
        <f>IF(INVENTARIO!R693="","",INVENTARIO!R693)</f>
        <v/>
      </c>
      <c r="J693">
        <f>IF(G693="PUBLICA(1)",1,IF(G693="USO INTERNO(2)",2,IF(G693="RESTRINGIDO(3)",3,0)))+IF(H693="BAJA(1)",1,IF(H693="MEDIA(2)",2,IF(H693="ALTA(3)",3,0)))+IF(I693="BAJA(1)",1,IF(I693="MEDIA(2)",2,IF(I693="ALTA(3)",3,0)))</f>
        <v/>
      </c>
      <c r="K693">
        <f>IF(J693="", "", IF(J693&gt;=8,"ALTA",IF(J693&gt;=6,"MEDIA","BAJA")))</f>
        <v/>
      </c>
      <c r="L693">
        <f>IF(INVENTARIO!Y693="","",INVENTARIO!Y693)</f>
        <v/>
      </c>
      <c r="M693">
        <f>IF(INVENTARIO!Z693="","",INVENTARIO!Z693)</f>
        <v/>
      </c>
      <c r="N693">
        <f>IF(INVENTARIO!AA693="","",INVENTARIO!AA693)</f>
        <v/>
      </c>
      <c r="O693">
        <f>IF(INVENTARIO!AB693="","",INVENTARIO!AB693)</f>
        <v/>
      </c>
      <c r="P693">
        <f>IF(INVENTARIO!AC693="","",INVENTARIO!AC693)</f>
        <v/>
      </c>
      <c r="Q693">
        <f>IF(AND(K693="",N693="",L693=""),"",IF(AND((K693="ALTA"),OR(LEFT(N693,2)="L0",LEFT(N693,2)="L1",L693="No Iniciado")),"CRÍTICO - Incumplimiento Normativo SEPS",IF(AND(OR(LEFT(N693,2)="L4",LEFT(N693,2)="L5"),AND(P693&lt;&gt;"",P693&lt;&gt;"N/A")),"CONFORME - Control Efectivo ISO 27001","OBSERVACIÓN - Revisar Controles")))</f>
        <v/>
      </c>
    </row>
    <row r="694">
      <c r="A694">
        <f>IF(INVENTARIO!A694="","",INVENTARIO!A694)</f>
        <v/>
      </c>
      <c r="B694">
        <f>IF(INVENTARIO!E694="","",INVENTARIO!E694)</f>
        <v/>
      </c>
      <c r="C694">
        <f>IF(INVENTARIO!F694="","",INVENTARIO!F694)</f>
        <v/>
      </c>
      <c r="D694">
        <f>IF(INVENTARIO!H694="","",INVENTARIO!H694)</f>
        <v/>
      </c>
      <c r="E694">
        <f>IF(INVENTARIO!I694="","",INVENTARIO!I694)</f>
        <v/>
      </c>
      <c r="F694">
        <f>IF(INVENTARIO!N694="","",INVENTARIO!N694)</f>
        <v/>
      </c>
      <c r="G694">
        <f>IF(INVENTARIO!P694="","",INVENTARIO!P694)</f>
        <v/>
      </c>
      <c r="H694">
        <f>IF(INVENTARIO!Q694="","",INVENTARIO!Q694)</f>
        <v/>
      </c>
      <c r="I694">
        <f>IF(INVENTARIO!R694="","",INVENTARIO!R694)</f>
        <v/>
      </c>
      <c r="J694">
        <f>IF(G694="PUBLICA(1)",1,IF(G694="USO INTERNO(2)",2,IF(G694="RESTRINGIDO(3)",3,0)))+IF(H694="BAJA(1)",1,IF(H694="MEDIA(2)",2,IF(H694="ALTA(3)",3,0)))+IF(I694="BAJA(1)",1,IF(I694="MEDIA(2)",2,IF(I694="ALTA(3)",3,0)))</f>
        <v/>
      </c>
      <c r="K694">
        <f>IF(J694="", "", IF(J694&gt;=8,"ALTA",IF(J694&gt;=6,"MEDIA","BAJA")))</f>
        <v/>
      </c>
      <c r="L694">
        <f>IF(INVENTARIO!Y694="","",INVENTARIO!Y694)</f>
        <v/>
      </c>
      <c r="M694">
        <f>IF(INVENTARIO!Z694="","",INVENTARIO!Z694)</f>
        <v/>
      </c>
      <c r="N694">
        <f>IF(INVENTARIO!AA694="","",INVENTARIO!AA694)</f>
        <v/>
      </c>
      <c r="O694">
        <f>IF(INVENTARIO!AB694="","",INVENTARIO!AB694)</f>
        <v/>
      </c>
      <c r="P694">
        <f>IF(INVENTARIO!AC694="","",INVENTARIO!AC694)</f>
        <v/>
      </c>
      <c r="Q694">
        <f>IF(AND(K694="",N694="",L694=""),"",IF(AND((K694="ALTA"),OR(LEFT(N694,2)="L0",LEFT(N694,2)="L1",L694="No Iniciado")),"CRÍTICO - Incumplimiento Normativo SEPS",IF(AND(OR(LEFT(N694,2)="L4",LEFT(N694,2)="L5"),AND(P694&lt;&gt;"",P694&lt;&gt;"N/A")),"CONFORME - Control Efectivo ISO 27001","OBSERVACIÓN - Revisar Controles")))</f>
        <v/>
      </c>
    </row>
    <row r="695">
      <c r="A695">
        <f>IF(INVENTARIO!A695="","",INVENTARIO!A695)</f>
        <v/>
      </c>
      <c r="B695">
        <f>IF(INVENTARIO!E695="","",INVENTARIO!E695)</f>
        <v/>
      </c>
      <c r="C695">
        <f>IF(INVENTARIO!F695="","",INVENTARIO!F695)</f>
        <v/>
      </c>
      <c r="D695">
        <f>IF(INVENTARIO!H695="","",INVENTARIO!H695)</f>
        <v/>
      </c>
      <c r="E695">
        <f>IF(INVENTARIO!I695="","",INVENTARIO!I695)</f>
        <v/>
      </c>
      <c r="F695">
        <f>IF(INVENTARIO!N695="","",INVENTARIO!N695)</f>
        <v/>
      </c>
      <c r="G695">
        <f>IF(INVENTARIO!P695="","",INVENTARIO!P695)</f>
        <v/>
      </c>
      <c r="H695">
        <f>IF(INVENTARIO!Q695="","",INVENTARIO!Q695)</f>
        <v/>
      </c>
      <c r="I695">
        <f>IF(INVENTARIO!R695="","",INVENTARIO!R695)</f>
        <v/>
      </c>
      <c r="J695">
        <f>IF(G695="PUBLICA(1)",1,IF(G695="USO INTERNO(2)",2,IF(G695="RESTRINGIDO(3)",3,0)))+IF(H695="BAJA(1)",1,IF(H695="MEDIA(2)",2,IF(H695="ALTA(3)",3,0)))+IF(I695="BAJA(1)",1,IF(I695="MEDIA(2)",2,IF(I695="ALTA(3)",3,0)))</f>
        <v/>
      </c>
      <c r="K695">
        <f>IF(J695="", "", IF(J695&gt;=8,"ALTA",IF(J695&gt;=6,"MEDIA","BAJA")))</f>
        <v/>
      </c>
      <c r="L695">
        <f>IF(INVENTARIO!Y695="","",INVENTARIO!Y695)</f>
        <v/>
      </c>
      <c r="M695">
        <f>IF(INVENTARIO!Z695="","",INVENTARIO!Z695)</f>
        <v/>
      </c>
      <c r="N695">
        <f>IF(INVENTARIO!AA695="","",INVENTARIO!AA695)</f>
        <v/>
      </c>
      <c r="O695">
        <f>IF(INVENTARIO!AB695="","",INVENTARIO!AB695)</f>
        <v/>
      </c>
      <c r="P695">
        <f>IF(INVENTARIO!AC695="","",INVENTARIO!AC695)</f>
        <v/>
      </c>
      <c r="Q695">
        <f>IF(AND(K695="",N695="",L695=""),"",IF(AND((K695="ALTA"),OR(LEFT(N695,2)="L0",LEFT(N695,2)="L1",L695="No Iniciado")),"CRÍTICO - Incumplimiento Normativo SEPS",IF(AND(OR(LEFT(N695,2)="L4",LEFT(N695,2)="L5"),AND(P695&lt;&gt;"",P695&lt;&gt;"N/A")),"CONFORME - Control Efectivo ISO 27001","OBSERVACIÓN - Revisar Controles")))</f>
        <v/>
      </c>
    </row>
    <row r="696">
      <c r="A696">
        <f>IF(INVENTARIO!A696="","",INVENTARIO!A696)</f>
        <v/>
      </c>
      <c r="B696">
        <f>IF(INVENTARIO!E696="","",INVENTARIO!E696)</f>
        <v/>
      </c>
      <c r="C696">
        <f>IF(INVENTARIO!F696="","",INVENTARIO!F696)</f>
        <v/>
      </c>
      <c r="D696">
        <f>IF(INVENTARIO!H696="","",INVENTARIO!H696)</f>
        <v/>
      </c>
      <c r="E696">
        <f>IF(INVENTARIO!I696="","",INVENTARIO!I696)</f>
        <v/>
      </c>
      <c r="F696">
        <f>IF(INVENTARIO!N696="","",INVENTARIO!N696)</f>
        <v/>
      </c>
      <c r="G696">
        <f>IF(INVENTARIO!P696="","",INVENTARIO!P696)</f>
        <v/>
      </c>
      <c r="H696">
        <f>IF(INVENTARIO!Q696="","",INVENTARIO!Q696)</f>
        <v/>
      </c>
      <c r="I696">
        <f>IF(INVENTARIO!R696="","",INVENTARIO!R696)</f>
        <v/>
      </c>
      <c r="J696">
        <f>IF(G696="PUBLICA(1)",1,IF(G696="USO INTERNO(2)",2,IF(G696="RESTRINGIDO(3)",3,0)))+IF(H696="BAJA(1)",1,IF(H696="MEDIA(2)",2,IF(H696="ALTA(3)",3,0)))+IF(I696="BAJA(1)",1,IF(I696="MEDIA(2)",2,IF(I696="ALTA(3)",3,0)))</f>
        <v/>
      </c>
      <c r="K696">
        <f>IF(J696="", "", IF(J696&gt;=8,"ALTA",IF(J696&gt;=6,"MEDIA","BAJA")))</f>
        <v/>
      </c>
      <c r="L696">
        <f>IF(INVENTARIO!Y696="","",INVENTARIO!Y696)</f>
        <v/>
      </c>
      <c r="M696">
        <f>IF(INVENTARIO!Z696="","",INVENTARIO!Z696)</f>
        <v/>
      </c>
      <c r="N696">
        <f>IF(INVENTARIO!AA696="","",INVENTARIO!AA696)</f>
        <v/>
      </c>
      <c r="O696">
        <f>IF(INVENTARIO!AB696="","",INVENTARIO!AB696)</f>
        <v/>
      </c>
      <c r="P696">
        <f>IF(INVENTARIO!AC696="","",INVENTARIO!AC696)</f>
        <v/>
      </c>
      <c r="Q696">
        <f>IF(AND(K696="",N696="",L696=""),"",IF(AND((K696="ALTA"),OR(LEFT(N696,2)="L0",LEFT(N696,2)="L1",L696="No Iniciado")),"CRÍTICO - Incumplimiento Normativo SEPS",IF(AND(OR(LEFT(N696,2)="L4",LEFT(N696,2)="L5"),AND(P696&lt;&gt;"",P696&lt;&gt;"N/A")),"CONFORME - Control Efectivo ISO 27001","OBSERVACIÓN - Revisar Controles")))</f>
        <v/>
      </c>
    </row>
    <row r="697">
      <c r="A697">
        <f>IF(INVENTARIO!A697="","",INVENTARIO!A697)</f>
        <v/>
      </c>
      <c r="B697">
        <f>IF(INVENTARIO!E697="","",INVENTARIO!E697)</f>
        <v/>
      </c>
      <c r="C697">
        <f>IF(INVENTARIO!F697="","",INVENTARIO!F697)</f>
        <v/>
      </c>
      <c r="D697">
        <f>IF(INVENTARIO!H697="","",INVENTARIO!H697)</f>
        <v/>
      </c>
      <c r="E697">
        <f>IF(INVENTARIO!I697="","",INVENTARIO!I697)</f>
        <v/>
      </c>
      <c r="F697">
        <f>IF(INVENTARIO!N697="","",INVENTARIO!N697)</f>
        <v/>
      </c>
      <c r="G697">
        <f>IF(INVENTARIO!P697="","",INVENTARIO!P697)</f>
        <v/>
      </c>
      <c r="H697">
        <f>IF(INVENTARIO!Q697="","",INVENTARIO!Q697)</f>
        <v/>
      </c>
      <c r="I697">
        <f>IF(INVENTARIO!R697="","",INVENTARIO!R697)</f>
        <v/>
      </c>
      <c r="J697">
        <f>IF(G697="PUBLICA(1)",1,IF(G697="USO INTERNO(2)",2,IF(G697="RESTRINGIDO(3)",3,0)))+IF(H697="BAJA(1)",1,IF(H697="MEDIA(2)",2,IF(H697="ALTA(3)",3,0)))+IF(I697="BAJA(1)",1,IF(I697="MEDIA(2)",2,IF(I697="ALTA(3)",3,0)))</f>
        <v/>
      </c>
      <c r="K697">
        <f>IF(J697="", "", IF(J697&gt;=8,"ALTA",IF(J697&gt;=6,"MEDIA","BAJA")))</f>
        <v/>
      </c>
      <c r="L697">
        <f>IF(INVENTARIO!Y697="","",INVENTARIO!Y697)</f>
        <v/>
      </c>
      <c r="M697">
        <f>IF(INVENTARIO!Z697="","",INVENTARIO!Z697)</f>
        <v/>
      </c>
      <c r="N697">
        <f>IF(INVENTARIO!AA697="","",INVENTARIO!AA697)</f>
        <v/>
      </c>
      <c r="O697">
        <f>IF(INVENTARIO!AB697="","",INVENTARIO!AB697)</f>
        <v/>
      </c>
      <c r="P697">
        <f>IF(INVENTARIO!AC697="","",INVENTARIO!AC697)</f>
        <v/>
      </c>
      <c r="Q697">
        <f>IF(AND(K697="",N697="",L697=""),"",IF(AND((K697="ALTA"),OR(LEFT(N697,2)="L0",LEFT(N697,2)="L1",L697="No Iniciado")),"CRÍTICO - Incumplimiento Normativo SEPS",IF(AND(OR(LEFT(N697,2)="L4",LEFT(N697,2)="L5"),AND(P697&lt;&gt;"",P697&lt;&gt;"N/A")),"CONFORME - Control Efectivo ISO 27001","OBSERVACIÓN - Revisar Controles")))</f>
        <v/>
      </c>
    </row>
    <row r="698">
      <c r="A698">
        <f>IF(INVENTARIO!A698="","",INVENTARIO!A698)</f>
        <v/>
      </c>
      <c r="B698">
        <f>IF(INVENTARIO!E698="","",INVENTARIO!E698)</f>
        <v/>
      </c>
      <c r="C698">
        <f>IF(INVENTARIO!F698="","",INVENTARIO!F698)</f>
        <v/>
      </c>
      <c r="D698">
        <f>IF(INVENTARIO!H698="","",INVENTARIO!H698)</f>
        <v/>
      </c>
      <c r="E698">
        <f>IF(INVENTARIO!I698="","",INVENTARIO!I698)</f>
        <v/>
      </c>
      <c r="F698">
        <f>IF(INVENTARIO!N698="","",INVENTARIO!N698)</f>
        <v/>
      </c>
      <c r="G698">
        <f>IF(INVENTARIO!P698="","",INVENTARIO!P698)</f>
        <v/>
      </c>
      <c r="H698">
        <f>IF(INVENTARIO!Q698="","",INVENTARIO!Q698)</f>
        <v/>
      </c>
      <c r="I698">
        <f>IF(INVENTARIO!R698="","",INVENTARIO!R698)</f>
        <v/>
      </c>
      <c r="J698">
        <f>IF(G698="PUBLICA(1)",1,IF(G698="USO INTERNO(2)",2,IF(G698="RESTRINGIDO(3)",3,0)))+IF(H698="BAJA(1)",1,IF(H698="MEDIA(2)",2,IF(H698="ALTA(3)",3,0)))+IF(I698="BAJA(1)",1,IF(I698="MEDIA(2)",2,IF(I698="ALTA(3)",3,0)))</f>
        <v/>
      </c>
      <c r="K698">
        <f>IF(J698="", "", IF(J698&gt;=8,"ALTA",IF(J698&gt;=6,"MEDIA","BAJA")))</f>
        <v/>
      </c>
      <c r="L698">
        <f>IF(INVENTARIO!Y698="","",INVENTARIO!Y698)</f>
        <v/>
      </c>
      <c r="M698">
        <f>IF(INVENTARIO!Z698="","",INVENTARIO!Z698)</f>
        <v/>
      </c>
      <c r="N698">
        <f>IF(INVENTARIO!AA698="","",INVENTARIO!AA698)</f>
        <v/>
      </c>
      <c r="O698">
        <f>IF(INVENTARIO!AB698="","",INVENTARIO!AB698)</f>
        <v/>
      </c>
      <c r="P698">
        <f>IF(INVENTARIO!AC698="","",INVENTARIO!AC698)</f>
        <v/>
      </c>
      <c r="Q698">
        <f>IF(AND(K698="",N698="",L698=""),"",IF(AND((K698="ALTA"),OR(LEFT(N698,2)="L0",LEFT(N698,2)="L1",L698="No Iniciado")),"CRÍTICO - Incumplimiento Normativo SEPS",IF(AND(OR(LEFT(N698,2)="L4",LEFT(N698,2)="L5"),AND(P698&lt;&gt;"",P698&lt;&gt;"N/A")),"CONFORME - Control Efectivo ISO 27001","OBSERVACIÓN - Revisar Controles")))</f>
        <v/>
      </c>
    </row>
    <row r="699">
      <c r="A699">
        <f>IF(INVENTARIO!A699="","",INVENTARIO!A699)</f>
        <v/>
      </c>
      <c r="B699">
        <f>IF(INVENTARIO!E699="","",INVENTARIO!E699)</f>
        <v/>
      </c>
      <c r="C699">
        <f>IF(INVENTARIO!F699="","",INVENTARIO!F699)</f>
        <v/>
      </c>
      <c r="D699">
        <f>IF(INVENTARIO!H699="","",INVENTARIO!H699)</f>
        <v/>
      </c>
      <c r="E699">
        <f>IF(INVENTARIO!I699="","",INVENTARIO!I699)</f>
        <v/>
      </c>
      <c r="F699">
        <f>IF(INVENTARIO!N699="","",INVENTARIO!N699)</f>
        <v/>
      </c>
      <c r="G699">
        <f>IF(INVENTARIO!P699="","",INVENTARIO!P699)</f>
        <v/>
      </c>
      <c r="H699">
        <f>IF(INVENTARIO!Q699="","",INVENTARIO!Q699)</f>
        <v/>
      </c>
      <c r="I699">
        <f>IF(INVENTARIO!R699="","",INVENTARIO!R699)</f>
        <v/>
      </c>
      <c r="J699">
        <f>IF(G699="PUBLICA(1)",1,IF(G699="USO INTERNO(2)",2,IF(G699="RESTRINGIDO(3)",3,0)))+IF(H699="BAJA(1)",1,IF(H699="MEDIA(2)",2,IF(H699="ALTA(3)",3,0)))+IF(I699="BAJA(1)",1,IF(I699="MEDIA(2)",2,IF(I699="ALTA(3)",3,0)))</f>
        <v/>
      </c>
      <c r="K699">
        <f>IF(J699="", "", IF(J699&gt;=8,"ALTA",IF(J699&gt;=6,"MEDIA","BAJA")))</f>
        <v/>
      </c>
      <c r="L699">
        <f>IF(INVENTARIO!Y699="","",INVENTARIO!Y699)</f>
        <v/>
      </c>
      <c r="M699">
        <f>IF(INVENTARIO!Z699="","",INVENTARIO!Z699)</f>
        <v/>
      </c>
      <c r="N699">
        <f>IF(INVENTARIO!AA699="","",INVENTARIO!AA699)</f>
        <v/>
      </c>
      <c r="O699">
        <f>IF(INVENTARIO!AB699="","",INVENTARIO!AB699)</f>
        <v/>
      </c>
      <c r="P699">
        <f>IF(INVENTARIO!AC699="","",INVENTARIO!AC699)</f>
        <v/>
      </c>
      <c r="Q699">
        <f>IF(AND(K699="",N699="",L699=""),"",IF(AND((K699="ALTA"),OR(LEFT(N699,2)="L0",LEFT(N699,2)="L1",L699="No Iniciado")),"CRÍTICO - Incumplimiento Normativo SEPS",IF(AND(OR(LEFT(N699,2)="L4",LEFT(N699,2)="L5"),AND(P699&lt;&gt;"",P699&lt;&gt;"N/A")),"CONFORME - Control Efectivo ISO 27001","OBSERVACIÓN - Revisar Controles")))</f>
        <v/>
      </c>
    </row>
    <row r="700">
      <c r="A700">
        <f>IF(INVENTARIO!A700="","",INVENTARIO!A700)</f>
        <v/>
      </c>
      <c r="B700">
        <f>IF(INVENTARIO!E700="","",INVENTARIO!E700)</f>
        <v/>
      </c>
      <c r="C700">
        <f>IF(INVENTARIO!F700="","",INVENTARIO!F700)</f>
        <v/>
      </c>
      <c r="D700">
        <f>IF(INVENTARIO!H700="","",INVENTARIO!H700)</f>
        <v/>
      </c>
      <c r="E700">
        <f>IF(INVENTARIO!I700="","",INVENTARIO!I700)</f>
        <v/>
      </c>
      <c r="F700">
        <f>IF(INVENTARIO!N700="","",INVENTARIO!N700)</f>
        <v/>
      </c>
      <c r="G700">
        <f>IF(INVENTARIO!P700="","",INVENTARIO!P700)</f>
        <v/>
      </c>
      <c r="H700">
        <f>IF(INVENTARIO!Q700="","",INVENTARIO!Q700)</f>
        <v/>
      </c>
      <c r="I700">
        <f>IF(INVENTARIO!R700="","",INVENTARIO!R700)</f>
        <v/>
      </c>
      <c r="J700">
        <f>IF(G700="PUBLICA(1)",1,IF(G700="USO INTERNO(2)",2,IF(G700="RESTRINGIDO(3)",3,0)))+IF(H700="BAJA(1)",1,IF(H700="MEDIA(2)",2,IF(H700="ALTA(3)",3,0)))+IF(I700="BAJA(1)",1,IF(I700="MEDIA(2)",2,IF(I700="ALTA(3)",3,0)))</f>
        <v/>
      </c>
      <c r="K700">
        <f>IF(J700="", "", IF(J700&gt;=8,"ALTA",IF(J700&gt;=6,"MEDIA","BAJA")))</f>
        <v/>
      </c>
      <c r="L700">
        <f>IF(INVENTARIO!Y700="","",INVENTARIO!Y700)</f>
        <v/>
      </c>
      <c r="M700">
        <f>IF(INVENTARIO!Z700="","",INVENTARIO!Z700)</f>
        <v/>
      </c>
      <c r="N700">
        <f>IF(INVENTARIO!AA700="","",INVENTARIO!AA700)</f>
        <v/>
      </c>
      <c r="O700">
        <f>IF(INVENTARIO!AB700="","",INVENTARIO!AB700)</f>
        <v/>
      </c>
      <c r="P700">
        <f>IF(INVENTARIO!AC700="","",INVENTARIO!AC700)</f>
        <v/>
      </c>
      <c r="Q700">
        <f>IF(AND(K700="",N700="",L700=""),"",IF(AND((K700="ALTA"),OR(LEFT(N700,2)="L0",LEFT(N700,2)="L1",L700="No Iniciado")),"CRÍTICO - Incumplimiento Normativo SEPS",IF(AND(OR(LEFT(N700,2)="L4",LEFT(N700,2)="L5"),AND(P700&lt;&gt;"",P700&lt;&gt;"N/A")),"CONFORME - Control Efectivo ISO 27001","OBSERVACIÓN - Revisar Controles")))</f>
        <v/>
      </c>
    </row>
    <row r="701">
      <c r="A701">
        <f>IF(INVENTARIO!A701="","",INVENTARIO!A701)</f>
        <v/>
      </c>
      <c r="B701">
        <f>IF(INVENTARIO!E701="","",INVENTARIO!E701)</f>
        <v/>
      </c>
      <c r="C701">
        <f>IF(INVENTARIO!F701="","",INVENTARIO!F701)</f>
        <v/>
      </c>
      <c r="D701">
        <f>IF(INVENTARIO!H701="","",INVENTARIO!H701)</f>
        <v/>
      </c>
      <c r="E701">
        <f>IF(INVENTARIO!I701="","",INVENTARIO!I701)</f>
        <v/>
      </c>
      <c r="F701">
        <f>IF(INVENTARIO!N701="","",INVENTARIO!N701)</f>
        <v/>
      </c>
      <c r="G701">
        <f>IF(INVENTARIO!P701="","",INVENTARIO!P701)</f>
        <v/>
      </c>
      <c r="H701">
        <f>IF(INVENTARIO!Q701="","",INVENTARIO!Q701)</f>
        <v/>
      </c>
      <c r="I701">
        <f>IF(INVENTARIO!R701="","",INVENTARIO!R701)</f>
        <v/>
      </c>
      <c r="J701">
        <f>IF(G701="PUBLICA(1)",1,IF(G701="USO INTERNO(2)",2,IF(G701="RESTRINGIDO(3)",3,0)))+IF(H701="BAJA(1)",1,IF(H701="MEDIA(2)",2,IF(H701="ALTA(3)",3,0)))+IF(I701="BAJA(1)",1,IF(I701="MEDIA(2)",2,IF(I701="ALTA(3)",3,0)))</f>
        <v/>
      </c>
      <c r="K701">
        <f>IF(J701="", "", IF(J701&gt;=8,"ALTA",IF(J701&gt;=6,"MEDIA","BAJA")))</f>
        <v/>
      </c>
      <c r="L701">
        <f>IF(INVENTARIO!Y701="","",INVENTARIO!Y701)</f>
        <v/>
      </c>
      <c r="M701">
        <f>IF(INVENTARIO!Z701="","",INVENTARIO!Z701)</f>
        <v/>
      </c>
      <c r="N701">
        <f>IF(INVENTARIO!AA701="","",INVENTARIO!AA701)</f>
        <v/>
      </c>
      <c r="O701">
        <f>IF(INVENTARIO!AB701="","",INVENTARIO!AB701)</f>
        <v/>
      </c>
      <c r="P701">
        <f>IF(INVENTARIO!AC701="","",INVENTARIO!AC701)</f>
        <v/>
      </c>
      <c r="Q701">
        <f>IF(AND(K701="",N701="",L701=""),"",IF(AND((K701="ALTA"),OR(LEFT(N701,2)="L0",LEFT(N701,2)="L1",L701="No Iniciado")),"CRÍTICO - Incumplimiento Normativo SEPS",IF(AND(OR(LEFT(N701,2)="L4",LEFT(N701,2)="L5"),AND(P701&lt;&gt;"",P701&lt;&gt;"N/A")),"CONFORME - Control Efectivo ISO 27001","OBSERVACIÓN - Revisar Controles")))</f>
        <v/>
      </c>
    </row>
    <row r="702">
      <c r="A702">
        <f>IF(INVENTARIO!A702="","",INVENTARIO!A702)</f>
        <v/>
      </c>
      <c r="B702">
        <f>IF(INVENTARIO!E702="","",INVENTARIO!E702)</f>
        <v/>
      </c>
      <c r="C702">
        <f>IF(INVENTARIO!F702="","",INVENTARIO!F702)</f>
        <v/>
      </c>
      <c r="D702">
        <f>IF(INVENTARIO!H702="","",INVENTARIO!H702)</f>
        <v/>
      </c>
      <c r="E702">
        <f>IF(INVENTARIO!I702="","",INVENTARIO!I702)</f>
        <v/>
      </c>
      <c r="F702">
        <f>IF(INVENTARIO!N702="","",INVENTARIO!N702)</f>
        <v/>
      </c>
      <c r="G702">
        <f>IF(INVENTARIO!P702="","",INVENTARIO!P702)</f>
        <v/>
      </c>
      <c r="H702">
        <f>IF(INVENTARIO!Q702="","",INVENTARIO!Q702)</f>
        <v/>
      </c>
      <c r="I702">
        <f>IF(INVENTARIO!R702="","",INVENTARIO!R702)</f>
        <v/>
      </c>
      <c r="J702">
        <f>IF(G702="PUBLICA(1)",1,IF(G702="USO INTERNO(2)",2,IF(G702="RESTRINGIDO(3)",3,0)))+IF(H702="BAJA(1)",1,IF(H702="MEDIA(2)",2,IF(H702="ALTA(3)",3,0)))+IF(I702="BAJA(1)",1,IF(I702="MEDIA(2)",2,IF(I702="ALTA(3)",3,0)))</f>
        <v/>
      </c>
      <c r="K702">
        <f>IF(J702="", "", IF(J702&gt;=8,"ALTA",IF(J702&gt;=6,"MEDIA","BAJA")))</f>
        <v/>
      </c>
      <c r="L702">
        <f>IF(INVENTARIO!Y702="","",INVENTARIO!Y702)</f>
        <v/>
      </c>
      <c r="M702">
        <f>IF(INVENTARIO!Z702="","",INVENTARIO!Z702)</f>
        <v/>
      </c>
      <c r="N702">
        <f>IF(INVENTARIO!AA702="","",INVENTARIO!AA702)</f>
        <v/>
      </c>
      <c r="O702">
        <f>IF(INVENTARIO!AB702="","",INVENTARIO!AB702)</f>
        <v/>
      </c>
      <c r="P702">
        <f>IF(INVENTARIO!AC702="","",INVENTARIO!AC702)</f>
        <v/>
      </c>
      <c r="Q702">
        <f>IF(AND(K702="",N702="",L702=""),"",IF(AND((K702="ALTA"),OR(LEFT(N702,2)="L0",LEFT(N702,2)="L1",L702="No Iniciado")),"CRÍTICO - Incumplimiento Normativo SEPS",IF(AND(OR(LEFT(N702,2)="L4",LEFT(N702,2)="L5"),AND(P702&lt;&gt;"",P702&lt;&gt;"N/A")),"CONFORME - Control Efectivo ISO 27001","OBSERVACIÓN - Revisar Controles")))</f>
        <v/>
      </c>
    </row>
    <row r="703">
      <c r="A703">
        <f>IF(INVENTARIO!A703="","",INVENTARIO!A703)</f>
        <v/>
      </c>
      <c r="B703">
        <f>IF(INVENTARIO!E703="","",INVENTARIO!E703)</f>
        <v/>
      </c>
      <c r="C703">
        <f>IF(INVENTARIO!F703="","",INVENTARIO!F703)</f>
        <v/>
      </c>
      <c r="D703">
        <f>IF(INVENTARIO!H703="","",INVENTARIO!H703)</f>
        <v/>
      </c>
      <c r="E703">
        <f>IF(INVENTARIO!I703="","",INVENTARIO!I703)</f>
        <v/>
      </c>
      <c r="F703">
        <f>IF(INVENTARIO!N703="","",INVENTARIO!N703)</f>
        <v/>
      </c>
      <c r="G703">
        <f>IF(INVENTARIO!P703="","",INVENTARIO!P703)</f>
        <v/>
      </c>
      <c r="H703">
        <f>IF(INVENTARIO!Q703="","",INVENTARIO!Q703)</f>
        <v/>
      </c>
      <c r="I703">
        <f>IF(INVENTARIO!R703="","",INVENTARIO!R703)</f>
        <v/>
      </c>
      <c r="J703">
        <f>IF(G703="PUBLICA(1)",1,IF(G703="USO INTERNO(2)",2,IF(G703="RESTRINGIDO(3)",3,0)))+IF(H703="BAJA(1)",1,IF(H703="MEDIA(2)",2,IF(H703="ALTA(3)",3,0)))+IF(I703="BAJA(1)",1,IF(I703="MEDIA(2)",2,IF(I703="ALTA(3)",3,0)))</f>
        <v/>
      </c>
      <c r="K703">
        <f>IF(J703="", "", IF(J703&gt;=8,"ALTA",IF(J703&gt;=6,"MEDIA","BAJA")))</f>
        <v/>
      </c>
      <c r="L703">
        <f>IF(INVENTARIO!Y703="","",INVENTARIO!Y703)</f>
        <v/>
      </c>
      <c r="M703">
        <f>IF(INVENTARIO!Z703="","",INVENTARIO!Z703)</f>
        <v/>
      </c>
      <c r="N703">
        <f>IF(INVENTARIO!AA703="","",INVENTARIO!AA703)</f>
        <v/>
      </c>
      <c r="O703">
        <f>IF(INVENTARIO!AB703="","",INVENTARIO!AB703)</f>
        <v/>
      </c>
      <c r="P703">
        <f>IF(INVENTARIO!AC703="","",INVENTARIO!AC703)</f>
        <v/>
      </c>
      <c r="Q703">
        <f>IF(AND(K703="",N703="",L703=""),"",IF(AND((K703="ALTA"),OR(LEFT(N703,2)="L0",LEFT(N703,2)="L1",L703="No Iniciado")),"CRÍTICO - Incumplimiento Normativo SEPS",IF(AND(OR(LEFT(N703,2)="L4",LEFT(N703,2)="L5"),AND(P703&lt;&gt;"",P703&lt;&gt;"N/A")),"CONFORME - Control Efectivo ISO 27001","OBSERVACIÓN - Revisar Controles")))</f>
        <v/>
      </c>
    </row>
    <row r="704">
      <c r="A704">
        <f>IF(INVENTARIO!A704="","",INVENTARIO!A704)</f>
        <v/>
      </c>
      <c r="B704">
        <f>IF(INVENTARIO!E704="","",INVENTARIO!E704)</f>
        <v/>
      </c>
      <c r="C704">
        <f>IF(INVENTARIO!F704="","",INVENTARIO!F704)</f>
        <v/>
      </c>
      <c r="D704">
        <f>IF(INVENTARIO!H704="","",INVENTARIO!H704)</f>
        <v/>
      </c>
      <c r="E704">
        <f>IF(INVENTARIO!I704="","",INVENTARIO!I704)</f>
        <v/>
      </c>
      <c r="F704">
        <f>IF(INVENTARIO!N704="","",INVENTARIO!N704)</f>
        <v/>
      </c>
      <c r="G704">
        <f>IF(INVENTARIO!P704="","",INVENTARIO!P704)</f>
        <v/>
      </c>
      <c r="H704">
        <f>IF(INVENTARIO!Q704="","",INVENTARIO!Q704)</f>
        <v/>
      </c>
      <c r="I704">
        <f>IF(INVENTARIO!R704="","",INVENTARIO!R704)</f>
        <v/>
      </c>
      <c r="J704">
        <f>IF(G704="PUBLICA(1)",1,IF(G704="USO INTERNO(2)",2,IF(G704="RESTRINGIDO(3)",3,0)))+IF(H704="BAJA(1)",1,IF(H704="MEDIA(2)",2,IF(H704="ALTA(3)",3,0)))+IF(I704="BAJA(1)",1,IF(I704="MEDIA(2)",2,IF(I704="ALTA(3)",3,0)))</f>
        <v/>
      </c>
      <c r="K704">
        <f>IF(J704="", "", IF(J704&gt;=8,"ALTA",IF(J704&gt;=6,"MEDIA","BAJA")))</f>
        <v/>
      </c>
      <c r="L704">
        <f>IF(INVENTARIO!Y704="","",INVENTARIO!Y704)</f>
        <v/>
      </c>
      <c r="M704">
        <f>IF(INVENTARIO!Z704="","",INVENTARIO!Z704)</f>
        <v/>
      </c>
      <c r="N704">
        <f>IF(INVENTARIO!AA704="","",INVENTARIO!AA704)</f>
        <v/>
      </c>
      <c r="O704">
        <f>IF(INVENTARIO!AB704="","",INVENTARIO!AB704)</f>
        <v/>
      </c>
      <c r="P704">
        <f>IF(INVENTARIO!AC704="","",INVENTARIO!AC704)</f>
        <v/>
      </c>
      <c r="Q704">
        <f>IF(AND(K704="",N704="",L704=""),"",IF(AND((K704="ALTA"),OR(LEFT(N704,2)="L0",LEFT(N704,2)="L1",L704="No Iniciado")),"CRÍTICO - Incumplimiento Normativo SEPS",IF(AND(OR(LEFT(N704,2)="L4",LEFT(N704,2)="L5"),AND(P704&lt;&gt;"",P704&lt;&gt;"N/A")),"CONFORME - Control Efectivo ISO 27001","OBSERVACIÓN - Revisar Controles")))</f>
        <v/>
      </c>
    </row>
    <row r="705">
      <c r="A705">
        <f>IF(INVENTARIO!A705="","",INVENTARIO!A705)</f>
        <v/>
      </c>
      <c r="B705">
        <f>IF(INVENTARIO!E705="","",INVENTARIO!E705)</f>
        <v/>
      </c>
      <c r="C705">
        <f>IF(INVENTARIO!F705="","",INVENTARIO!F705)</f>
        <v/>
      </c>
      <c r="D705">
        <f>IF(INVENTARIO!H705="","",INVENTARIO!H705)</f>
        <v/>
      </c>
      <c r="E705">
        <f>IF(INVENTARIO!I705="","",INVENTARIO!I705)</f>
        <v/>
      </c>
      <c r="F705">
        <f>IF(INVENTARIO!N705="","",INVENTARIO!N705)</f>
        <v/>
      </c>
      <c r="G705">
        <f>IF(INVENTARIO!P705="","",INVENTARIO!P705)</f>
        <v/>
      </c>
      <c r="H705">
        <f>IF(INVENTARIO!Q705="","",INVENTARIO!Q705)</f>
        <v/>
      </c>
      <c r="I705">
        <f>IF(INVENTARIO!R705="","",INVENTARIO!R705)</f>
        <v/>
      </c>
      <c r="J705">
        <f>IF(G705="PUBLICA(1)",1,IF(G705="USO INTERNO(2)",2,IF(G705="RESTRINGIDO(3)",3,0)))+IF(H705="BAJA(1)",1,IF(H705="MEDIA(2)",2,IF(H705="ALTA(3)",3,0)))+IF(I705="BAJA(1)",1,IF(I705="MEDIA(2)",2,IF(I705="ALTA(3)",3,0)))</f>
        <v/>
      </c>
      <c r="K705">
        <f>IF(J705="", "", IF(J705&gt;=8,"ALTA",IF(J705&gt;=6,"MEDIA","BAJA")))</f>
        <v/>
      </c>
      <c r="L705">
        <f>IF(INVENTARIO!Y705="","",INVENTARIO!Y705)</f>
        <v/>
      </c>
      <c r="M705">
        <f>IF(INVENTARIO!Z705="","",INVENTARIO!Z705)</f>
        <v/>
      </c>
      <c r="N705">
        <f>IF(INVENTARIO!AA705="","",INVENTARIO!AA705)</f>
        <v/>
      </c>
      <c r="O705">
        <f>IF(INVENTARIO!AB705="","",INVENTARIO!AB705)</f>
        <v/>
      </c>
      <c r="P705">
        <f>IF(INVENTARIO!AC705="","",INVENTARIO!AC705)</f>
        <v/>
      </c>
      <c r="Q705">
        <f>IF(AND(K705="",N705="",L705=""),"",IF(AND((K705="ALTA"),OR(LEFT(N705,2)="L0",LEFT(N705,2)="L1",L705="No Iniciado")),"CRÍTICO - Incumplimiento Normativo SEPS",IF(AND(OR(LEFT(N705,2)="L4",LEFT(N705,2)="L5"),AND(P705&lt;&gt;"",P705&lt;&gt;"N/A")),"CONFORME - Control Efectivo ISO 27001","OBSERVACIÓN - Revisar Controles")))</f>
        <v/>
      </c>
    </row>
    <row r="706">
      <c r="A706">
        <f>IF(INVENTARIO!A706="","",INVENTARIO!A706)</f>
        <v/>
      </c>
      <c r="B706">
        <f>IF(INVENTARIO!E706="","",INVENTARIO!E706)</f>
        <v/>
      </c>
      <c r="C706">
        <f>IF(INVENTARIO!F706="","",INVENTARIO!F706)</f>
        <v/>
      </c>
      <c r="D706">
        <f>IF(INVENTARIO!H706="","",INVENTARIO!H706)</f>
        <v/>
      </c>
      <c r="E706">
        <f>IF(INVENTARIO!I706="","",INVENTARIO!I706)</f>
        <v/>
      </c>
      <c r="F706">
        <f>IF(INVENTARIO!N706="","",INVENTARIO!N706)</f>
        <v/>
      </c>
      <c r="G706">
        <f>IF(INVENTARIO!P706="","",INVENTARIO!P706)</f>
        <v/>
      </c>
      <c r="H706">
        <f>IF(INVENTARIO!Q706="","",INVENTARIO!Q706)</f>
        <v/>
      </c>
      <c r="I706">
        <f>IF(INVENTARIO!R706="","",INVENTARIO!R706)</f>
        <v/>
      </c>
      <c r="J706">
        <f>IF(G706="PUBLICA(1)",1,IF(G706="USO INTERNO(2)",2,IF(G706="RESTRINGIDO(3)",3,0)))+IF(H706="BAJA(1)",1,IF(H706="MEDIA(2)",2,IF(H706="ALTA(3)",3,0)))+IF(I706="BAJA(1)",1,IF(I706="MEDIA(2)",2,IF(I706="ALTA(3)",3,0)))</f>
        <v/>
      </c>
      <c r="K706">
        <f>IF(J706="", "", IF(J706&gt;=8,"ALTA",IF(J706&gt;=6,"MEDIA","BAJA")))</f>
        <v/>
      </c>
      <c r="L706">
        <f>IF(INVENTARIO!Y706="","",INVENTARIO!Y706)</f>
        <v/>
      </c>
      <c r="M706">
        <f>IF(INVENTARIO!Z706="","",INVENTARIO!Z706)</f>
        <v/>
      </c>
      <c r="N706">
        <f>IF(INVENTARIO!AA706="","",INVENTARIO!AA706)</f>
        <v/>
      </c>
      <c r="O706">
        <f>IF(INVENTARIO!AB706="","",INVENTARIO!AB706)</f>
        <v/>
      </c>
      <c r="P706">
        <f>IF(INVENTARIO!AC706="","",INVENTARIO!AC706)</f>
        <v/>
      </c>
      <c r="Q706">
        <f>IF(AND(K706="",N706="",L706=""),"",IF(AND((K706="ALTA"),OR(LEFT(N706,2)="L0",LEFT(N706,2)="L1",L706="No Iniciado")),"CRÍTICO - Incumplimiento Normativo SEPS",IF(AND(OR(LEFT(N706,2)="L4",LEFT(N706,2)="L5"),AND(P706&lt;&gt;"",P706&lt;&gt;"N/A")),"CONFORME - Control Efectivo ISO 27001","OBSERVACIÓN - Revisar Controles")))</f>
        <v/>
      </c>
    </row>
    <row r="707">
      <c r="A707">
        <f>IF(INVENTARIO!A707="","",INVENTARIO!A707)</f>
        <v/>
      </c>
      <c r="B707">
        <f>IF(INVENTARIO!E707="","",INVENTARIO!E707)</f>
        <v/>
      </c>
      <c r="C707">
        <f>IF(INVENTARIO!F707="","",INVENTARIO!F707)</f>
        <v/>
      </c>
      <c r="D707">
        <f>IF(INVENTARIO!H707="","",INVENTARIO!H707)</f>
        <v/>
      </c>
      <c r="E707">
        <f>IF(INVENTARIO!I707="","",INVENTARIO!I707)</f>
        <v/>
      </c>
      <c r="F707">
        <f>IF(INVENTARIO!N707="","",INVENTARIO!N707)</f>
        <v/>
      </c>
      <c r="G707">
        <f>IF(INVENTARIO!P707="","",INVENTARIO!P707)</f>
        <v/>
      </c>
      <c r="H707">
        <f>IF(INVENTARIO!Q707="","",INVENTARIO!Q707)</f>
        <v/>
      </c>
      <c r="I707">
        <f>IF(INVENTARIO!R707="","",INVENTARIO!R707)</f>
        <v/>
      </c>
      <c r="J707">
        <f>IF(G707="PUBLICA(1)",1,IF(G707="USO INTERNO(2)",2,IF(G707="RESTRINGIDO(3)",3,0)))+IF(H707="BAJA(1)",1,IF(H707="MEDIA(2)",2,IF(H707="ALTA(3)",3,0)))+IF(I707="BAJA(1)",1,IF(I707="MEDIA(2)",2,IF(I707="ALTA(3)",3,0)))</f>
        <v/>
      </c>
      <c r="K707">
        <f>IF(J707="", "", IF(J707&gt;=8,"ALTA",IF(J707&gt;=6,"MEDIA","BAJA")))</f>
        <v/>
      </c>
      <c r="L707">
        <f>IF(INVENTARIO!Y707="","",INVENTARIO!Y707)</f>
        <v/>
      </c>
      <c r="M707">
        <f>IF(INVENTARIO!Z707="","",INVENTARIO!Z707)</f>
        <v/>
      </c>
      <c r="N707">
        <f>IF(INVENTARIO!AA707="","",INVENTARIO!AA707)</f>
        <v/>
      </c>
      <c r="O707">
        <f>IF(INVENTARIO!AB707="","",INVENTARIO!AB707)</f>
        <v/>
      </c>
      <c r="P707">
        <f>IF(INVENTARIO!AC707="","",INVENTARIO!AC707)</f>
        <v/>
      </c>
      <c r="Q707">
        <f>IF(AND(K707="",N707="",L707=""),"",IF(AND((K707="ALTA"),OR(LEFT(N707,2)="L0",LEFT(N707,2)="L1",L707="No Iniciado")),"CRÍTICO - Incumplimiento Normativo SEPS",IF(AND(OR(LEFT(N707,2)="L4",LEFT(N707,2)="L5"),AND(P707&lt;&gt;"",P707&lt;&gt;"N/A")),"CONFORME - Control Efectivo ISO 27001","OBSERVACIÓN - Revisar Controles")))</f>
        <v/>
      </c>
    </row>
    <row r="708">
      <c r="A708">
        <f>IF(INVENTARIO!A708="","",INVENTARIO!A708)</f>
        <v/>
      </c>
      <c r="B708">
        <f>IF(INVENTARIO!E708="","",INVENTARIO!E708)</f>
        <v/>
      </c>
      <c r="C708">
        <f>IF(INVENTARIO!F708="","",INVENTARIO!F708)</f>
        <v/>
      </c>
      <c r="D708">
        <f>IF(INVENTARIO!H708="","",INVENTARIO!H708)</f>
        <v/>
      </c>
      <c r="E708">
        <f>IF(INVENTARIO!I708="","",INVENTARIO!I708)</f>
        <v/>
      </c>
      <c r="F708">
        <f>IF(INVENTARIO!N708="","",INVENTARIO!N708)</f>
        <v/>
      </c>
      <c r="G708">
        <f>IF(INVENTARIO!P708="","",INVENTARIO!P708)</f>
        <v/>
      </c>
      <c r="H708">
        <f>IF(INVENTARIO!Q708="","",INVENTARIO!Q708)</f>
        <v/>
      </c>
      <c r="I708">
        <f>IF(INVENTARIO!R708="","",INVENTARIO!R708)</f>
        <v/>
      </c>
      <c r="J708">
        <f>IF(G708="PUBLICA(1)",1,IF(G708="USO INTERNO(2)",2,IF(G708="RESTRINGIDO(3)",3,0)))+IF(H708="BAJA(1)",1,IF(H708="MEDIA(2)",2,IF(H708="ALTA(3)",3,0)))+IF(I708="BAJA(1)",1,IF(I708="MEDIA(2)",2,IF(I708="ALTA(3)",3,0)))</f>
        <v/>
      </c>
      <c r="K708">
        <f>IF(J708="", "", IF(J708&gt;=8,"ALTA",IF(J708&gt;=6,"MEDIA","BAJA")))</f>
        <v/>
      </c>
      <c r="L708">
        <f>IF(INVENTARIO!Y708="","",INVENTARIO!Y708)</f>
        <v/>
      </c>
      <c r="M708">
        <f>IF(INVENTARIO!Z708="","",INVENTARIO!Z708)</f>
        <v/>
      </c>
      <c r="N708">
        <f>IF(INVENTARIO!AA708="","",INVENTARIO!AA708)</f>
        <v/>
      </c>
      <c r="O708">
        <f>IF(INVENTARIO!AB708="","",INVENTARIO!AB708)</f>
        <v/>
      </c>
      <c r="P708">
        <f>IF(INVENTARIO!AC708="","",INVENTARIO!AC708)</f>
        <v/>
      </c>
      <c r="Q708">
        <f>IF(AND(K708="",N708="",L708=""),"",IF(AND((K708="ALTA"),OR(LEFT(N708,2)="L0",LEFT(N708,2)="L1",L708="No Iniciado")),"CRÍTICO - Incumplimiento Normativo SEPS",IF(AND(OR(LEFT(N708,2)="L4",LEFT(N708,2)="L5"),AND(P708&lt;&gt;"",P708&lt;&gt;"N/A")),"CONFORME - Control Efectivo ISO 27001","OBSERVACIÓN - Revisar Controles")))</f>
        <v/>
      </c>
    </row>
    <row r="709">
      <c r="A709">
        <f>IF(INVENTARIO!A709="","",INVENTARIO!A709)</f>
        <v/>
      </c>
      <c r="B709">
        <f>IF(INVENTARIO!E709="","",INVENTARIO!E709)</f>
        <v/>
      </c>
      <c r="C709">
        <f>IF(INVENTARIO!F709="","",INVENTARIO!F709)</f>
        <v/>
      </c>
      <c r="D709">
        <f>IF(INVENTARIO!H709="","",INVENTARIO!H709)</f>
        <v/>
      </c>
      <c r="E709">
        <f>IF(INVENTARIO!I709="","",INVENTARIO!I709)</f>
        <v/>
      </c>
      <c r="F709">
        <f>IF(INVENTARIO!N709="","",INVENTARIO!N709)</f>
        <v/>
      </c>
      <c r="G709">
        <f>IF(INVENTARIO!P709="","",INVENTARIO!P709)</f>
        <v/>
      </c>
      <c r="H709">
        <f>IF(INVENTARIO!Q709="","",INVENTARIO!Q709)</f>
        <v/>
      </c>
      <c r="I709">
        <f>IF(INVENTARIO!R709="","",INVENTARIO!R709)</f>
        <v/>
      </c>
      <c r="J709">
        <f>IF(G709="PUBLICA(1)",1,IF(G709="USO INTERNO(2)",2,IF(G709="RESTRINGIDO(3)",3,0)))+IF(H709="BAJA(1)",1,IF(H709="MEDIA(2)",2,IF(H709="ALTA(3)",3,0)))+IF(I709="BAJA(1)",1,IF(I709="MEDIA(2)",2,IF(I709="ALTA(3)",3,0)))</f>
        <v/>
      </c>
      <c r="K709">
        <f>IF(J709="", "", IF(J709&gt;=8,"ALTA",IF(J709&gt;=6,"MEDIA","BAJA")))</f>
        <v/>
      </c>
      <c r="L709">
        <f>IF(INVENTARIO!Y709="","",INVENTARIO!Y709)</f>
        <v/>
      </c>
      <c r="M709">
        <f>IF(INVENTARIO!Z709="","",INVENTARIO!Z709)</f>
        <v/>
      </c>
      <c r="N709">
        <f>IF(INVENTARIO!AA709="","",INVENTARIO!AA709)</f>
        <v/>
      </c>
      <c r="O709">
        <f>IF(INVENTARIO!AB709="","",INVENTARIO!AB709)</f>
        <v/>
      </c>
      <c r="P709">
        <f>IF(INVENTARIO!AC709="","",INVENTARIO!AC709)</f>
        <v/>
      </c>
      <c r="Q709">
        <f>IF(AND(K709="",N709="",L709=""),"",IF(AND((K709="ALTA"),OR(LEFT(N709,2)="L0",LEFT(N709,2)="L1",L709="No Iniciado")),"CRÍTICO - Incumplimiento Normativo SEPS",IF(AND(OR(LEFT(N709,2)="L4",LEFT(N709,2)="L5"),AND(P709&lt;&gt;"",P709&lt;&gt;"N/A")),"CONFORME - Control Efectivo ISO 27001","OBSERVACIÓN - Revisar Controles")))</f>
        <v/>
      </c>
    </row>
    <row r="710">
      <c r="A710">
        <f>IF(INVENTARIO!A710="","",INVENTARIO!A710)</f>
        <v/>
      </c>
      <c r="B710">
        <f>IF(INVENTARIO!E710="","",INVENTARIO!E710)</f>
        <v/>
      </c>
      <c r="C710">
        <f>IF(INVENTARIO!F710="","",INVENTARIO!F710)</f>
        <v/>
      </c>
      <c r="D710">
        <f>IF(INVENTARIO!H710="","",INVENTARIO!H710)</f>
        <v/>
      </c>
      <c r="E710">
        <f>IF(INVENTARIO!I710="","",INVENTARIO!I710)</f>
        <v/>
      </c>
      <c r="F710">
        <f>IF(INVENTARIO!N710="","",INVENTARIO!N710)</f>
        <v/>
      </c>
      <c r="G710">
        <f>IF(INVENTARIO!P710="","",INVENTARIO!P710)</f>
        <v/>
      </c>
      <c r="H710">
        <f>IF(INVENTARIO!Q710="","",INVENTARIO!Q710)</f>
        <v/>
      </c>
      <c r="I710">
        <f>IF(INVENTARIO!R710="","",INVENTARIO!R710)</f>
        <v/>
      </c>
      <c r="J710">
        <f>IF(G710="PUBLICA(1)",1,IF(G710="USO INTERNO(2)",2,IF(G710="RESTRINGIDO(3)",3,0)))+IF(H710="BAJA(1)",1,IF(H710="MEDIA(2)",2,IF(H710="ALTA(3)",3,0)))+IF(I710="BAJA(1)",1,IF(I710="MEDIA(2)",2,IF(I710="ALTA(3)",3,0)))</f>
        <v/>
      </c>
      <c r="K710">
        <f>IF(J710="", "", IF(J710&gt;=8,"ALTA",IF(J710&gt;=6,"MEDIA","BAJA")))</f>
        <v/>
      </c>
      <c r="L710">
        <f>IF(INVENTARIO!Y710="","",INVENTARIO!Y710)</f>
        <v/>
      </c>
      <c r="M710">
        <f>IF(INVENTARIO!Z710="","",INVENTARIO!Z710)</f>
        <v/>
      </c>
      <c r="N710">
        <f>IF(INVENTARIO!AA710="","",INVENTARIO!AA710)</f>
        <v/>
      </c>
      <c r="O710">
        <f>IF(INVENTARIO!AB710="","",INVENTARIO!AB710)</f>
        <v/>
      </c>
      <c r="P710">
        <f>IF(INVENTARIO!AC710="","",INVENTARIO!AC710)</f>
        <v/>
      </c>
      <c r="Q710">
        <f>IF(AND(K710="",N710="",L710=""),"",IF(AND((K710="ALTA"),OR(LEFT(N710,2)="L0",LEFT(N710,2)="L1",L710="No Iniciado")),"CRÍTICO - Incumplimiento Normativo SEPS",IF(AND(OR(LEFT(N710,2)="L4",LEFT(N710,2)="L5"),AND(P710&lt;&gt;"",P710&lt;&gt;"N/A")),"CONFORME - Control Efectivo ISO 27001","OBSERVACIÓN - Revisar Controles")))</f>
        <v/>
      </c>
    </row>
    <row r="711">
      <c r="A711">
        <f>IF(INVENTARIO!A711="","",INVENTARIO!A711)</f>
        <v/>
      </c>
      <c r="B711">
        <f>IF(INVENTARIO!E711="","",INVENTARIO!E711)</f>
        <v/>
      </c>
      <c r="C711">
        <f>IF(INVENTARIO!F711="","",INVENTARIO!F711)</f>
        <v/>
      </c>
      <c r="D711">
        <f>IF(INVENTARIO!H711="","",INVENTARIO!H711)</f>
        <v/>
      </c>
      <c r="E711">
        <f>IF(INVENTARIO!I711="","",INVENTARIO!I711)</f>
        <v/>
      </c>
      <c r="F711">
        <f>IF(INVENTARIO!N711="","",INVENTARIO!N711)</f>
        <v/>
      </c>
      <c r="G711">
        <f>IF(INVENTARIO!P711="","",INVENTARIO!P711)</f>
        <v/>
      </c>
      <c r="H711">
        <f>IF(INVENTARIO!Q711="","",INVENTARIO!Q711)</f>
        <v/>
      </c>
      <c r="I711">
        <f>IF(INVENTARIO!R711="","",INVENTARIO!R711)</f>
        <v/>
      </c>
      <c r="J711">
        <f>IF(G711="PUBLICA(1)",1,IF(G711="USO INTERNO(2)",2,IF(G711="RESTRINGIDO(3)",3,0)))+IF(H711="BAJA(1)",1,IF(H711="MEDIA(2)",2,IF(H711="ALTA(3)",3,0)))+IF(I711="BAJA(1)",1,IF(I711="MEDIA(2)",2,IF(I711="ALTA(3)",3,0)))</f>
        <v/>
      </c>
      <c r="K711">
        <f>IF(J711="", "", IF(J711&gt;=8,"ALTA",IF(J711&gt;=6,"MEDIA","BAJA")))</f>
        <v/>
      </c>
      <c r="L711">
        <f>IF(INVENTARIO!Y711="","",INVENTARIO!Y711)</f>
        <v/>
      </c>
      <c r="M711">
        <f>IF(INVENTARIO!Z711="","",INVENTARIO!Z711)</f>
        <v/>
      </c>
      <c r="N711">
        <f>IF(INVENTARIO!AA711="","",INVENTARIO!AA711)</f>
        <v/>
      </c>
      <c r="O711">
        <f>IF(INVENTARIO!AB711="","",INVENTARIO!AB711)</f>
        <v/>
      </c>
      <c r="P711">
        <f>IF(INVENTARIO!AC711="","",INVENTARIO!AC711)</f>
        <v/>
      </c>
      <c r="Q711">
        <f>IF(AND(K711="",N711="",L711=""),"",IF(AND((K711="ALTA"),OR(LEFT(N711,2)="L0",LEFT(N711,2)="L1",L711="No Iniciado")),"CRÍTICO - Incumplimiento Normativo SEPS",IF(AND(OR(LEFT(N711,2)="L4",LEFT(N711,2)="L5"),AND(P711&lt;&gt;"",P711&lt;&gt;"N/A")),"CONFORME - Control Efectivo ISO 27001","OBSERVACIÓN - Revisar Controles")))</f>
        <v/>
      </c>
    </row>
    <row r="712">
      <c r="A712">
        <f>IF(INVENTARIO!A712="","",INVENTARIO!A712)</f>
        <v/>
      </c>
      <c r="B712">
        <f>IF(INVENTARIO!E712="","",INVENTARIO!E712)</f>
        <v/>
      </c>
      <c r="C712">
        <f>IF(INVENTARIO!F712="","",INVENTARIO!F712)</f>
        <v/>
      </c>
      <c r="D712">
        <f>IF(INVENTARIO!H712="","",INVENTARIO!H712)</f>
        <v/>
      </c>
      <c r="E712">
        <f>IF(INVENTARIO!I712="","",INVENTARIO!I712)</f>
        <v/>
      </c>
      <c r="F712">
        <f>IF(INVENTARIO!N712="","",INVENTARIO!N712)</f>
        <v/>
      </c>
      <c r="G712">
        <f>IF(INVENTARIO!P712="","",INVENTARIO!P712)</f>
        <v/>
      </c>
      <c r="H712">
        <f>IF(INVENTARIO!Q712="","",INVENTARIO!Q712)</f>
        <v/>
      </c>
      <c r="I712">
        <f>IF(INVENTARIO!R712="","",INVENTARIO!R712)</f>
        <v/>
      </c>
      <c r="J712">
        <f>IF(G712="PUBLICA(1)",1,IF(G712="USO INTERNO(2)",2,IF(G712="RESTRINGIDO(3)",3,0)))+IF(H712="BAJA(1)",1,IF(H712="MEDIA(2)",2,IF(H712="ALTA(3)",3,0)))+IF(I712="BAJA(1)",1,IF(I712="MEDIA(2)",2,IF(I712="ALTA(3)",3,0)))</f>
        <v/>
      </c>
      <c r="K712">
        <f>IF(J712="", "", IF(J712&gt;=8,"ALTA",IF(J712&gt;=6,"MEDIA","BAJA")))</f>
        <v/>
      </c>
      <c r="L712">
        <f>IF(INVENTARIO!Y712="","",INVENTARIO!Y712)</f>
        <v/>
      </c>
      <c r="M712">
        <f>IF(INVENTARIO!Z712="","",INVENTARIO!Z712)</f>
        <v/>
      </c>
      <c r="N712">
        <f>IF(INVENTARIO!AA712="","",INVENTARIO!AA712)</f>
        <v/>
      </c>
      <c r="O712">
        <f>IF(INVENTARIO!AB712="","",INVENTARIO!AB712)</f>
        <v/>
      </c>
      <c r="P712">
        <f>IF(INVENTARIO!AC712="","",INVENTARIO!AC712)</f>
        <v/>
      </c>
      <c r="Q712">
        <f>IF(AND(K712="",N712="",L712=""),"",IF(AND((K712="ALTA"),OR(LEFT(N712,2)="L0",LEFT(N712,2)="L1",L712="No Iniciado")),"CRÍTICO - Incumplimiento Normativo SEPS",IF(AND(OR(LEFT(N712,2)="L4",LEFT(N712,2)="L5"),AND(P712&lt;&gt;"",P712&lt;&gt;"N/A")),"CONFORME - Control Efectivo ISO 27001","OBSERVACIÓN - Revisar Controles")))</f>
        <v/>
      </c>
    </row>
    <row r="713">
      <c r="A713">
        <f>IF(INVENTARIO!A713="","",INVENTARIO!A713)</f>
        <v/>
      </c>
      <c r="B713">
        <f>IF(INVENTARIO!E713="","",INVENTARIO!E713)</f>
        <v/>
      </c>
      <c r="C713">
        <f>IF(INVENTARIO!F713="","",INVENTARIO!F713)</f>
        <v/>
      </c>
      <c r="D713">
        <f>IF(INVENTARIO!H713="","",INVENTARIO!H713)</f>
        <v/>
      </c>
      <c r="E713">
        <f>IF(INVENTARIO!I713="","",INVENTARIO!I713)</f>
        <v/>
      </c>
      <c r="F713">
        <f>IF(INVENTARIO!N713="","",INVENTARIO!N713)</f>
        <v/>
      </c>
      <c r="G713">
        <f>IF(INVENTARIO!P713="","",INVENTARIO!P713)</f>
        <v/>
      </c>
      <c r="H713">
        <f>IF(INVENTARIO!Q713="","",INVENTARIO!Q713)</f>
        <v/>
      </c>
      <c r="I713">
        <f>IF(INVENTARIO!R713="","",INVENTARIO!R713)</f>
        <v/>
      </c>
      <c r="J713">
        <f>IF(G713="PUBLICA(1)",1,IF(G713="USO INTERNO(2)",2,IF(G713="RESTRINGIDO(3)",3,0)))+IF(H713="BAJA(1)",1,IF(H713="MEDIA(2)",2,IF(H713="ALTA(3)",3,0)))+IF(I713="BAJA(1)",1,IF(I713="MEDIA(2)",2,IF(I713="ALTA(3)",3,0)))</f>
        <v/>
      </c>
      <c r="K713">
        <f>IF(J713="", "", IF(J713&gt;=8,"ALTA",IF(J713&gt;=6,"MEDIA","BAJA")))</f>
        <v/>
      </c>
      <c r="L713">
        <f>IF(INVENTARIO!Y713="","",INVENTARIO!Y713)</f>
        <v/>
      </c>
      <c r="M713">
        <f>IF(INVENTARIO!Z713="","",INVENTARIO!Z713)</f>
        <v/>
      </c>
      <c r="N713">
        <f>IF(INVENTARIO!AA713="","",INVENTARIO!AA713)</f>
        <v/>
      </c>
      <c r="O713">
        <f>IF(INVENTARIO!AB713="","",INVENTARIO!AB713)</f>
        <v/>
      </c>
      <c r="P713">
        <f>IF(INVENTARIO!AC713="","",INVENTARIO!AC713)</f>
        <v/>
      </c>
      <c r="Q713">
        <f>IF(AND(K713="",N713="",L713=""),"",IF(AND((K713="ALTA"),OR(LEFT(N713,2)="L0",LEFT(N713,2)="L1",L713="No Iniciado")),"CRÍTICO - Incumplimiento Normativo SEPS",IF(AND(OR(LEFT(N713,2)="L4",LEFT(N713,2)="L5"),AND(P713&lt;&gt;"",P713&lt;&gt;"N/A")),"CONFORME - Control Efectivo ISO 27001","OBSERVACIÓN - Revisar Controles")))</f>
        <v/>
      </c>
    </row>
    <row r="714">
      <c r="A714">
        <f>IF(INVENTARIO!A714="","",INVENTARIO!A714)</f>
        <v/>
      </c>
      <c r="B714">
        <f>IF(INVENTARIO!E714="","",INVENTARIO!E714)</f>
        <v/>
      </c>
      <c r="C714">
        <f>IF(INVENTARIO!F714="","",INVENTARIO!F714)</f>
        <v/>
      </c>
      <c r="D714">
        <f>IF(INVENTARIO!H714="","",INVENTARIO!H714)</f>
        <v/>
      </c>
      <c r="E714">
        <f>IF(INVENTARIO!I714="","",INVENTARIO!I714)</f>
        <v/>
      </c>
      <c r="F714">
        <f>IF(INVENTARIO!N714="","",INVENTARIO!N714)</f>
        <v/>
      </c>
      <c r="G714">
        <f>IF(INVENTARIO!P714="","",INVENTARIO!P714)</f>
        <v/>
      </c>
      <c r="H714">
        <f>IF(INVENTARIO!Q714="","",INVENTARIO!Q714)</f>
        <v/>
      </c>
      <c r="I714">
        <f>IF(INVENTARIO!R714="","",INVENTARIO!R714)</f>
        <v/>
      </c>
      <c r="J714">
        <f>IF(G714="PUBLICA(1)",1,IF(G714="USO INTERNO(2)",2,IF(G714="RESTRINGIDO(3)",3,0)))+IF(H714="BAJA(1)",1,IF(H714="MEDIA(2)",2,IF(H714="ALTA(3)",3,0)))+IF(I714="BAJA(1)",1,IF(I714="MEDIA(2)",2,IF(I714="ALTA(3)",3,0)))</f>
        <v/>
      </c>
      <c r="K714">
        <f>IF(J714="", "", IF(J714&gt;=8,"ALTA",IF(J714&gt;=6,"MEDIA","BAJA")))</f>
        <v/>
      </c>
      <c r="L714">
        <f>IF(INVENTARIO!Y714="","",INVENTARIO!Y714)</f>
        <v/>
      </c>
      <c r="M714">
        <f>IF(INVENTARIO!Z714="","",INVENTARIO!Z714)</f>
        <v/>
      </c>
      <c r="N714">
        <f>IF(INVENTARIO!AA714="","",INVENTARIO!AA714)</f>
        <v/>
      </c>
      <c r="O714">
        <f>IF(INVENTARIO!AB714="","",INVENTARIO!AB714)</f>
        <v/>
      </c>
      <c r="P714">
        <f>IF(INVENTARIO!AC714="","",INVENTARIO!AC714)</f>
        <v/>
      </c>
      <c r="Q714">
        <f>IF(AND(K714="",N714="",L714=""),"",IF(AND((K714="ALTA"),OR(LEFT(N714,2)="L0",LEFT(N714,2)="L1",L714="No Iniciado")),"CRÍTICO - Incumplimiento Normativo SEPS",IF(AND(OR(LEFT(N714,2)="L4",LEFT(N714,2)="L5"),AND(P714&lt;&gt;"",P714&lt;&gt;"N/A")),"CONFORME - Control Efectivo ISO 27001","OBSERVACIÓN - Revisar Controles")))</f>
        <v/>
      </c>
    </row>
    <row r="715">
      <c r="A715">
        <f>IF(INVENTARIO!A715="","",INVENTARIO!A715)</f>
        <v/>
      </c>
      <c r="B715">
        <f>IF(INVENTARIO!E715="","",INVENTARIO!E715)</f>
        <v/>
      </c>
      <c r="C715">
        <f>IF(INVENTARIO!F715="","",INVENTARIO!F715)</f>
        <v/>
      </c>
      <c r="D715">
        <f>IF(INVENTARIO!H715="","",INVENTARIO!H715)</f>
        <v/>
      </c>
      <c r="E715">
        <f>IF(INVENTARIO!I715="","",INVENTARIO!I715)</f>
        <v/>
      </c>
      <c r="F715">
        <f>IF(INVENTARIO!N715="","",INVENTARIO!N715)</f>
        <v/>
      </c>
      <c r="G715">
        <f>IF(INVENTARIO!P715="","",INVENTARIO!P715)</f>
        <v/>
      </c>
      <c r="H715">
        <f>IF(INVENTARIO!Q715="","",INVENTARIO!Q715)</f>
        <v/>
      </c>
      <c r="I715">
        <f>IF(INVENTARIO!R715="","",INVENTARIO!R715)</f>
        <v/>
      </c>
      <c r="J715">
        <f>IF(G715="PUBLICA(1)",1,IF(G715="USO INTERNO(2)",2,IF(G715="RESTRINGIDO(3)",3,0)))+IF(H715="BAJA(1)",1,IF(H715="MEDIA(2)",2,IF(H715="ALTA(3)",3,0)))+IF(I715="BAJA(1)",1,IF(I715="MEDIA(2)",2,IF(I715="ALTA(3)",3,0)))</f>
        <v/>
      </c>
      <c r="K715">
        <f>IF(J715="", "", IF(J715&gt;=8,"ALTA",IF(J715&gt;=6,"MEDIA","BAJA")))</f>
        <v/>
      </c>
      <c r="L715">
        <f>IF(INVENTARIO!Y715="","",INVENTARIO!Y715)</f>
        <v/>
      </c>
      <c r="M715">
        <f>IF(INVENTARIO!Z715="","",INVENTARIO!Z715)</f>
        <v/>
      </c>
      <c r="N715">
        <f>IF(INVENTARIO!AA715="","",INVENTARIO!AA715)</f>
        <v/>
      </c>
      <c r="O715">
        <f>IF(INVENTARIO!AB715="","",INVENTARIO!AB715)</f>
        <v/>
      </c>
      <c r="P715">
        <f>IF(INVENTARIO!AC715="","",INVENTARIO!AC715)</f>
        <v/>
      </c>
      <c r="Q715">
        <f>IF(AND(K715="",N715="",L715=""),"",IF(AND((K715="ALTA"),OR(LEFT(N715,2)="L0",LEFT(N715,2)="L1",L715="No Iniciado")),"CRÍTICO - Incumplimiento Normativo SEPS",IF(AND(OR(LEFT(N715,2)="L4",LEFT(N715,2)="L5"),AND(P715&lt;&gt;"",P715&lt;&gt;"N/A")),"CONFORME - Control Efectivo ISO 27001","OBSERVACIÓN - Revisar Controles")))</f>
        <v/>
      </c>
    </row>
    <row r="716">
      <c r="A716">
        <f>IF(INVENTARIO!A716="","",INVENTARIO!A716)</f>
        <v/>
      </c>
      <c r="B716">
        <f>IF(INVENTARIO!E716="","",INVENTARIO!E716)</f>
        <v/>
      </c>
      <c r="C716">
        <f>IF(INVENTARIO!F716="","",INVENTARIO!F716)</f>
        <v/>
      </c>
      <c r="D716">
        <f>IF(INVENTARIO!H716="","",INVENTARIO!H716)</f>
        <v/>
      </c>
      <c r="E716">
        <f>IF(INVENTARIO!I716="","",INVENTARIO!I716)</f>
        <v/>
      </c>
      <c r="F716">
        <f>IF(INVENTARIO!N716="","",INVENTARIO!N716)</f>
        <v/>
      </c>
      <c r="G716">
        <f>IF(INVENTARIO!P716="","",INVENTARIO!P716)</f>
        <v/>
      </c>
      <c r="H716">
        <f>IF(INVENTARIO!Q716="","",INVENTARIO!Q716)</f>
        <v/>
      </c>
      <c r="I716">
        <f>IF(INVENTARIO!R716="","",INVENTARIO!R716)</f>
        <v/>
      </c>
      <c r="J716">
        <f>IF(G716="PUBLICA(1)",1,IF(G716="USO INTERNO(2)",2,IF(G716="RESTRINGIDO(3)",3,0)))+IF(H716="BAJA(1)",1,IF(H716="MEDIA(2)",2,IF(H716="ALTA(3)",3,0)))+IF(I716="BAJA(1)",1,IF(I716="MEDIA(2)",2,IF(I716="ALTA(3)",3,0)))</f>
        <v/>
      </c>
      <c r="K716">
        <f>IF(J716="", "", IF(J716&gt;=8,"ALTA",IF(J716&gt;=6,"MEDIA","BAJA")))</f>
        <v/>
      </c>
      <c r="L716">
        <f>IF(INVENTARIO!Y716="","",INVENTARIO!Y716)</f>
        <v/>
      </c>
      <c r="M716">
        <f>IF(INVENTARIO!Z716="","",INVENTARIO!Z716)</f>
        <v/>
      </c>
      <c r="N716">
        <f>IF(INVENTARIO!AA716="","",INVENTARIO!AA716)</f>
        <v/>
      </c>
      <c r="O716">
        <f>IF(INVENTARIO!AB716="","",INVENTARIO!AB716)</f>
        <v/>
      </c>
      <c r="P716">
        <f>IF(INVENTARIO!AC716="","",INVENTARIO!AC716)</f>
        <v/>
      </c>
      <c r="Q716">
        <f>IF(AND(K716="",N716="",L716=""),"",IF(AND((K716="ALTA"),OR(LEFT(N716,2)="L0",LEFT(N716,2)="L1",L716="No Iniciado")),"CRÍTICO - Incumplimiento Normativo SEPS",IF(AND(OR(LEFT(N716,2)="L4",LEFT(N716,2)="L5"),AND(P716&lt;&gt;"",P716&lt;&gt;"N/A")),"CONFORME - Control Efectivo ISO 27001","OBSERVACIÓN - Revisar Controles")))</f>
        <v/>
      </c>
    </row>
    <row r="717">
      <c r="A717">
        <f>IF(INVENTARIO!A717="","",INVENTARIO!A717)</f>
        <v/>
      </c>
      <c r="B717">
        <f>IF(INVENTARIO!E717="","",INVENTARIO!E717)</f>
        <v/>
      </c>
      <c r="C717">
        <f>IF(INVENTARIO!F717="","",INVENTARIO!F717)</f>
        <v/>
      </c>
      <c r="D717">
        <f>IF(INVENTARIO!H717="","",INVENTARIO!H717)</f>
        <v/>
      </c>
      <c r="E717">
        <f>IF(INVENTARIO!I717="","",INVENTARIO!I717)</f>
        <v/>
      </c>
      <c r="F717">
        <f>IF(INVENTARIO!N717="","",INVENTARIO!N717)</f>
        <v/>
      </c>
      <c r="G717">
        <f>IF(INVENTARIO!P717="","",INVENTARIO!P717)</f>
        <v/>
      </c>
      <c r="H717">
        <f>IF(INVENTARIO!Q717="","",INVENTARIO!Q717)</f>
        <v/>
      </c>
      <c r="I717">
        <f>IF(INVENTARIO!R717="","",INVENTARIO!R717)</f>
        <v/>
      </c>
      <c r="J717">
        <f>IF(G717="PUBLICA(1)",1,IF(G717="USO INTERNO(2)",2,IF(G717="RESTRINGIDO(3)",3,0)))+IF(H717="BAJA(1)",1,IF(H717="MEDIA(2)",2,IF(H717="ALTA(3)",3,0)))+IF(I717="BAJA(1)",1,IF(I717="MEDIA(2)",2,IF(I717="ALTA(3)",3,0)))</f>
        <v/>
      </c>
      <c r="K717">
        <f>IF(J717="", "", IF(J717&gt;=8,"ALTA",IF(J717&gt;=6,"MEDIA","BAJA")))</f>
        <v/>
      </c>
      <c r="L717">
        <f>IF(INVENTARIO!Y717="","",INVENTARIO!Y717)</f>
        <v/>
      </c>
      <c r="M717">
        <f>IF(INVENTARIO!Z717="","",INVENTARIO!Z717)</f>
        <v/>
      </c>
      <c r="N717">
        <f>IF(INVENTARIO!AA717="","",INVENTARIO!AA717)</f>
        <v/>
      </c>
      <c r="O717">
        <f>IF(INVENTARIO!AB717="","",INVENTARIO!AB717)</f>
        <v/>
      </c>
      <c r="P717">
        <f>IF(INVENTARIO!AC717="","",INVENTARIO!AC717)</f>
        <v/>
      </c>
      <c r="Q717">
        <f>IF(AND(K717="",N717="",L717=""),"",IF(AND((K717="ALTA"),OR(LEFT(N717,2)="L0",LEFT(N717,2)="L1",L717="No Iniciado")),"CRÍTICO - Incumplimiento Normativo SEPS",IF(AND(OR(LEFT(N717,2)="L4",LEFT(N717,2)="L5"),AND(P717&lt;&gt;"",P717&lt;&gt;"N/A")),"CONFORME - Control Efectivo ISO 27001","OBSERVACIÓN - Revisar Controles")))</f>
        <v/>
      </c>
    </row>
    <row r="718">
      <c r="A718">
        <f>IF(INVENTARIO!A718="","",INVENTARIO!A718)</f>
        <v/>
      </c>
      <c r="B718">
        <f>IF(INVENTARIO!E718="","",INVENTARIO!E718)</f>
        <v/>
      </c>
      <c r="C718">
        <f>IF(INVENTARIO!F718="","",INVENTARIO!F718)</f>
        <v/>
      </c>
      <c r="D718">
        <f>IF(INVENTARIO!H718="","",INVENTARIO!H718)</f>
        <v/>
      </c>
      <c r="E718">
        <f>IF(INVENTARIO!I718="","",INVENTARIO!I718)</f>
        <v/>
      </c>
      <c r="F718">
        <f>IF(INVENTARIO!N718="","",INVENTARIO!N718)</f>
        <v/>
      </c>
      <c r="G718">
        <f>IF(INVENTARIO!P718="","",INVENTARIO!P718)</f>
        <v/>
      </c>
      <c r="H718">
        <f>IF(INVENTARIO!Q718="","",INVENTARIO!Q718)</f>
        <v/>
      </c>
      <c r="I718">
        <f>IF(INVENTARIO!R718="","",INVENTARIO!R718)</f>
        <v/>
      </c>
      <c r="J718">
        <f>IF(G718="PUBLICA(1)",1,IF(G718="USO INTERNO(2)",2,IF(G718="RESTRINGIDO(3)",3,0)))+IF(H718="BAJA(1)",1,IF(H718="MEDIA(2)",2,IF(H718="ALTA(3)",3,0)))+IF(I718="BAJA(1)",1,IF(I718="MEDIA(2)",2,IF(I718="ALTA(3)",3,0)))</f>
        <v/>
      </c>
      <c r="K718">
        <f>IF(J718="", "", IF(J718&gt;=8,"ALTA",IF(J718&gt;=6,"MEDIA","BAJA")))</f>
        <v/>
      </c>
      <c r="L718">
        <f>IF(INVENTARIO!Y718="","",INVENTARIO!Y718)</f>
        <v/>
      </c>
      <c r="M718">
        <f>IF(INVENTARIO!Z718="","",INVENTARIO!Z718)</f>
        <v/>
      </c>
      <c r="N718">
        <f>IF(INVENTARIO!AA718="","",INVENTARIO!AA718)</f>
        <v/>
      </c>
      <c r="O718">
        <f>IF(INVENTARIO!AB718="","",INVENTARIO!AB718)</f>
        <v/>
      </c>
      <c r="P718">
        <f>IF(INVENTARIO!AC718="","",INVENTARIO!AC718)</f>
        <v/>
      </c>
      <c r="Q718">
        <f>IF(AND(K718="",N718="",L718=""),"",IF(AND((K718="ALTA"),OR(LEFT(N718,2)="L0",LEFT(N718,2)="L1",L718="No Iniciado")),"CRÍTICO - Incumplimiento Normativo SEPS",IF(AND(OR(LEFT(N718,2)="L4",LEFT(N718,2)="L5"),AND(P718&lt;&gt;"",P718&lt;&gt;"N/A")),"CONFORME - Control Efectivo ISO 27001","OBSERVACIÓN - Revisar Controles")))</f>
        <v/>
      </c>
    </row>
    <row r="719">
      <c r="A719">
        <f>IF(INVENTARIO!A719="","",INVENTARIO!A719)</f>
        <v/>
      </c>
      <c r="B719">
        <f>IF(INVENTARIO!E719="","",INVENTARIO!E719)</f>
        <v/>
      </c>
      <c r="C719">
        <f>IF(INVENTARIO!F719="","",INVENTARIO!F719)</f>
        <v/>
      </c>
      <c r="D719">
        <f>IF(INVENTARIO!H719="","",INVENTARIO!H719)</f>
        <v/>
      </c>
      <c r="E719">
        <f>IF(INVENTARIO!I719="","",INVENTARIO!I719)</f>
        <v/>
      </c>
      <c r="F719">
        <f>IF(INVENTARIO!N719="","",INVENTARIO!N719)</f>
        <v/>
      </c>
      <c r="G719">
        <f>IF(INVENTARIO!P719="","",INVENTARIO!P719)</f>
        <v/>
      </c>
      <c r="H719">
        <f>IF(INVENTARIO!Q719="","",INVENTARIO!Q719)</f>
        <v/>
      </c>
      <c r="I719">
        <f>IF(INVENTARIO!R719="","",INVENTARIO!R719)</f>
        <v/>
      </c>
      <c r="J719">
        <f>IF(G719="PUBLICA(1)",1,IF(G719="USO INTERNO(2)",2,IF(G719="RESTRINGIDO(3)",3,0)))+IF(H719="BAJA(1)",1,IF(H719="MEDIA(2)",2,IF(H719="ALTA(3)",3,0)))+IF(I719="BAJA(1)",1,IF(I719="MEDIA(2)",2,IF(I719="ALTA(3)",3,0)))</f>
        <v/>
      </c>
      <c r="K719">
        <f>IF(J719="", "", IF(J719&gt;=8,"ALTA",IF(J719&gt;=6,"MEDIA","BAJA")))</f>
        <v/>
      </c>
      <c r="L719">
        <f>IF(INVENTARIO!Y719="","",INVENTARIO!Y719)</f>
        <v/>
      </c>
      <c r="M719">
        <f>IF(INVENTARIO!Z719="","",INVENTARIO!Z719)</f>
        <v/>
      </c>
      <c r="N719">
        <f>IF(INVENTARIO!AA719="","",INVENTARIO!AA719)</f>
        <v/>
      </c>
      <c r="O719">
        <f>IF(INVENTARIO!AB719="","",INVENTARIO!AB719)</f>
        <v/>
      </c>
      <c r="P719">
        <f>IF(INVENTARIO!AC719="","",INVENTARIO!AC719)</f>
        <v/>
      </c>
      <c r="Q719">
        <f>IF(AND(K719="",N719="",L719=""),"",IF(AND((K719="ALTA"),OR(LEFT(N719,2)="L0",LEFT(N719,2)="L1",L719="No Iniciado")),"CRÍTICO - Incumplimiento Normativo SEPS",IF(AND(OR(LEFT(N719,2)="L4",LEFT(N719,2)="L5"),AND(P719&lt;&gt;"",P719&lt;&gt;"N/A")),"CONFORME - Control Efectivo ISO 27001","OBSERVACIÓN - Revisar Controles")))</f>
        <v/>
      </c>
    </row>
    <row r="720">
      <c r="A720">
        <f>IF(INVENTARIO!A720="","",INVENTARIO!A720)</f>
        <v/>
      </c>
      <c r="B720">
        <f>IF(INVENTARIO!E720="","",INVENTARIO!E720)</f>
        <v/>
      </c>
      <c r="C720">
        <f>IF(INVENTARIO!F720="","",INVENTARIO!F720)</f>
        <v/>
      </c>
      <c r="D720">
        <f>IF(INVENTARIO!H720="","",INVENTARIO!H720)</f>
        <v/>
      </c>
      <c r="E720">
        <f>IF(INVENTARIO!I720="","",INVENTARIO!I720)</f>
        <v/>
      </c>
      <c r="F720">
        <f>IF(INVENTARIO!N720="","",INVENTARIO!N720)</f>
        <v/>
      </c>
      <c r="G720">
        <f>IF(INVENTARIO!P720="","",INVENTARIO!P720)</f>
        <v/>
      </c>
      <c r="H720">
        <f>IF(INVENTARIO!Q720="","",INVENTARIO!Q720)</f>
        <v/>
      </c>
      <c r="I720">
        <f>IF(INVENTARIO!R720="","",INVENTARIO!R720)</f>
        <v/>
      </c>
      <c r="J720">
        <f>IF(G720="PUBLICA(1)",1,IF(G720="USO INTERNO(2)",2,IF(G720="RESTRINGIDO(3)",3,0)))+IF(H720="BAJA(1)",1,IF(H720="MEDIA(2)",2,IF(H720="ALTA(3)",3,0)))+IF(I720="BAJA(1)",1,IF(I720="MEDIA(2)",2,IF(I720="ALTA(3)",3,0)))</f>
        <v/>
      </c>
      <c r="K720">
        <f>IF(J720="", "", IF(J720&gt;=8,"ALTA",IF(J720&gt;=6,"MEDIA","BAJA")))</f>
        <v/>
      </c>
      <c r="L720">
        <f>IF(INVENTARIO!Y720="","",INVENTARIO!Y720)</f>
        <v/>
      </c>
      <c r="M720">
        <f>IF(INVENTARIO!Z720="","",INVENTARIO!Z720)</f>
        <v/>
      </c>
      <c r="N720">
        <f>IF(INVENTARIO!AA720="","",INVENTARIO!AA720)</f>
        <v/>
      </c>
      <c r="O720">
        <f>IF(INVENTARIO!AB720="","",INVENTARIO!AB720)</f>
        <v/>
      </c>
      <c r="P720">
        <f>IF(INVENTARIO!AC720="","",INVENTARIO!AC720)</f>
        <v/>
      </c>
      <c r="Q720">
        <f>IF(AND(K720="",N720="",L720=""),"",IF(AND((K720="ALTA"),OR(LEFT(N720,2)="L0",LEFT(N720,2)="L1",L720="No Iniciado")),"CRÍTICO - Incumplimiento Normativo SEPS",IF(AND(OR(LEFT(N720,2)="L4",LEFT(N720,2)="L5"),AND(P720&lt;&gt;"",P720&lt;&gt;"N/A")),"CONFORME - Control Efectivo ISO 27001","OBSERVACIÓN - Revisar Controles")))</f>
        <v/>
      </c>
    </row>
    <row r="721">
      <c r="A721">
        <f>IF(INVENTARIO!A721="","",INVENTARIO!A721)</f>
        <v/>
      </c>
      <c r="B721">
        <f>IF(INVENTARIO!E721="","",INVENTARIO!E721)</f>
        <v/>
      </c>
      <c r="C721">
        <f>IF(INVENTARIO!F721="","",INVENTARIO!F721)</f>
        <v/>
      </c>
      <c r="D721">
        <f>IF(INVENTARIO!H721="","",INVENTARIO!H721)</f>
        <v/>
      </c>
      <c r="E721">
        <f>IF(INVENTARIO!I721="","",INVENTARIO!I721)</f>
        <v/>
      </c>
      <c r="F721">
        <f>IF(INVENTARIO!N721="","",INVENTARIO!N721)</f>
        <v/>
      </c>
      <c r="G721">
        <f>IF(INVENTARIO!P721="","",INVENTARIO!P721)</f>
        <v/>
      </c>
      <c r="H721">
        <f>IF(INVENTARIO!Q721="","",INVENTARIO!Q721)</f>
        <v/>
      </c>
      <c r="I721">
        <f>IF(INVENTARIO!R721="","",INVENTARIO!R721)</f>
        <v/>
      </c>
      <c r="J721">
        <f>IF(G721="PUBLICA(1)",1,IF(G721="USO INTERNO(2)",2,IF(G721="RESTRINGIDO(3)",3,0)))+IF(H721="BAJA(1)",1,IF(H721="MEDIA(2)",2,IF(H721="ALTA(3)",3,0)))+IF(I721="BAJA(1)",1,IF(I721="MEDIA(2)",2,IF(I721="ALTA(3)",3,0)))</f>
        <v/>
      </c>
      <c r="K721">
        <f>IF(J721="", "", IF(J721&gt;=8,"ALTA",IF(J721&gt;=6,"MEDIA","BAJA")))</f>
        <v/>
      </c>
      <c r="L721">
        <f>IF(INVENTARIO!Y721="","",INVENTARIO!Y721)</f>
        <v/>
      </c>
      <c r="M721">
        <f>IF(INVENTARIO!Z721="","",INVENTARIO!Z721)</f>
        <v/>
      </c>
      <c r="N721">
        <f>IF(INVENTARIO!AA721="","",INVENTARIO!AA721)</f>
        <v/>
      </c>
      <c r="O721">
        <f>IF(INVENTARIO!AB721="","",INVENTARIO!AB721)</f>
        <v/>
      </c>
      <c r="P721">
        <f>IF(INVENTARIO!AC721="","",INVENTARIO!AC721)</f>
        <v/>
      </c>
      <c r="Q721">
        <f>IF(AND(K721="",N721="",L721=""),"",IF(AND((K721="ALTA"),OR(LEFT(N721,2)="L0",LEFT(N721,2)="L1",L721="No Iniciado")),"CRÍTICO - Incumplimiento Normativo SEPS",IF(AND(OR(LEFT(N721,2)="L4",LEFT(N721,2)="L5"),AND(P721&lt;&gt;"",P721&lt;&gt;"N/A")),"CONFORME - Control Efectivo ISO 27001","OBSERVACIÓN - Revisar Controles")))</f>
        <v/>
      </c>
    </row>
    <row r="722">
      <c r="A722">
        <f>IF(INVENTARIO!A722="","",INVENTARIO!A722)</f>
        <v/>
      </c>
      <c r="B722">
        <f>IF(INVENTARIO!E722="","",INVENTARIO!E722)</f>
        <v/>
      </c>
      <c r="C722">
        <f>IF(INVENTARIO!F722="","",INVENTARIO!F722)</f>
        <v/>
      </c>
      <c r="D722">
        <f>IF(INVENTARIO!H722="","",INVENTARIO!H722)</f>
        <v/>
      </c>
      <c r="E722">
        <f>IF(INVENTARIO!I722="","",INVENTARIO!I722)</f>
        <v/>
      </c>
      <c r="F722">
        <f>IF(INVENTARIO!N722="","",INVENTARIO!N722)</f>
        <v/>
      </c>
      <c r="G722">
        <f>IF(INVENTARIO!P722="","",INVENTARIO!P722)</f>
        <v/>
      </c>
      <c r="H722">
        <f>IF(INVENTARIO!Q722="","",INVENTARIO!Q722)</f>
        <v/>
      </c>
      <c r="I722">
        <f>IF(INVENTARIO!R722="","",INVENTARIO!R722)</f>
        <v/>
      </c>
      <c r="J722">
        <f>IF(G722="PUBLICA(1)",1,IF(G722="USO INTERNO(2)",2,IF(G722="RESTRINGIDO(3)",3,0)))+IF(H722="BAJA(1)",1,IF(H722="MEDIA(2)",2,IF(H722="ALTA(3)",3,0)))+IF(I722="BAJA(1)",1,IF(I722="MEDIA(2)",2,IF(I722="ALTA(3)",3,0)))</f>
        <v/>
      </c>
      <c r="K722">
        <f>IF(J722="", "", IF(J722&gt;=8,"ALTA",IF(J722&gt;=6,"MEDIA","BAJA")))</f>
        <v/>
      </c>
      <c r="L722">
        <f>IF(INVENTARIO!Y722="","",INVENTARIO!Y722)</f>
        <v/>
      </c>
      <c r="M722">
        <f>IF(INVENTARIO!Z722="","",INVENTARIO!Z722)</f>
        <v/>
      </c>
      <c r="N722">
        <f>IF(INVENTARIO!AA722="","",INVENTARIO!AA722)</f>
        <v/>
      </c>
      <c r="O722">
        <f>IF(INVENTARIO!AB722="","",INVENTARIO!AB722)</f>
        <v/>
      </c>
      <c r="P722">
        <f>IF(INVENTARIO!AC722="","",INVENTARIO!AC722)</f>
        <v/>
      </c>
      <c r="Q722">
        <f>IF(AND(K722="",N722="",L722=""),"",IF(AND((K722="ALTA"),OR(LEFT(N722,2)="L0",LEFT(N722,2)="L1",L722="No Iniciado")),"CRÍTICO - Incumplimiento Normativo SEPS",IF(AND(OR(LEFT(N722,2)="L4",LEFT(N722,2)="L5"),AND(P722&lt;&gt;"",P722&lt;&gt;"N/A")),"CONFORME - Control Efectivo ISO 27001","OBSERVACIÓN - Revisar Controles")))</f>
        <v/>
      </c>
    </row>
    <row r="723">
      <c r="A723">
        <f>IF(INVENTARIO!A723="","",INVENTARIO!A723)</f>
        <v/>
      </c>
      <c r="B723">
        <f>IF(INVENTARIO!E723="","",INVENTARIO!E723)</f>
        <v/>
      </c>
      <c r="C723">
        <f>IF(INVENTARIO!F723="","",INVENTARIO!F723)</f>
        <v/>
      </c>
      <c r="D723">
        <f>IF(INVENTARIO!H723="","",INVENTARIO!H723)</f>
        <v/>
      </c>
      <c r="E723">
        <f>IF(INVENTARIO!I723="","",INVENTARIO!I723)</f>
        <v/>
      </c>
      <c r="F723">
        <f>IF(INVENTARIO!N723="","",INVENTARIO!N723)</f>
        <v/>
      </c>
      <c r="G723">
        <f>IF(INVENTARIO!P723="","",INVENTARIO!P723)</f>
        <v/>
      </c>
      <c r="H723">
        <f>IF(INVENTARIO!Q723="","",INVENTARIO!Q723)</f>
        <v/>
      </c>
      <c r="I723">
        <f>IF(INVENTARIO!R723="","",INVENTARIO!R723)</f>
        <v/>
      </c>
      <c r="J723">
        <f>IF(G723="PUBLICA(1)",1,IF(G723="USO INTERNO(2)",2,IF(G723="RESTRINGIDO(3)",3,0)))+IF(H723="BAJA(1)",1,IF(H723="MEDIA(2)",2,IF(H723="ALTA(3)",3,0)))+IF(I723="BAJA(1)",1,IF(I723="MEDIA(2)",2,IF(I723="ALTA(3)",3,0)))</f>
        <v/>
      </c>
      <c r="K723">
        <f>IF(J723="", "", IF(J723&gt;=8,"ALTA",IF(J723&gt;=6,"MEDIA","BAJA")))</f>
        <v/>
      </c>
      <c r="L723">
        <f>IF(INVENTARIO!Y723="","",INVENTARIO!Y723)</f>
        <v/>
      </c>
      <c r="M723">
        <f>IF(INVENTARIO!Z723="","",INVENTARIO!Z723)</f>
        <v/>
      </c>
      <c r="N723">
        <f>IF(INVENTARIO!AA723="","",INVENTARIO!AA723)</f>
        <v/>
      </c>
      <c r="O723">
        <f>IF(INVENTARIO!AB723="","",INVENTARIO!AB723)</f>
        <v/>
      </c>
      <c r="P723">
        <f>IF(INVENTARIO!AC723="","",INVENTARIO!AC723)</f>
        <v/>
      </c>
      <c r="Q723">
        <f>IF(AND(K723="",N723="",L723=""),"",IF(AND((K723="ALTA"),OR(LEFT(N723,2)="L0",LEFT(N723,2)="L1",L723="No Iniciado")),"CRÍTICO - Incumplimiento Normativo SEPS",IF(AND(OR(LEFT(N723,2)="L4",LEFT(N723,2)="L5"),AND(P723&lt;&gt;"",P723&lt;&gt;"N/A")),"CONFORME - Control Efectivo ISO 27001","OBSERVACIÓN - Revisar Controles")))</f>
        <v/>
      </c>
    </row>
    <row r="724">
      <c r="A724">
        <f>IF(INVENTARIO!A724="","",INVENTARIO!A724)</f>
        <v/>
      </c>
      <c r="B724">
        <f>IF(INVENTARIO!E724="","",INVENTARIO!E724)</f>
        <v/>
      </c>
      <c r="C724">
        <f>IF(INVENTARIO!F724="","",INVENTARIO!F724)</f>
        <v/>
      </c>
      <c r="D724">
        <f>IF(INVENTARIO!H724="","",INVENTARIO!H724)</f>
        <v/>
      </c>
      <c r="E724">
        <f>IF(INVENTARIO!I724="","",INVENTARIO!I724)</f>
        <v/>
      </c>
      <c r="F724">
        <f>IF(INVENTARIO!N724="","",INVENTARIO!N724)</f>
        <v/>
      </c>
      <c r="G724">
        <f>IF(INVENTARIO!P724="","",INVENTARIO!P724)</f>
        <v/>
      </c>
      <c r="H724">
        <f>IF(INVENTARIO!Q724="","",INVENTARIO!Q724)</f>
        <v/>
      </c>
      <c r="I724">
        <f>IF(INVENTARIO!R724="","",INVENTARIO!R724)</f>
        <v/>
      </c>
      <c r="J724">
        <f>IF(G724="PUBLICA(1)",1,IF(G724="USO INTERNO(2)",2,IF(G724="RESTRINGIDO(3)",3,0)))+IF(H724="BAJA(1)",1,IF(H724="MEDIA(2)",2,IF(H724="ALTA(3)",3,0)))+IF(I724="BAJA(1)",1,IF(I724="MEDIA(2)",2,IF(I724="ALTA(3)",3,0)))</f>
        <v/>
      </c>
      <c r="K724">
        <f>IF(J724="", "", IF(J724&gt;=8,"ALTA",IF(J724&gt;=6,"MEDIA","BAJA")))</f>
        <v/>
      </c>
      <c r="L724">
        <f>IF(INVENTARIO!Y724="","",INVENTARIO!Y724)</f>
        <v/>
      </c>
      <c r="M724">
        <f>IF(INVENTARIO!Z724="","",INVENTARIO!Z724)</f>
        <v/>
      </c>
      <c r="N724">
        <f>IF(INVENTARIO!AA724="","",INVENTARIO!AA724)</f>
        <v/>
      </c>
      <c r="O724">
        <f>IF(INVENTARIO!AB724="","",INVENTARIO!AB724)</f>
        <v/>
      </c>
      <c r="P724">
        <f>IF(INVENTARIO!AC724="","",INVENTARIO!AC724)</f>
        <v/>
      </c>
      <c r="Q724">
        <f>IF(AND(K724="",N724="",L724=""),"",IF(AND((K724="ALTA"),OR(LEFT(N724,2)="L0",LEFT(N724,2)="L1",L724="No Iniciado")),"CRÍTICO - Incumplimiento Normativo SEPS",IF(AND(OR(LEFT(N724,2)="L4",LEFT(N724,2)="L5"),AND(P724&lt;&gt;"",P724&lt;&gt;"N/A")),"CONFORME - Control Efectivo ISO 27001","OBSERVACIÓN - Revisar Controles")))</f>
        <v/>
      </c>
    </row>
    <row r="725">
      <c r="A725">
        <f>IF(INVENTARIO!A725="","",INVENTARIO!A725)</f>
        <v/>
      </c>
      <c r="B725">
        <f>IF(INVENTARIO!E725="","",INVENTARIO!E725)</f>
        <v/>
      </c>
      <c r="C725">
        <f>IF(INVENTARIO!F725="","",INVENTARIO!F725)</f>
        <v/>
      </c>
      <c r="D725">
        <f>IF(INVENTARIO!H725="","",INVENTARIO!H725)</f>
        <v/>
      </c>
      <c r="E725">
        <f>IF(INVENTARIO!I725="","",INVENTARIO!I725)</f>
        <v/>
      </c>
      <c r="F725">
        <f>IF(INVENTARIO!N725="","",INVENTARIO!N725)</f>
        <v/>
      </c>
      <c r="G725">
        <f>IF(INVENTARIO!P725="","",INVENTARIO!P725)</f>
        <v/>
      </c>
      <c r="H725">
        <f>IF(INVENTARIO!Q725="","",INVENTARIO!Q725)</f>
        <v/>
      </c>
      <c r="I725">
        <f>IF(INVENTARIO!R725="","",INVENTARIO!R725)</f>
        <v/>
      </c>
      <c r="J725">
        <f>IF(G725="PUBLICA(1)",1,IF(G725="USO INTERNO(2)",2,IF(G725="RESTRINGIDO(3)",3,0)))+IF(H725="BAJA(1)",1,IF(H725="MEDIA(2)",2,IF(H725="ALTA(3)",3,0)))+IF(I725="BAJA(1)",1,IF(I725="MEDIA(2)",2,IF(I725="ALTA(3)",3,0)))</f>
        <v/>
      </c>
      <c r="K725">
        <f>IF(J725="", "", IF(J725&gt;=8,"ALTA",IF(J725&gt;=6,"MEDIA","BAJA")))</f>
        <v/>
      </c>
      <c r="L725">
        <f>IF(INVENTARIO!Y725="","",INVENTARIO!Y725)</f>
        <v/>
      </c>
      <c r="M725">
        <f>IF(INVENTARIO!Z725="","",INVENTARIO!Z725)</f>
        <v/>
      </c>
      <c r="N725">
        <f>IF(INVENTARIO!AA725="","",INVENTARIO!AA725)</f>
        <v/>
      </c>
      <c r="O725">
        <f>IF(INVENTARIO!AB725="","",INVENTARIO!AB725)</f>
        <v/>
      </c>
      <c r="P725">
        <f>IF(INVENTARIO!AC725="","",INVENTARIO!AC725)</f>
        <v/>
      </c>
      <c r="Q725">
        <f>IF(AND(K725="",N725="",L725=""),"",IF(AND((K725="ALTA"),OR(LEFT(N725,2)="L0",LEFT(N725,2)="L1",L725="No Iniciado")),"CRÍTICO - Incumplimiento Normativo SEPS",IF(AND(OR(LEFT(N725,2)="L4",LEFT(N725,2)="L5"),AND(P725&lt;&gt;"",P725&lt;&gt;"N/A")),"CONFORME - Control Efectivo ISO 27001","OBSERVACIÓN - Revisar Controles")))</f>
        <v/>
      </c>
    </row>
    <row r="726">
      <c r="A726">
        <f>IF(INVENTARIO!A726="","",INVENTARIO!A726)</f>
        <v/>
      </c>
      <c r="B726">
        <f>IF(INVENTARIO!E726="","",INVENTARIO!E726)</f>
        <v/>
      </c>
      <c r="C726">
        <f>IF(INVENTARIO!F726="","",INVENTARIO!F726)</f>
        <v/>
      </c>
      <c r="D726">
        <f>IF(INVENTARIO!H726="","",INVENTARIO!H726)</f>
        <v/>
      </c>
      <c r="E726">
        <f>IF(INVENTARIO!I726="","",INVENTARIO!I726)</f>
        <v/>
      </c>
      <c r="F726">
        <f>IF(INVENTARIO!N726="","",INVENTARIO!N726)</f>
        <v/>
      </c>
      <c r="G726">
        <f>IF(INVENTARIO!P726="","",INVENTARIO!P726)</f>
        <v/>
      </c>
      <c r="H726">
        <f>IF(INVENTARIO!Q726="","",INVENTARIO!Q726)</f>
        <v/>
      </c>
      <c r="I726">
        <f>IF(INVENTARIO!R726="","",INVENTARIO!R726)</f>
        <v/>
      </c>
      <c r="J726">
        <f>IF(G726="PUBLICA(1)",1,IF(G726="USO INTERNO(2)",2,IF(G726="RESTRINGIDO(3)",3,0)))+IF(H726="BAJA(1)",1,IF(H726="MEDIA(2)",2,IF(H726="ALTA(3)",3,0)))+IF(I726="BAJA(1)",1,IF(I726="MEDIA(2)",2,IF(I726="ALTA(3)",3,0)))</f>
        <v/>
      </c>
      <c r="K726">
        <f>IF(J726="", "", IF(J726&gt;=8,"ALTA",IF(J726&gt;=6,"MEDIA","BAJA")))</f>
        <v/>
      </c>
      <c r="L726">
        <f>IF(INVENTARIO!Y726="","",INVENTARIO!Y726)</f>
        <v/>
      </c>
      <c r="M726">
        <f>IF(INVENTARIO!Z726="","",INVENTARIO!Z726)</f>
        <v/>
      </c>
      <c r="N726">
        <f>IF(INVENTARIO!AA726="","",INVENTARIO!AA726)</f>
        <v/>
      </c>
      <c r="O726">
        <f>IF(INVENTARIO!AB726="","",INVENTARIO!AB726)</f>
        <v/>
      </c>
      <c r="P726">
        <f>IF(INVENTARIO!AC726="","",INVENTARIO!AC726)</f>
        <v/>
      </c>
      <c r="Q726">
        <f>IF(AND(K726="",N726="",L726=""),"",IF(AND((K726="ALTA"),OR(LEFT(N726,2)="L0",LEFT(N726,2)="L1",L726="No Iniciado")),"CRÍTICO - Incumplimiento Normativo SEPS",IF(AND(OR(LEFT(N726,2)="L4",LEFT(N726,2)="L5"),AND(P726&lt;&gt;"",P726&lt;&gt;"N/A")),"CONFORME - Control Efectivo ISO 27001","OBSERVACIÓN - Revisar Controles")))</f>
        <v/>
      </c>
    </row>
    <row r="727">
      <c r="A727">
        <f>IF(INVENTARIO!A727="","",INVENTARIO!A727)</f>
        <v/>
      </c>
      <c r="B727">
        <f>IF(INVENTARIO!E727="","",INVENTARIO!E727)</f>
        <v/>
      </c>
      <c r="C727">
        <f>IF(INVENTARIO!F727="","",INVENTARIO!F727)</f>
        <v/>
      </c>
      <c r="D727">
        <f>IF(INVENTARIO!H727="","",INVENTARIO!H727)</f>
        <v/>
      </c>
      <c r="E727">
        <f>IF(INVENTARIO!I727="","",INVENTARIO!I727)</f>
        <v/>
      </c>
      <c r="F727">
        <f>IF(INVENTARIO!N727="","",INVENTARIO!N727)</f>
        <v/>
      </c>
      <c r="G727">
        <f>IF(INVENTARIO!P727="","",INVENTARIO!P727)</f>
        <v/>
      </c>
      <c r="H727">
        <f>IF(INVENTARIO!Q727="","",INVENTARIO!Q727)</f>
        <v/>
      </c>
      <c r="I727">
        <f>IF(INVENTARIO!R727="","",INVENTARIO!R727)</f>
        <v/>
      </c>
      <c r="J727">
        <f>IF(G727="PUBLICA(1)",1,IF(G727="USO INTERNO(2)",2,IF(G727="RESTRINGIDO(3)",3,0)))+IF(H727="BAJA(1)",1,IF(H727="MEDIA(2)",2,IF(H727="ALTA(3)",3,0)))+IF(I727="BAJA(1)",1,IF(I727="MEDIA(2)",2,IF(I727="ALTA(3)",3,0)))</f>
        <v/>
      </c>
      <c r="K727">
        <f>IF(J727="", "", IF(J727&gt;=8,"ALTA",IF(J727&gt;=6,"MEDIA","BAJA")))</f>
        <v/>
      </c>
      <c r="L727">
        <f>IF(INVENTARIO!Y727="","",INVENTARIO!Y727)</f>
        <v/>
      </c>
      <c r="M727">
        <f>IF(INVENTARIO!Z727="","",INVENTARIO!Z727)</f>
        <v/>
      </c>
      <c r="N727">
        <f>IF(INVENTARIO!AA727="","",INVENTARIO!AA727)</f>
        <v/>
      </c>
      <c r="O727">
        <f>IF(INVENTARIO!AB727="","",INVENTARIO!AB727)</f>
        <v/>
      </c>
      <c r="P727">
        <f>IF(INVENTARIO!AC727="","",INVENTARIO!AC727)</f>
        <v/>
      </c>
      <c r="Q727">
        <f>IF(AND(K727="",N727="",L727=""),"",IF(AND((K727="ALTA"),OR(LEFT(N727,2)="L0",LEFT(N727,2)="L1",L727="No Iniciado")),"CRÍTICO - Incumplimiento Normativo SEPS",IF(AND(OR(LEFT(N727,2)="L4",LEFT(N727,2)="L5"),AND(P727&lt;&gt;"",P727&lt;&gt;"N/A")),"CONFORME - Control Efectivo ISO 27001","OBSERVACIÓN - Revisar Controles")))</f>
        <v/>
      </c>
    </row>
    <row r="728">
      <c r="A728">
        <f>IF(INVENTARIO!A728="","",INVENTARIO!A728)</f>
        <v/>
      </c>
      <c r="B728">
        <f>IF(INVENTARIO!E728="","",INVENTARIO!E728)</f>
        <v/>
      </c>
      <c r="C728">
        <f>IF(INVENTARIO!F728="","",INVENTARIO!F728)</f>
        <v/>
      </c>
      <c r="D728">
        <f>IF(INVENTARIO!H728="","",INVENTARIO!H728)</f>
        <v/>
      </c>
      <c r="E728">
        <f>IF(INVENTARIO!I728="","",INVENTARIO!I728)</f>
        <v/>
      </c>
      <c r="F728">
        <f>IF(INVENTARIO!N728="","",INVENTARIO!N728)</f>
        <v/>
      </c>
      <c r="G728">
        <f>IF(INVENTARIO!P728="","",INVENTARIO!P728)</f>
        <v/>
      </c>
      <c r="H728">
        <f>IF(INVENTARIO!Q728="","",INVENTARIO!Q728)</f>
        <v/>
      </c>
      <c r="I728">
        <f>IF(INVENTARIO!R728="","",INVENTARIO!R728)</f>
        <v/>
      </c>
      <c r="J728">
        <f>IF(G728="PUBLICA(1)",1,IF(G728="USO INTERNO(2)",2,IF(G728="RESTRINGIDO(3)",3,0)))+IF(H728="BAJA(1)",1,IF(H728="MEDIA(2)",2,IF(H728="ALTA(3)",3,0)))+IF(I728="BAJA(1)",1,IF(I728="MEDIA(2)",2,IF(I728="ALTA(3)",3,0)))</f>
        <v/>
      </c>
      <c r="K728">
        <f>IF(J728="", "", IF(J728&gt;=8,"ALTA",IF(J728&gt;=6,"MEDIA","BAJA")))</f>
        <v/>
      </c>
      <c r="L728">
        <f>IF(INVENTARIO!Y728="","",INVENTARIO!Y728)</f>
        <v/>
      </c>
      <c r="M728">
        <f>IF(INVENTARIO!Z728="","",INVENTARIO!Z728)</f>
        <v/>
      </c>
      <c r="N728">
        <f>IF(INVENTARIO!AA728="","",INVENTARIO!AA728)</f>
        <v/>
      </c>
      <c r="O728">
        <f>IF(INVENTARIO!AB728="","",INVENTARIO!AB728)</f>
        <v/>
      </c>
      <c r="P728">
        <f>IF(INVENTARIO!AC728="","",INVENTARIO!AC728)</f>
        <v/>
      </c>
      <c r="Q728">
        <f>IF(AND(K728="",N728="",L728=""),"",IF(AND((K728="ALTA"),OR(LEFT(N728,2)="L0",LEFT(N728,2)="L1",L728="No Iniciado")),"CRÍTICO - Incumplimiento Normativo SEPS",IF(AND(OR(LEFT(N728,2)="L4",LEFT(N728,2)="L5"),AND(P728&lt;&gt;"",P728&lt;&gt;"N/A")),"CONFORME - Control Efectivo ISO 27001","OBSERVACIÓN - Revisar Controles")))</f>
        <v/>
      </c>
    </row>
    <row r="729">
      <c r="A729">
        <f>IF(INVENTARIO!A729="","",INVENTARIO!A729)</f>
        <v/>
      </c>
      <c r="B729">
        <f>IF(INVENTARIO!E729="","",INVENTARIO!E729)</f>
        <v/>
      </c>
      <c r="C729">
        <f>IF(INVENTARIO!F729="","",INVENTARIO!F729)</f>
        <v/>
      </c>
      <c r="D729">
        <f>IF(INVENTARIO!H729="","",INVENTARIO!H729)</f>
        <v/>
      </c>
      <c r="E729">
        <f>IF(INVENTARIO!I729="","",INVENTARIO!I729)</f>
        <v/>
      </c>
      <c r="F729">
        <f>IF(INVENTARIO!N729="","",INVENTARIO!N729)</f>
        <v/>
      </c>
      <c r="G729">
        <f>IF(INVENTARIO!P729="","",INVENTARIO!P729)</f>
        <v/>
      </c>
      <c r="H729">
        <f>IF(INVENTARIO!Q729="","",INVENTARIO!Q729)</f>
        <v/>
      </c>
      <c r="I729">
        <f>IF(INVENTARIO!R729="","",INVENTARIO!R729)</f>
        <v/>
      </c>
      <c r="J729">
        <f>IF(G729="PUBLICA(1)",1,IF(G729="USO INTERNO(2)",2,IF(G729="RESTRINGIDO(3)",3,0)))+IF(H729="BAJA(1)",1,IF(H729="MEDIA(2)",2,IF(H729="ALTA(3)",3,0)))+IF(I729="BAJA(1)",1,IF(I729="MEDIA(2)",2,IF(I729="ALTA(3)",3,0)))</f>
        <v/>
      </c>
      <c r="K729">
        <f>IF(J729="", "", IF(J729&gt;=8,"ALTA",IF(J729&gt;=6,"MEDIA","BAJA")))</f>
        <v/>
      </c>
      <c r="L729">
        <f>IF(INVENTARIO!Y729="","",INVENTARIO!Y729)</f>
        <v/>
      </c>
      <c r="M729">
        <f>IF(INVENTARIO!Z729="","",INVENTARIO!Z729)</f>
        <v/>
      </c>
      <c r="N729">
        <f>IF(INVENTARIO!AA729="","",INVENTARIO!AA729)</f>
        <v/>
      </c>
      <c r="O729">
        <f>IF(INVENTARIO!AB729="","",INVENTARIO!AB729)</f>
        <v/>
      </c>
      <c r="P729">
        <f>IF(INVENTARIO!AC729="","",INVENTARIO!AC729)</f>
        <v/>
      </c>
      <c r="Q729">
        <f>IF(AND(K729="",N729="",L729=""),"",IF(AND((K729="ALTA"),OR(LEFT(N729,2)="L0",LEFT(N729,2)="L1",L729="No Iniciado")),"CRÍTICO - Incumplimiento Normativo SEPS",IF(AND(OR(LEFT(N729,2)="L4",LEFT(N729,2)="L5"),AND(P729&lt;&gt;"",P729&lt;&gt;"N/A")),"CONFORME - Control Efectivo ISO 27001","OBSERVACIÓN - Revisar Controles")))</f>
        <v/>
      </c>
    </row>
    <row r="730">
      <c r="A730">
        <f>IF(INVENTARIO!A730="","",INVENTARIO!A730)</f>
        <v/>
      </c>
      <c r="B730">
        <f>IF(INVENTARIO!E730="","",INVENTARIO!E730)</f>
        <v/>
      </c>
      <c r="C730">
        <f>IF(INVENTARIO!F730="","",INVENTARIO!F730)</f>
        <v/>
      </c>
      <c r="D730">
        <f>IF(INVENTARIO!H730="","",INVENTARIO!H730)</f>
        <v/>
      </c>
      <c r="E730">
        <f>IF(INVENTARIO!I730="","",INVENTARIO!I730)</f>
        <v/>
      </c>
      <c r="F730">
        <f>IF(INVENTARIO!N730="","",INVENTARIO!N730)</f>
        <v/>
      </c>
      <c r="G730">
        <f>IF(INVENTARIO!P730="","",INVENTARIO!P730)</f>
        <v/>
      </c>
      <c r="H730">
        <f>IF(INVENTARIO!Q730="","",INVENTARIO!Q730)</f>
        <v/>
      </c>
      <c r="I730">
        <f>IF(INVENTARIO!R730="","",INVENTARIO!R730)</f>
        <v/>
      </c>
      <c r="J730">
        <f>IF(G730="PUBLICA(1)",1,IF(G730="USO INTERNO(2)",2,IF(G730="RESTRINGIDO(3)",3,0)))+IF(H730="BAJA(1)",1,IF(H730="MEDIA(2)",2,IF(H730="ALTA(3)",3,0)))+IF(I730="BAJA(1)",1,IF(I730="MEDIA(2)",2,IF(I730="ALTA(3)",3,0)))</f>
        <v/>
      </c>
      <c r="K730">
        <f>IF(J730="", "", IF(J730&gt;=8,"ALTA",IF(J730&gt;=6,"MEDIA","BAJA")))</f>
        <v/>
      </c>
      <c r="L730">
        <f>IF(INVENTARIO!Y730="","",INVENTARIO!Y730)</f>
        <v/>
      </c>
      <c r="M730">
        <f>IF(INVENTARIO!Z730="","",INVENTARIO!Z730)</f>
        <v/>
      </c>
      <c r="N730">
        <f>IF(INVENTARIO!AA730="","",INVENTARIO!AA730)</f>
        <v/>
      </c>
      <c r="O730">
        <f>IF(INVENTARIO!AB730="","",INVENTARIO!AB730)</f>
        <v/>
      </c>
      <c r="P730">
        <f>IF(INVENTARIO!AC730="","",INVENTARIO!AC730)</f>
        <v/>
      </c>
      <c r="Q730">
        <f>IF(AND(K730="",N730="",L730=""),"",IF(AND((K730="ALTA"),OR(LEFT(N730,2)="L0",LEFT(N730,2)="L1",L730="No Iniciado")),"CRÍTICO - Incumplimiento Normativo SEPS",IF(AND(OR(LEFT(N730,2)="L4",LEFT(N730,2)="L5"),AND(P730&lt;&gt;"",P730&lt;&gt;"N/A")),"CONFORME - Control Efectivo ISO 27001","OBSERVACIÓN - Revisar Controles")))</f>
        <v/>
      </c>
    </row>
    <row r="731">
      <c r="A731">
        <f>IF(INVENTARIO!A731="","",INVENTARIO!A731)</f>
        <v/>
      </c>
      <c r="B731">
        <f>IF(INVENTARIO!E731="","",INVENTARIO!E731)</f>
        <v/>
      </c>
      <c r="C731">
        <f>IF(INVENTARIO!F731="","",INVENTARIO!F731)</f>
        <v/>
      </c>
      <c r="D731">
        <f>IF(INVENTARIO!H731="","",INVENTARIO!H731)</f>
        <v/>
      </c>
      <c r="E731">
        <f>IF(INVENTARIO!I731="","",INVENTARIO!I731)</f>
        <v/>
      </c>
      <c r="F731">
        <f>IF(INVENTARIO!N731="","",INVENTARIO!N731)</f>
        <v/>
      </c>
      <c r="G731">
        <f>IF(INVENTARIO!P731="","",INVENTARIO!P731)</f>
        <v/>
      </c>
      <c r="H731">
        <f>IF(INVENTARIO!Q731="","",INVENTARIO!Q731)</f>
        <v/>
      </c>
      <c r="I731">
        <f>IF(INVENTARIO!R731="","",INVENTARIO!R731)</f>
        <v/>
      </c>
      <c r="J731">
        <f>IF(G731="PUBLICA(1)",1,IF(G731="USO INTERNO(2)",2,IF(G731="RESTRINGIDO(3)",3,0)))+IF(H731="BAJA(1)",1,IF(H731="MEDIA(2)",2,IF(H731="ALTA(3)",3,0)))+IF(I731="BAJA(1)",1,IF(I731="MEDIA(2)",2,IF(I731="ALTA(3)",3,0)))</f>
        <v/>
      </c>
      <c r="K731">
        <f>IF(J731="", "", IF(J731&gt;=8,"ALTA",IF(J731&gt;=6,"MEDIA","BAJA")))</f>
        <v/>
      </c>
      <c r="L731">
        <f>IF(INVENTARIO!Y731="","",INVENTARIO!Y731)</f>
        <v/>
      </c>
      <c r="M731">
        <f>IF(INVENTARIO!Z731="","",INVENTARIO!Z731)</f>
        <v/>
      </c>
      <c r="N731">
        <f>IF(INVENTARIO!AA731="","",INVENTARIO!AA731)</f>
        <v/>
      </c>
      <c r="O731">
        <f>IF(INVENTARIO!AB731="","",INVENTARIO!AB731)</f>
        <v/>
      </c>
      <c r="P731">
        <f>IF(INVENTARIO!AC731="","",INVENTARIO!AC731)</f>
        <v/>
      </c>
      <c r="Q731">
        <f>IF(AND(K731="",N731="",L731=""),"",IF(AND((K731="ALTA"),OR(LEFT(N731,2)="L0",LEFT(N731,2)="L1",L731="No Iniciado")),"CRÍTICO - Incumplimiento Normativo SEPS",IF(AND(OR(LEFT(N731,2)="L4",LEFT(N731,2)="L5"),AND(P731&lt;&gt;"",P731&lt;&gt;"N/A")),"CONFORME - Control Efectivo ISO 27001","OBSERVACIÓN - Revisar Controles")))</f>
        <v/>
      </c>
    </row>
    <row r="732">
      <c r="A732">
        <f>IF(INVENTARIO!A732="","",INVENTARIO!A732)</f>
        <v/>
      </c>
      <c r="B732">
        <f>IF(INVENTARIO!E732="","",INVENTARIO!E732)</f>
        <v/>
      </c>
      <c r="C732">
        <f>IF(INVENTARIO!F732="","",INVENTARIO!F732)</f>
        <v/>
      </c>
      <c r="D732">
        <f>IF(INVENTARIO!H732="","",INVENTARIO!H732)</f>
        <v/>
      </c>
      <c r="E732">
        <f>IF(INVENTARIO!I732="","",INVENTARIO!I732)</f>
        <v/>
      </c>
      <c r="F732">
        <f>IF(INVENTARIO!N732="","",INVENTARIO!N732)</f>
        <v/>
      </c>
      <c r="G732">
        <f>IF(INVENTARIO!P732="","",INVENTARIO!P732)</f>
        <v/>
      </c>
      <c r="H732">
        <f>IF(INVENTARIO!Q732="","",INVENTARIO!Q732)</f>
        <v/>
      </c>
      <c r="I732">
        <f>IF(INVENTARIO!R732="","",INVENTARIO!R732)</f>
        <v/>
      </c>
      <c r="J732">
        <f>IF(G732="PUBLICA(1)",1,IF(G732="USO INTERNO(2)",2,IF(G732="RESTRINGIDO(3)",3,0)))+IF(H732="BAJA(1)",1,IF(H732="MEDIA(2)",2,IF(H732="ALTA(3)",3,0)))+IF(I732="BAJA(1)",1,IF(I732="MEDIA(2)",2,IF(I732="ALTA(3)",3,0)))</f>
        <v/>
      </c>
      <c r="K732">
        <f>IF(J732="", "", IF(J732&gt;=8,"ALTA",IF(J732&gt;=6,"MEDIA","BAJA")))</f>
        <v/>
      </c>
      <c r="L732">
        <f>IF(INVENTARIO!Y732="","",INVENTARIO!Y732)</f>
        <v/>
      </c>
      <c r="M732">
        <f>IF(INVENTARIO!Z732="","",INVENTARIO!Z732)</f>
        <v/>
      </c>
      <c r="N732">
        <f>IF(INVENTARIO!AA732="","",INVENTARIO!AA732)</f>
        <v/>
      </c>
      <c r="O732">
        <f>IF(INVENTARIO!AB732="","",INVENTARIO!AB732)</f>
        <v/>
      </c>
      <c r="P732">
        <f>IF(INVENTARIO!AC732="","",INVENTARIO!AC732)</f>
        <v/>
      </c>
      <c r="Q732">
        <f>IF(AND(K732="",N732="",L732=""),"",IF(AND((K732="ALTA"),OR(LEFT(N732,2)="L0",LEFT(N732,2)="L1",L732="No Iniciado")),"CRÍTICO - Incumplimiento Normativo SEPS",IF(AND(OR(LEFT(N732,2)="L4",LEFT(N732,2)="L5"),AND(P732&lt;&gt;"",P732&lt;&gt;"N/A")),"CONFORME - Control Efectivo ISO 27001","OBSERVACIÓN - Revisar Controles")))</f>
        <v/>
      </c>
    </row>
    <row r="733">
      <c r="A733">
        <f>IF(INVENTARIO!A733="","",INVENTARIO!A733)</f>
        <v/>
      </c>
      <c r="B733">
        <f>IF(INVENTARIO!E733="","",INVENTARIO!E733)</f>
        <v/>
      </c>
      <c r="C733">
        <f>IF(INVENTARIO!F733="","",INVENTARIO!F733)</f>
        <v/>
      </c>
      <c r="D733">
        <f>IF(INVENTARIO!H733="","",INVENTARIO!H733)</f>
        <v/>
      </c>
      <c r="E733">
        <f>IF(INVENTARIO!I733="","",INVENTARIO!I733)</f>
        <v/>
      </c>
      <c r="F733">
        <f>IF(INVENTARIO!N733="","",INVENTARIO!N733)</f>
        <v/>
      </c>
      <c r="G733">
        <f>IF(INVENTARIO!P733="","",INVENTARIO!P733)</f>
        <v/>
      </c>
      <c r="H733">
        <f>IF(INVENTARIO!Q733="","",INVENTARIO!Q733)</f>
        <v/>
      </c>
      <c r="I733">
        <f>IF(INVENTARIO!R733="","",INVENTARIO!R733)</f>
        <v/>
      </c>
      <c r="J733">
        <f>IF(G733="PUBLICA(1)",1,IF(G733="USO INTERNO(2)",2,IF(G733="RESTRINGIDO(3)",3,0)))+IF(H733="BAJA(1)",1,IF(H733="MEDIA(2)",2,IF(H733="ALTA(3)",3,0)))+IF(I733="BAJA(1)",1,IF(I733="MEDIA(2)",2,IF(I733="ALTA(3)",3,0)))</f>
        <v/>
      </c>
      <c r="K733">
        <f>IF(J733="", "", IF(J733&gt;=8,"ALTA",IF(J733&gt;=6,"MEDIA","BAJA")))</f>
        <v/>
      </c>
      <c r="L733">
        <f>IF(INVENTARIO!Y733="","",INVENTARIO!Y733)</f>
        <v/>
      </c>
      <c r="M733">
        <f>IF(INVENTARIO!Z733="","",INVENTARIO!Z733)</f>
        <v/>
      </c>
      <c r="N733">
        <f>IF(INVENTARIO!AA733="","",INVENTARIO!AA733)</f>
        <v/>
      </c>
      <c r="O733">
        <f>IF(INVENTARIO!AB733="","",INVENTARIO!AB733)</f>
        <v/>
      </c>
      <c r="P733">
        <f>IF(INVENTARIO!AC733="","",INVENTARIO!AC733)</f>
        <v/>
      </c>
      <c r="Q733">
        <f>IF(AND(K733="",N733="",L733=""),"",IF(AND((K733="ALTA"),OR(LEFT(N733,2)="L0",LEFT(N733,2)="L1",L733="No Iniciado")),"CRÍTICO - Incumplimiento Normativo SEPS",IF(AND(OR(LEFT(N733,2)="L4",LEFT(N733,2)="L5"),AND(P733&lt;&gt;"",P733&lt;&gt;"N/A")),"CONFORME - Control Efectivo ISO 27001","OBSERVACIÓN - Revisar Controles")))</f>
        <v/>
      </c>
    </row>
    <row r="734">
      <c r="A734">
        <f>IF(INVENTARIO!A734="","",INVENTARIO!A734)</f>
        <v/>
      </c>
      <c r="B734">
        <f>IF(INVENTARIO!E734="","",INVENTARIO!E734)</f>
        <v/>
      </c>
      <c r="C734">
        <f>IF(INVENTARIO!F734="","",INVENTARIO!F734)</f>
        <v/>
      </c>
      <c r="D734">
        <f>IF(INVENTARIO!H734="","",INVENTARIO!H734)</f>
        <v/>
      </c>
      <c r="E734">
        <f>IF(INVENTARIO!I734="","",INVENTARIO!I734)</f>
        <v/>
      </c>
      <c r="F734">
        <f>IF(INVENTARIO!N734="","",INVENTARIO!N734)</f>
        <v/>
      </c>
      <c r="G734">
        <f>IF(INVENTARIO!P734="","",INVENTARIO!P734)</f>
        <v/>
      </c>
      <c r="H734">
        <f>IF(INVENTARIO!Q734="","",INVENTARIO!Q734)</f>
        <v/>
      </c>
      <c r="I734">
        <f>IF(INVENTARIO!R734="","",INVENTARIO!R734)</f>
        <v/>
      </c>
      <c r="J734">
        <f>IF(G734="PUBLICA(1)",1,IF(G734="USO INTERNO(2)",2,IF(G734="RESTRINGIDO(3)",3,0)))+IF(H734="BAJA(1)",1,IF(H734="MEDIA(2)",2,IF(H734="ALTA(3)",3,0)))+IF(I734="BAJA(1)",1,IF(I734="MEDIA(2)",2,IF(I734="ALTA(3)",3,0)))</f>
        <v/>
      </c>
      <c r="K734">
        <f>IF(J734="", "", IF(J734&gt;=8,"ALTA",IF(J734&gt;=6,"MEDIA","BAJA")))</f>
        <v/>
      </c>
      <c r="L734">
        <f>IF(INVENTARIO!Y734="","",INVENTARIO!Y734)</f>
        <v/>
      </c>
      <c r="M734">
        <f>IF(INVENTARIO!Z734="","",INVENTARIO!Z734)</f>
        <v/>
      </c>
      <c r="N734">
        <f>IF(INVENTARIO!AA734="","",INVENTARIO!AA734)</f>
        <v/>
      </c>
      <c r="O734">
        <f>IF(INVENTARIO!AB734="","",INVENTARIO!AB734)</f>
        <v/>
      </c>
      <c r="P734">
        <f>IF(INVENTARIO!AC734="","",INVENTARIO!AC734)</f>
        <v/>
      </c>
      <c r="Q734">
        <f>IF(AND(K734="",N734="",L734=""),"",IF(AND((K734="ALTA"),OR(LEFT(N734,2)="L0",LEFT(N734,2)="L1",L734="No Iniciado")),"CRÍTICO - Incumplimiento Normativo SEPS",IF(AND(OR(LEFT(N734,2)="L4",LEFT(N734,2)="L5"),AND(P734&lt;&gt;"",P734&lt;&gt;"N/A")),"CONFORME - Control Efectivo ISO 27001","OBSERVACIÓN - Revisar Controles")))</f>
        <v/>
      </c>
    </row>
    <row r="735">
      <c r="A735">
        <f>IF(INVENTARIO!A735="","",INVENTARIO!A735)</f>
        <v/>
      </c>
      <c r="B735">
        <f>IF(INVENTARIO!E735="","",INVENTARIO!E735)</f>
        <v/>
      </c>
      <c r="C735">
        <f>IF(INVENTARIO!F735="","",INVENTARIO!F735)</f>
        <v/>
      </c>
      <c r="D735">
        <f>IF(INVENTARIO!H735="","",INVENTARIO!H735)</f>
        <v/>
      </c>
      <c r="E735">
        <f>IF(INVENTARIO!I735="","",INVENTARIO!I735)</f>
        <v/>
      </c>
      <c r="F735">
        <f>IF(INVENTARIO!N735="","",INVENTARIO!N735)</f>
        <v/>
      </c>
      <c r="G735">
        <f>IF(INVENTARIO!P735="","",INVENTARIO!P735)</f>
        <v/>
      </c>
      <c r="H735">
        <f>IF(INVENTARIO!Q735="","",INVENTARIO!Q735)</f>
        <v/>
      </c>
      <c r="I735">
        <f>IF(INVENTARIO!R735="","",INVENTARIO!R735)</f>
        <v/>
      </c>
      <c r="J735">
        <f>IF(G735="PUBLICA(1)",1,IF(G735="USO INTERNO(2)",2,IF(G735="RESTRINGIDO(3)",3,0)))+IF(H735="BAJA(1)",1,IF(H735="MEDIA(2)",2,IF(H735="ALTA(3)",3,0)))+IF(I735="BAJA(1)",1,IF(I735="MEDIA(2)",2,IF(I735="ALTA(3)",3,0)))</f>
        <v/>
      </c>
      <c r="K735">
        <f>IF(J735="", "", IF(J735&gt;=8,"ALTA",IF(J735&gt;=6,"MEDIA","BAJA")))</f>
        <v/>
      </c>
      <c r="L735">
        <f>IF(INVENTARIO!Y735="","",INVENTARIO!Y735)</f>
        <v/>
      </c>
      <c r="M735">
        <f>IF(INVENTARIO!Z735="","",INVENTARIO!Z735)</f>
        <v/>
      </c>
      <c r="N735">
        <f>IF(INVENTARIO!AA735="","",INVENTARIO!AA735)</f>
        <v/>
      </c>
      <c r="O735">
        <f>IF(INVENTARIO!AB735="","",INVENTARIO!AB735)</f>
        <v/>
      </c>
      <c r="P735">
        <f>IF(INVENTARIO!AC735="","",INVENTARIO!AC735)</f>
        <v/>
      </c>
      <c r="Q735">
        <f>IF(AND(K735="",N735="",L735=""),"",IF(AND((K735="ALTA"),OR(LEFT(N735,2)="L0",LEFT(N735,2)="L1",L735="No Iniciado")),"CRÍTICO - Incumplimiento Normativo SEPS",IF(AND(OR(LEFT(N735,2)="L4",LEFT(N735,2)="L5"),AND(P735&lt;&gt;"",P735&lt;&gt;"N/A")),"CONFORME - Control Efectivo ISO 27001","OBSERVACIÓN - Revisar Controles")))</f>
        <v/>
      </c>
    </row>
    <row r="736">
      <c r="A736">
        <f>IF(INVENTARIO!A736="","",INVENTARIO!A736)</f>
        <v/>
      </c>
      <c r="B736">
        <f>IF(INVENTARIO!E736="","",INVENTARIO!E736)</f>
        <v/>
      </c>
      <c r="C736">
        <f>IF(INVENTARIO!F736="","",INVENTARIO!F736)</f>
        <v/>
      </c>
      <c r="D736">
        <f>IF(INVENTARIO!H736="","",INVENTARIO!H736)</f>
        <v/>
      </c>
      <c r="E736">
        <f>IF(INVENTARIO!I736="","",INVENTARIO!I736)</f>
        <v/>
      </c>
      <c r="F736">
        <f>IF(INVENTARIO!N736="","",INVENTARIO!N736)</f>
        <v/>
      </c>
      <c r="G736">
        <f>IF(INVENTARIO!P736="","",INVENTARIO!P736)</f>
        <v/>
      </c>
      <c r="H736">
        <f>IF(INVENTARIO!Q736="","",INVENTARIO!Q736)</f>
        <v/>
      </c>
      <c r="I736">
        <f>IF(INVENTARIO!R736="","",INVENTARIO!R736)</f>
        <v/>
      </c>
      <c r="J736">
        <f>IF(G736="PUBLICA(1)",1,IF(G736="USO INTERNO(2)",2,IF(G736="RESTRINGIDO(3)",3,0)))+IF(H736="BAJA(1)",1,IF(H736="MEDIA(2)",2,IF(H736="ALTA(3)",3,0)))+IF(I736="BAJA(1)",1,IF(I736="MEDIA(2)",2,IF(I736="ALTA(3)",3,0)))</f>
        <v/>
      </c>
      <c r="K736">
        <f>IF(J736="", "", IF(J736&gt;=8,"ALTA",IF(J736&gt;=6,"MEDIA","BAJA")))</f>
        <v/>
      </c>
      <c r="L736">
        <f>IF(INVENTARIO!Y736="","",INVENTARIO!Y736)</f>
        <v/>
      </c>
      <c r="M736">
        <f>IF(INVENTARIO!Z736="","",INVENTARIO!Z736)</f>
        <v/>
      </c>
      <c r="N736">
        <f>IF(INVENTARIO!AA736="","",INVENTARIO!AA736)</f>
        <v/>
      </c>
      <c r="O736">
        <f>IF(INVENTARIO!AB736="","",INVENTARIO!AB736)</f>
        <v/>
      </c>
      <c r="P736">
        <f>IF(INVENTARIO!AC736="","",INVENTARIO!AC736)</f>
        <v/>
      </c>
      <c r="Q736">
        <f>IF(AND(K736="",N736="",L736=""),"",IF(AND((K736="ALTA"),OR(LEFT(N736,2)="L0",LEFT(N736,2)="L1",L736="No Iniciado")),"CRÍTICO - Incumplimiento Normativo SEPS",IF(AND(OR(LEFT(N736,2)="L4",LEFT(N736,2)="L5"),AND(P736&lt;&gt;"",P736&lt;&gt;"N/A")),"CONFORME - Control Efectivo ISO 27001","OBSERVACIÓN - Revisar Controles")))</f>
        <v/>
      </c>
    </row>
    <row r="737">
      <c r="A737">
        <f>IF(INVENTARIO!A737="","",INVENTARIO!A737)</f>
        <v/>
      </c>
      <c r="B737">
        <f>IF(INVENTARIO!E737="","",INVENTARIO!E737)</f>
        <v/>
      </c>
      <c r="C737">
        <f>IF(INVENTARIO!F737="","",INVENTARIO!F737)</f>
        <v/>
      </c>
      <c r="D737">
        <f>IF(INVENTARIO!H737="","",INVENTARIO!H737)</f>
        <v/>
      </c>
      <c r="E737">
        <f>IF(INVENTARIO!I737="","",INVENTARIO!I737)</f>
        <v/>
      </c>
      <c r="F737">
        <f>IF(INVENTARIO!N737="","",INVENTARIO!N737)</f>
        <v/>
      </c>
      <c r="G737">
        <f>IF(INVENTARIO!P737="","",INVENTARIO!P737)</f>
        <v/>
      </c>
      <c r="H737">
        <f>IF(INVENTARIO!Q737="","",INVENTARIO!Q737)</f>
        <v/>
      </c>
      <c r="I737">
        <f>IF(INVENTARIO!R737="","",INVENTARIO!R737)</f>
        <v/>
      </c>
      <c r="J737">
        <f>IF(G737="PUBLICA(1)",1,IF(G737="USO INTERNO(2)",2,IF(G737="RESTRINGIDO(3)",3,0)))+IF(H737="BAJA(1)",1,IF(H737="MEDIA(2)",2,IF(H737="ALTA(3)",3,0)))+IF(I737="BAJA(1)",1,IF(I737="MEDIA(2)",2,IF(I737="ALTA(3)",3,0)))</f>
        <v/>
      </c>
      <c r="K737">
        <f>IF(J737="", "", IF(J737&gt;=8,"ALTA",IF(J737&gt;=6,"MEDIA","BAJA")))</f>
        <v/>
      </c>
      <c r="L737">
        <f>IF(INVENTARIO!Y737="","",INVENTARIO!Y737)</f>
        <v/>
      </c>
      <c r="M737">
        <f>IF(INVENTARIO!Z737="","",INVENTARIO!Z737)</f>
        <v/>
      </c>
      <c r="N737">
        <f>IF(INVENTARIO!AA737="","",INVENTARIO!AA737)</f>
        <v/>
      </c>
      <c r="O737">
        <f>IF(INVENTARIO!AB737="","",INVENTARIO!AB737)</f>
        <v/>
      </c>
      <c r="P737">
        <f>IF(INVENTARIO!AC737="","",INVENTARIO!AC737)</f>
        <v/>
      </c>
      <c r="Q737">
        <f>IF(AND(K737="",N737="",L737=""),"",IF(AND((K737="ALTA"),OR(LEFT(N737,2)="L0",LEFT(N737,2)="L1",L737="No Iniciado")),"CRÍTICO - Incumplimiento Normativo SEPS",IF(AND(OR(LEFT(N737,2)="L4",LEFT(N737,2)="L5"),AND(P737&lt;&gt;"",P737&lt;&gt;"N/A")),"CONFORME - Control Efectivo ISO 27001","OBSERVACIÓN - Revisar Controles")))</f>
        <v/>
      </c>
    </row>
    <row r="738">
      <c r="A738">
        <f>IF(INVENTARIO!A738="","",INVENTARIO!A738)</f>
        <v/>
      </c>
      <c r="B738">
        <f>IF(INVENTARIO!E738="","",INVENTARIO!E738)</f>
        <v/>
      </c>
      <c r="C738">
        <f>IF(INVENTARIO!F738="","",INVENTARIO!F738)</f>
        <v/>
      </c>
      <c r="D738">
        <f>IF(INVENTARIO!H738="","",INVENTARIO!H738)</f>
        <v/>
      </c>
      <c r="E738">
        <f>IF(INVENTARIO!I738="","",INVENTARIO!I738)</f>
        <v/>
      </c>
      <c r="F738">
        <f>IF(INVENTARIO!N738="","",INVENTARIO!N738)</f>
        <v/>
      </c>
      <c r="G738">
        <f>IF(INVENTARIO!P738="","",INVENTARIO!P738)</f>
        <v/>
      </c>
      <c r="H738">
        <f>IF(INVENTARIO!Q738="","",INVENTARIO!Q738)</f>
        <v/>
      </c>
      <c r="I738">
        <f>IF(INVENTARIO!R738="","",INVENTARIO!R738)</f>
        <v/>
      </c>
      <c r="J738">
        <f>IF(G738="PUBLICA(1)",1,IF(G738="USO INTERNO(2)",2,IF(G738="RESTRINGIDO(3)",3,0)))+IF(H738="BAJA(1)",1,IF(H738="MEDIA(2)",2,IF(H738="ALTA(3)",3,0)))+IF(I738="BAJA(1)",1,IF(I738="MEDIA(2)",2,IF(I738="ALTA(3)",3,0)))</f>
        <v/>
      </c>
      <c r="K738">
        <f>IF(J738="", "", IF(J738&gt;=8,"ALTA",IF(J738&gt;=6,"MEDIA","BAJA")))</f>
        <v/>
      </c>
      <c r="L738">
        <f>IF(INVENTARIO!Y738="","",INVENTARIO!Y738)</f>
        <v/>
      </c>
      <c r="M738">
        <f>IF(INVENTARIO!Z738="","",INVENTARIO!Z738)</f>
        <v/>
      </c>
      <c r="N738">
        <f>IF(INVENTARIO!AA738="","",INVENTARIO!AA738)</f>
        <v/>
      </c>
      <c r="O738">
        <f>IF(INVENTARIO!AB738="","",INVENTARIO!AB738)</f>
        <v/>
      </c>
      <c r="P738">
        <f>IF(INVENTARIO!AC738="","",INVENTARIO!AC738)</f>
        <v/>
      </c>
      <c r="Q738">
        <f>IF(AND(K738="",N738="",L738=""),"",IF(AND((K738="ALTA"),OR(LEFT(N738,2)="L0",LEFT(N738,2)="L1",L738="No Iniciado")),"CRÍTICO - Incumplimiento Normativo SEPS",IF(AND(OR(LEFT(N738,2)="L4",LEFT(N738,2)="L5"),AND(P738&lt;&gt;"",P738&lt;&gt;"N/A")),"CONFORME - Control Efectivo ISO 27001","OBSERVACIÓN - Revisar Controles")))</f>
        <v/>
      </c>
    </row>
    <row r="739">
      <c r="A739">
        <f>IF(INVENTARIO!A739="","",INVENTARIO!A739)</f>
        <v/>
      </c>
      <c r="B739">
        <f>IF(INVENTARIO!E739="","",INVENTARIO!E739)</f>
        <v/>
      </c>
      <c r="C739">
        <f>IF(INVENTARIO!F739="","",INVENTARIO!F739)</f>
        <v/>
      </c>
      <c r="D739">
        <f>IF(INVENTARIO!H739="","",INVENTARIO!H739)</f>
        <v/>
      </c>
      <c r="E739">
        <f>IF(INVENTARIO!I739="","",INVENTARIO!I739)</f>
        <v/>
      </c>
      <c r="F739">
        <f>IF(INVENTARIO!N739="","",INVENTARIO!N739)</f>
        <v/>
      </c>
      <c r="G739">
        <f>IF(INVENTARIO!P739="","",INVENTARIO!P739)</f>
        <v/>
      </c>
      <c r="H739">
        <f>IF(INVENTARIO!Q739="","",INVENTARIO!Q739)</f>
        <v/>
      </c>
      <c r="I739">
        <f>IF(INVENTARIO!R739="","",INVENTARIO!R739)</f>
        <v/>
      </c>
      <c r="J739">
        <f>IF(G739="PUBLICA(1)",1,IF(G739="USO INTERNO(2)",2,IF(G739="RESTRINGIDO(3)",3,0)))+IF(H739="BAJA(1)",1,IF(H739="MEDIA(2)",2,IF(H739="ALTA(3)",3,0)))+IF(I739="BAJA(1)",1,IF(I739="MEDIA(2)",2,IF(I739="ALTA(3)",3,0)))</f>
        <v/>
      </c>
      <c r="K739">
        <f>IF(J739="", "", IF(J739&gt;=8,"ALTA",IF(J739&gt;=6,"MEDIA","BAJA")))</f>
        <v/>
      </c>
      <c r="L739">
        <f>IF(INVENTARIO!Y739="","",INVENTARIO!Y739)</f>
        <v/>
      </c>
      <c r="M739">
        <f>IF(INVENTARIO!Z739="","",INVENTARIO!Z739)</f>
        <v/>
      </c>
      <c r="N739">
        <f>IF(INVENTARIO!AA739="","",INVENTARIO!AA739)</f>
        <v/>
      </c>
      <c r="O739">
        <f>IF(INVENTARIO!AB739="","",INVENTARIO!AB739)</f>
        <v/>
      </c>
      <c r="P739">
        <f>IF(INVENTARIO!AC739="","",INVENTARIO!AC739)</f>
        <v/>
      </c>
      <c r="Q739">
        <f>IF(AND(K739="",N739="",L739=""),"",IF(AND((K739="ALTA"),OR(LEFT(N739,2)="L0",LEFT(N739,2)="L1",L739="No Iniciado")),"CRÍTICO - Incumplimiento Normativo SEPS",IF(AND(OR(LEFT(N739,2)="L4",LEFT(N739,2)="L5"),AND(P739&lt;&gt;"",P739&lt;&gt;"N/A")),"CONFORME - Control Efectivo ISO 27001","OBSERVACIÓN - Revisar Controles")))</f>
        <v/>
      </c>
    </row>
    <row r="740">
      <c r="A740">
        <f>IF(INVENTARIO!A740="","",INVENTARIO!A740)</f>
        <v/>
      </c>
      <c r="B740">
        <f>IF(INVENTARIO!E740="","",INVENTARIO!E740)</f>
        <v/>
      </c>
      <c r="C740">
        <f>IF(INVENTARIO!F740="","",INVENTARIO!F740)</f>
        <v/>
      </c>
      <c r="D740">
        <f>IF(INVENTARIO!H740="","",INVENTARIO!H740)</f>
        <v/>
      </c>
      <c r="E740">
        <f>IF(INVENTARIO!I740="","",INVENTARIO!I740)</f>
        <v/>
      </c>
      <c r="F740">
        <f>IF(INVENTARIO!N740="","",INVENTARIO!N740)</f>
        <v/>
      </c>
      <c r="G740">
        <f>IF(INVENTARIO!P740="","",INVENTARIO!P740)</f>
        <v/>
      </c>
      <c r="H740">
        <f>IF(INVENTARIO!Q740="","",INVENTARIO!Q740)</f>
        <v/>
      </c>
      <c r="I740">
        <f>IF(INVENTARIO!R740="","",INVENTARIO!R740)</f>
        <v/>
      </c>
      <c r="J740">
        <f>IF(G740="PUBLICA(1)",1,IF(G740="USO INTERNO(2)",2,IF(G740="RESTRINGIDO(3)",3,0)))+IF(H740="BAJA(1)",1,IF(H740="MEDIA(2)",2,IF(H740="ALTA(3)",3,0)))+IF(I740="BAJA(1)",1,IF(I740="MEDIA(2)",2,IF(I740="ALTA(3)",3,0)))</f>
        <v/>
      </c>
      <c r="K740">
        <f>IF(J740="", "", IF(J740&gt;=8,"ALTA",IF(J740&gt;=6,"MEDIA","BAJA")))</f>
        <v/>
      </c>
      <c r="L740">
        <f>IF(INVENTARIO!Y740="","",INVENTARIO!Y740)</f>
        <v/>
      </c>
      <c r="M740">
        <f>IF(INVENTARIO!Z740="","",INVENTARIO!Z740)</f>
        <v/>
      </c>
      <c r="N740">
        <f>IF(INVENTARIO!AA740="","",INVENTARIO!AA740)</f>
        <v/>
      </c>
      <c r="O740">
        <f>IF(INVENTARIO!AB740="","",INVENTARIO!AB740)</f>
        <v/>
      </c>
      <c r="P740">
        <f>IF(INVENTARIO!AC740="","",INVENTARIO!AC740)</f>
        <v/>
      </c>
      <c r="Q740">
        <f>IF(AND(K740="",N740="",L740=""),"",IF(AND((K740="ALTA"),OR(LEFT(N740,2)="L0",LEFT(N740,2)="L1",L740="No Iniciado")),"CRÍTICO - Incumplimiento Normativo SEPS",IF(AND(OR(LEFT(N740,2)="L4",LEFT(N740,2)="L5"),AND(P740&lt;&gt;"",P740&lt;&gt;"N/A")),"CONFORME - Control Efectivo ISO 27001","OBSERVACIÓN - Revisar Controles")))</f>
        <v/>
      </c>
    </row>
    <row r="741">
      <c r="A741">
        <f>IF(INVENTARIO!A741="","",INVENTARIO!A741)</f>
        <v/>
      </c>
      <c r="B741">
        <f>IF(INVENTARIO!E741="","",INVENTARIO!E741)</f>
        <v/>
      </c>
      <c r="C741">
        <f>IF(INVENTARIO!F741="","",INVENTARIO!F741)</f>
        <v/>
      </c>
      <c r="D741">
        <f>IF(INVENTARIO!H741="","",INVENTARIO!H741)</f>
        <v/>
      </c>
      <c r="E741">
        <f>IF(INVENTARIO!I741="","",INVENTARIO!I741)</f>
        <v/>
      </c>
      <c r="F741">
        <f>IF(INVENTARIO!N741="","",INVENTARIO!N741)</f>
        <v/>
      </c>
      <c r="G741">
        <f>IF(INVENTARIO!P741="","",INVENTARIO!P741)</f>
        <v/>
      </c>
      <c r="H741">
        <f>IF(INVENTARIO!Q741="","",INVENTARIO!Q741)</f>
        <v/>
      </c>
      <c r="I741">
        <f>IF(INVENTARIO!R741="","",INVENTARIO!R741)</f>
        <v/>
      </c>
      <c r="J741">
        <f>IF(G741="PUBLICA(1)",1,IF(G741="USO INTERNO(2)",2,IF(G741="RESTRINGIDO(3)",3,0)))+IF(H741="BAJA(1)",1,IF(H741="MEDIA(2)",2,IF(H741="ALTA(3)",3,0)))+IF(I741="BAJA(1)",1,IF(I741="MEDIA(2)",2,IF(I741="ALTA(3)",3,0)))</f>
        <v/>
      </c>
      <c r="K741">
        <f>IF(J741="", "", IF(J741&gt;=8,"ALTA",IF(J741&gt;=6,"MEDIA","BAJA")))</f>
        <v/>
      </c>
      <c r="L741">
        <f>IF(INVENTARIO!Y741="","",INVENTARIO!Y741)</f>
        <v/>
      </c>
      <c r="M741">
        <f>IF(INVENTARIO!Z741="","",INVENTARIO!Z741)</f>
        <v/>
      </c>
      <c r="N741">
        <f>IF(INVENTARIO!AA741="","",INVENTARIO!AA741)</f>
        <v/>
      </c>
      <c r="O741">
        <f>IF(INVENTARIO!AB741="","",INVENTARIO!AB741)</f>
        <v/>
      </c>
      <c r="P741">
        <f>IF(INVENTARIO!AC741="","",INVENTARIO!AC741)</f>
        <v/>
      </c>
      <c r="Q741">
        <f>IF(AND(K741="",N741="",L741=""),"",IF(AND((K741="ALTA"),OR(LEFT(N741,2)="L0",LEFT(N741,2)="L1",L741="No Iniciado")),"CRÍTICO - Incumplimiento Normativo SEPS",IF(AND(OR(LEFT(N741,2)="L4",LEFT(N741,2)="L5"),AND(P741&lt;&gt;"",P741&lt;&gt;"N/A")),"CONFORME - Control Efectivo ISO 27001","OBSERVACIÓN - Revisar Controles")))</f>
        <v/>
      </c>
    </row>
    <row r="742">
      <c r="A742">
        <f>IF(INVENTARIO!A742="","",INVENTARIO!A742)</f>
        <v/>
      </c>
      <c r="B742">
        <f>IF(INVENTARIO!E742="","",INVENTARIO!E742)</f>
        <v/>
      </c>
      <c r="C742">
        <f>IF(INVENTARIO!F742="","",INVENTARIO!F742)</f>
        <v/>
      </c>
      <c r="D742">
        <f>IF(INVENTARIO!H742="","",INVENTARIO!H742)</f>
        <v/>
      </c>
      <c r="E742">
        <f>IF(INVENTARIO!I742="","",INVENTARIO!I742)</f>
        <v/>
      </c>
      <c r="F742">
        <f>IF(INVENTARIO!N742="","",INVENTARIO!N742)</f>
        <v/>
      </c>
      <c r="G742">
        <f>IF(INVENTARIO!P742="","",INVENTARIO!P742)</f>
        <v/>
      </c>
      <c r="H742">
        <f>IF(INVENTARIO!Q742="","",INVENTARIO!Q742)</f>
        <v/>
      </c>
      <c r="I742">
        <f>IF(INVENTARIO!R742="","",INVENTARIO!R742)</f>
        <v/>
      </c>
      <c r="J742">
        <f>IF(G742="PUBLICA(1)",1,IF(G742="USO INTERNO(2)",2,IF(G742="RESTRINGIDO(3)",3,0)))+IF(H742="BAJA(1)",1,IF(H742="MEDIA(2)",2,IF(H742="ALTA(3)",3,0)))+IF(I742="BAJA(1)",1,IF(I742="MEDIA(2)",2,IF(I742="ALTA(3)",3,0)))</f>
        <v/>
      </c>
      <c r="K742">
        <f>IF(J742="", "", IF(J742&gt;=8,"ALTA",IF(J742&gt;=6,"MEDIA","BAJA")))</f>
        <v/>
      </c>
      <c r="L742">
        <f>IF(INVENTARIO!Y742="","",INVENTARIO!Y742)</f>
        <v/>
      </c>
      <c r="M742">
        <f>IF(INVENTARIO!Z742="","",INVENTARIO!Z742)</f>
        <v/>
      </c>
      <c r="N742">
        <f>IF(INVENTARIO!AA742="","",INVENTARIO!AA742)</f>
        <v/>
      </c>
      <c r="O742">
        <f>IF(INVENTARIO!AB742="","",INVENTARIO!AB742)</f>
        <v/>
      </c>
      <c r="P742">
        <f>IF(INVENTARIO!AC742="","",INVENTARIO!AC742)</f>
        <v/>
      </c>
      <c r="Q742">
        <f>IF(AND(K742="",N742="",L742=""),"",IF(AND((K742="ALTA"),OR(LEFT(N742,2)="L0",LEFT(N742,2)="L1",L742="No Iniciado")),"CRÍTICO - Incumplimiento Normativo SEPS",IF(AND(OR(LEFT(N742,2)="L4",LEFT(N742,2)="L5"),AND(P742&lt;&gt;"",P742&lt;&gt;"N/A")),"CONFORME - Control Efectivo ISO 27001","OBSERVACIÓN - Revisar Controles")))</f>
        <v/>
      </c>
    </row>
    <row r="743">
      <c r="A743">
        <f>IF(INVENTARIO!A743="","",INVENTARIO!A743)</f>
        <v/>
      </c>
      <c r="B743">
        <f>IF(INVENTARIO!E743="","",INVENTARIO!E743)</f>
        <v/>
      </c>
      <c r="C743">
        <f>IF(INVENTARIO!F743="","",INVENTARIO!F743)</f>
        <v/>
      </c>
      <c r="D743">
        <f>IF(INVENTARIO!H743="","",INVENTARIO!H743)</f>
        <v/>
      </c>
      <c r="E743">
        <f>IF(INVENTARIO!I743="","",INVENTARIO!I743)</f>
        <v/>
      </c>
      <c r="F743">
        <f>IF(INVENTARIO!N743="","",INVENTARIO!N743)</f>
        <v/>
      </c>
      <c r="G743">
        <f>IF(INVENTARIO!P743="","",INVENTARIO!P743)</f>
        <v/>
      </c>
      <c r="H743">
        <f>IF(INVENTARIO!Q743="","",INVENTARIO!Q743)</f>
        <v/>
      </c>
      <c r="I743">
        <f>IF(INVENTARIO!R743="","",INVENTARIO!R743)</f>
        <v/>
      </c>
      <c r="J743">
        <f>IF(G743="PUBLICA(1)",1,IF(G743="USO INTERNO(2)",2,IF(G743="RESTRINGIDO(3)",3,0)))+IF(H743="BAJA(1)",1,IF(H743="MEDIA(2)",2,IF(H743="ALTA(3)",3,0)))+IF(I743="BAJA(1)",1,IF(I743="MEDIA(2)",2,IF(I743="ALTA(3)",3,0)))</f>
        <v/>
      </c>
      <c r="K743">
        <f>IF(J743="", "", IF(J743&gt;=8,"ALTA",IF(J743&gt;=6,"MEDIA","BAJA")))</f>
        <v/>
      </c>
      <c r="L743">
        <f>IF(INVENTARIO!Y743="","",INVENTARIO!Y743)</f>
        <v/>
      </c>
      <c r="M743">
        <f>IF(INVENTARIO!Z743="","",INVENTARIO!Z743)</f>
        <v/>
      </c>
      <c r="N743">
        <f>IF(INVENTARIO!AA743="","",INVENTARIO!AA743)</f>
        <v/>
      </c>
      <c r="O743">
        <f>IF(INVENTARIO!AB743="","",INVENTARIO!AB743)</f>
        <v/>
      </c>
      <c r="P743">
        <f>IF(INVENTARIO!AC743="","",INVENTARIO!AC743)</f>
        <v/>
      </c>
      <c r="Q743">
        <f>IF(AND(K743="",N743="",L743=""),"",IF(AND((K743="ALTA"),OR(LEFT(N743,2)="L0",LEFT(N743,2)="L1",L743="No Iniciado")),"CRÍTICO - Incumplimiento Normativo SEPS",IF(AND(OR(LEFT(N743,2)="L4",LEFT(N743,2)="L5"),AND(P743&lt;&gt;"",P743&lt;&gt;"N/A")),"CONFORME - Control Efectivo ISO 27001","OBSERVACIÓN - Revisar Controles")))</f>
        <v/>
      </c>
    </row>
    <row r="744">
      <c r="A744">
        <f>IF(INVENTARIO!A744="","",INVENTARIO!A744)</f>
        <v/>
      </c>
      <c r="B744">
        <f>IF(INVENTARIO!E744="","",INVENTARIO!E744)</f>
        <v/>
      </c>
      <c r="C744">
        <f>IF(INVENTARIO!F744="","",INVENTARIO!F744)</f>
        <v/>
      </c>
      <c r="D744">
        <f>IF(INVENTARIO!H744="","",INVENTARIO!H744)</f>
        <v/>
      </c>
      <c r="E744">
        <f>IF(INVENTARIO!I744="","",INVENTARIO!I744)</f>
        <v/>
      </c>
      <c r="F744">
        <f>IF(INVENTARIO!N744="","",INVENTARIO!N744)</f>
        <v/>
      </c>
      <c r="G744">
        <f>IF(INVENTARIO!P744="","",INVENTARIO!P744)</f>
        <v/>
      </c>
      <c r="H744">
        <f>IF(INVENTARIO!Q744="","",INVENTARIO!Q744)</f>
        <v/>
      </c>
      <c r="I744">
        <f>IF(INVENTARIO!R744="","",INVENTARIO!R744)</f>
        <v/>
      </c>
      <c r="J744">
        <f>IF(G744="PUBLICA(1)",1,IF(G744="USO INTERNO(2)",2,IF(G744="RESTRINGIDO(3)",3,0)))+IF(H744="BAJA(1)",1,IF(H744="MEDIA(2)",2,IF(H744="ALTA(3)",3,0)))+IF(I744="BAJA(1)",1,IF(I744="MEDIA(2)",2,IF(I744="ALTA(3)",3,0)))</f>
        <v/>
      </c>
      <c r="K744">
        <f>IF(J744="", "", IF(J744&gt;=8,"ALTA",IF(J744&gt;=6,"MEDIA","BAJA")))</f>
        <v/>
      </c>
      <c r="L744">
        <f>IF(INVENTARIO!Y744="","",INVENTARIO!Y744)</f>
        <v/>
      </c>
      <c r="M744">
        <f>IF(INVENTARIO!Z744="","",INVENTARIO!Z744)</f>
        <v/>
      </c>
      <c r="N744">
        <f>IF(INVENTARIO!AA744="","",INVENTARIO!AA744)</f>
        <v/>
      </c>
      <c r="O744">
        <f>IF(INVENTARIO!AB744="","",INVENTARIO!AB744)</f>
        <v/>
      </c>
      <c r="P744">
        <f>IF(INVENTARIO!AC744="","",INVENTARIO!AC744)</f>
        <v/>
      </c>
      <c r="Q744">
        <f>IF(AND(K744="",N744="",L744=""),"",IF(AND((K744="ALTA"),OR(LEFT(N744,2)="L0",LEFT(N744,2)="L1",L744="No Iniciado")),"CRÍTICO - Incumplimiento Normativo SEPS",IF(AND(OR(LEFT(N744,2)="L4",LEFT(N744,2)="L5"),AND(P744&lt;&gt;"",P744&lt;&gt;"N/A")),"CONFORME - Control Efectivo ISO 27001","OBSERVACIÓN - Revisar Controles")))</f>
        <v/>
      </c>
    </row>
    <row r="745">
      <c r="A745">
        <f>IF(INVENTARIO!A745="","",INVENTARIO!A745)</f>
        <v/>
      </c>
      <c r="B745">
        <f>IF(INVENTARIO!E745="","",INVENTARIO!E745)</f>
        <v/>
      </c>
      <c r="C745">
        <f>IF(INVENTARIO!F745="","",INVENTARIO!F745)</f>
        <v/>
      </c>
      <c r="D745">
        <f>IF(INVENTARIO!H745="","",INVENTARIO!H745)</f>
        <v/>
      </c>
      <c r="E745">
        <f>IF(INVENTARIO!I745="","",INVENTARIO!I745)</f>
        <v/>
      </c>
      <c r="F745">
        <f>IF(INVENTARIO!N745="","",INVENTARIO!N745)</f>
        <v/>
      </c>
      <c r="G745">
        <f>IF(INVENTARIO!P745="","",INVENTARIO!P745)</f>
        <v/>
      </c>
      <c r="H745">
        <f>IF(INVENTARIO!Q745="","",INVENTARIO!Q745)</f>
        <v/>
      </c>
      <c r="I745">
        <f>IF(INVENTARIO!R745="","",INVENTARIO!R745)</f>
        <v/>
      </c>
      <c r="J745">
        <f>IF(G745="PUBLICA(1)",1,IF(G745="USO INTERNO(2)",2,IF(G745="RESTRINGIDO(3)",3,0)))+IF(H745="BAJA(1)",1,IF(H745="MEDIA(2)",2,IF(H745="ALTA(3)",3,0)))+IF(I745="BAJA(1)",1,IF(I745="MEDIA(2)",2,IF(I745="ALTA(3)",3,0)))</f>
        <v/>
      </c>
      <c r="K745">
        <f>IF(J745="", "", IF(J745&gt;=8,"ALTA",IF(J745&gt;=6,"MEDIA","BAJA")))</f>
        <v/>
      </c>
      <c r="L745">
        <f>IF(INVENTARIO!Y745="","",INVENTARIO!Y745)</f>
        <v/>
      </c>
      <c r="M745">
        <f>IF(INVENTARIO!Z745="","",INVENTARIO!Z745)</f>
        <v/>
      </c>
      <c r="N745">
        <f>IF(INVENTARIO!AA745="","",INVENTARIO!AA745)</f>
        <v/>
      </c>
      <c r="O745">
        <f>IF(INVENTARIO!AB745="","",INVENTARIO!AB745)</f>
        <v/>
      </c>
      <c r="P745">
        <f>IF(INVENTARIO!AC745="","",INVENTARIO!AC745)</f>
        <v/>
      </c>
      <c r="Q745">
        <f>IF(AND(K745="",N745="",L745=""),"",IF(AND((K745="ALTA"),OR(LEFT(N745,2)="L0",LEFT(N745,2)="L1",L745="No Iniciado")),"CRÍTICO - Incumplimiento Normativo SEPS",IF(AND(OR(LEFT(N745,2)="L4",LEFT(N745,2)="L5"),AND(P745&lt;&gt;"",P745&lt;&gt;"N/A")),"CONFORME - Control Efectivo ISO 27001","OBSERVACIÓN - Revisar Controles")))</f>
        <v/>
      </c>
    </row>
    <row r="746">
      <c r="A746">
        <f>IF(INVENTARIO!A746="","",INVENTARIO!A746)</f>
        <v/>
      </c>
      <c r="B746">
        <f>IF(INVENTARIO!E746="","",INVENTARIO!E746)</f>
        <v/>
      </c>
      <c r="C746">
        <f>IF(INVENTARIO!F746="","",INVENTARIO!F746)</f>
        <v/>
      </c>
      <c r="D746">
        <f>IF(INVENTARIO!H746="","",INVENTARIO!H746)</f>
        <v/>
      </c>
      <c r="E746">
        <f>IF(INVENTARIO!I746="","",INVENTARIO!I746)</f>
        <v/>
      </c>
      <c r="F746">
        <f>IF(INVENTARIO!N746="","",INVENTARIO!N746)</f>
        <v/>
      </c>
      <c r="G746">
        <f>IF(INVENTARIO!P746="","",INVENTARIO!P746)</f>
        <v/>
      </c>
      <c r="H746">
        <f>IF(INVENTARIO!Q746="","",INVENTARIO!Q746)</f>
        <v/>
      </c>
      <c r="I746">
        <f>IF(INVENTARIO!R746="","",INVENTARIO!R746)</f>
        <v/>
      </c>
      <c r="J746">
        <f>IF(G746="PUBLICA(1)",1,IF(G746="USO INTERNO(2)",2,IF(G746="RESTRINGIDO(3)",3,0)))+IF(H746="BAJA(1)",1,IF(H746="MEDIA(2)",2,IF(H746="ALTA(3)",3,0)))+IF(I746="BAJA(1)",1,IF(I746="MEDIA(2)",2,IF(I746="ALTA(3)",3,0)))</f>
        <v/>
      </c>
      <c r="K746">
        <f>IF(J746="", "", IF(J746&gt;=8,"ALTA",IF(J746&gt;=6,"MEDIA","BAJA")))</f>
        <v/>
      </c>
      <c r="L746">
        <f>IF(INVENTARIO!Y746="","",INVENTARIO!Y746)</f>
        <v/>
      </c>
      <c r="M746">
        <f>IF(INVENTARIO!Z746="","",INVENTARIO!Z746)</f>
        <v/>
      </c>
      <c r="N746">
        <f>IF(INVENTARIO!AA746="","",INVENTARIO!AA746)</f>
        <v/>
      </c>
      <c r="O746">
        <f>IF(INVENTARIO!AB746="","",INVENTARIO!AB746)</f>
        <v/>
      </c>
      <c r="P746">
        <f>IF(INVENTARIO!AC746="","",INVENTARIO!AC746)</f>
        <v/>
      </c>
      <c r="Q746">
        <f>IF(AND(K746="",N746="",L746=""),"",IF(AND((K746="ALTA"),OR(LEFT(N746,2)="L0",LEFT(N746,2)="L1",L746="No Iniciado")),"CRÍTICO - Incumplimiento Normativo SEPS",IF(AND(OR(LEFT(N746,2)="L4",LEFT(N746,2)="L5"),AND(P746&lt;&gt;"",P746&lt;&gt;"N/A")),"CONFORME - Control Efectivo ISO 27001","OBSERVACIÓN - Revisar Controles")))</f>
        <v/>
      </c>
    </row>
    <row r="747">
      <c r="A747">
        <f>IF(INVENTARIO!A747="","",INVENTARIO!A747)</f>
        <v/>
      </c>
      <c r="B747">
        <f>IF(INVENTARIO!E747="","",INVENTARIO!E747)</f>
        <v/>
      </c>
      <c r="C747">
        <f>IF(INVENTARIO!F747="","",INVENTARIO!F747)</f>
        <v/>
      </c>
      <c r="D747">
        <f>IF(INVENTARIO!H747="","",INVENTARIO!H747)</f>
        <v/>
      </c>
      <c r="E747">
        <f>IF(INVENTARIO!I747="","",INVENTARIO!I747)</f>
        <v/>
      </c>
      <c r="F747">
        <f>IF(INVENTARIO!N747="","",INVENTARIO!N747)</f>
        <v/>
      </c>
      <c r="G747">
        <f>IF(INVENTARIO!P747="","",INVENTARIO!P747)</f>
        <v/>
      </c>
      <c r="H747">
        <f>IF(INVENTARIO!Q747="","",INVENTARIO!Q747)</f>
        <v/>
      </c>
      <c r="I747">
        <f>IF(INVENTARIO!R747="","",INVENTARIO!R747)</f>
        <v/>
      </c>
      <c r="J747">
        <f>IF(G747="PUBLICA(1)",1,IF(G747="USO INTERNO(2)",2,IF(G747="RESTRINGIDO(3)",3,0)))+IF(H747="BAJA(1)",1,IF(H747="MEDIA(2)",2,IF(H747="ALTA(3)",3,0)))+IF(I747="BAJA(1)",1,IF(I747="MEDIA(2)",2,IF(I747="ALTA(3)",3,0)))</f>
        <v/>
      </c>
      <c r="K747">
        <f>IF(J747="", "", IF(J747&gt;=8,"ALTA",IF(J747&gt;=6,"MEDIA","BAJA")))</f>
        <v/>
      </c>
      <c r="L747">
        <f>IF(INVENTARIO!Y747="","",INVENTARIO!Y747)</f>
        <v/>
      </c>
      <c r="M747">
        <f>IF(INVENTARIO!Z747="","",INVENTARIO!Z747)</f>
        <v/>
      </c>
      <c r="N747">
        <f>IF(INVENTARIO!AA747="","",INVENTARIO!AA747)</f>
        <v/>
      </c>
      <c r="O747">
        <f>IF(INVENTARIO!AB747="","",INVENTARIO!AB747)</f>
        <v/>
      </c>
      <c r="P747">
        <f>IF(INVENTARIO!AC747="","",INVENTARIO!AC747)</f>
        <v/>
      </c>
      <c r="Q747">
        <f>IF(AND(K747="",N747="",L747=""),"",IF(AND((K747="ALTA"),OR(LEFT(N747,2)="L0",LEFT(N747,2)="L1",L747="No Iniciado")),"CRÍTICO - Incumplimiento Normativo SEPS",IF(AND(OR(LEFT(N747,2)="L4",LEFT(N747,2)="L5"),AND(P747&lt;&gt;"",P747&lt;&gt;"N/A")),"CONFORME - Control Efectivo ISO 27001","OBSERVACIÓN - Revisar Controles")))</f>
        <v/>
      </c>
    </row>
    <row r="748">
      <c r="A748">
        <f>IF(INVENTARIO!A748="","",INVENTARIO!A748)</f>
        <v/>
      </c>
      <c r="B748">
        <f>IF(INVENTARIO!E748="","",INVENTARIO!E748)</f>
        <v/>
      </c>
      <c r="C748">
        <f>IF(INVENTARIO!F748="","",INVENTARIO!F748)</f>
        <v/>
      </c>
      <c r="D748">
        <f>IF(INVENTARIO!H748="","",INVENTARIO!H748)</f>
        <v/>
      </c>
      <c r="E748">
        <f>IF(INVENTARIO!I748="","",INVENTARIO!I748)</f>
        <v/>
      </c>
      <c r="F748">
        <f>IF(INVENTARIO!N748="","",INVENTARIO!N748)</f>
        <v/>
      </c>
      <c r="G748">
        <f>IF(INVENTARIO!P748="","",INVENTARIO!P748)</f>
        <v/>
      </c>
      <c r="H748">
        <f>IF(INVENTARIO!Q748="","",INVENTARIO!Q748)</f>
        <v/>
      </c>
      <c r="I748">
        <f>IF(INVENTARIO!R748="","",INVENTARIO!R748)</f>
        <v/>
      </c>
      <c r="J748">
        <f>IF(G748="PUBLICA(1)",1,IF(G748="USO INTERNO(2)",2,IF(G748="RESTRINGIDO(3)",3,0)))+IF(H748="BAJA(1)",1,IF(H748="MEDIA(2)",2,IF(H748="ALTA(3)",3,0)))+IF(I748="BAJA(1)",1,IF(I748="MEDIA(2)",2,IF(I748="ALTA(3)",3,0)))</f>
        <v/>
      </c>
      <c r="K748">
        <f>IF(J748="", "", IF(J748&gt;=8,"ALTA",IF(J748&gt;=6,"MEDIA","BAJA")))</f>
        <v/>
      </c>
      <c r="L748">
        <f>IF(INVENTARIO!Y748="","",INVENTARIO!Y748)</f>
        <v/>
      </c>
      <c r="M748">
        <f>IF(INVENTARIO!Z748="","",INVENTARIO!Z748)</f>
        <v/>
      </c>
      <c r="N748">
        <f>IF(INVENTARIO!AA748="","",INVENTARIO!AA748)</f>
        <v/>
      </c>
      <c r="O748">
        <f>IF(INVENTARIO!AB748="","",INVENTARIO!AB748)</f>
        <v/>
      </c>
      <c r="P748">
        <f>IF(INVENTARIO!AC748="","",INVENTARIO!AC748)</f>
        <v/>
      </c>
      <c r="Q748">
        <f>IF(AND(K748="",N748="",L748=""),"",IF(AND((K748="ALTA"),OR(LEFT(N748,2)="L0",LEFT(N748,2)="L1",L748="No Iniciado")),"CRÍTICO - Incumplimiento Normativo SEPS",IF(AND(OR(LEFT(N748,2)="L4",LEFT(N748,2)="L5"),AND(P748&lt;&gt;"",P748&lt;&gt;"N/A")),"CONFORME - Control Efectivo ISO 27001","OBSERVACIÓN - Revisar Controles")))</f>
        <v/>
      </c>
    </row>
    <row r="749">
      <c r="A749">
        <f>IF(INVENTARIO!A749="","",INVENTARIO!A749)</f>
        <v/>
      </c>
      <c r="B749">
        <f>IF(INVENTARIO!E749="","",INVENTARIO!E749)</f>
        <v/>
      </c>
      <c r="C749">
        <f>IF(INVENTARIO!F749="","",INVENTARIO!F749)</f>
        <v/>
      </c>
      <c r="D749">
        <f>IF(INVENTARIO!H749="","",INVENTARIO!H749)</f>
        <v/>
      </c>
      <c r="E749">
        <f>IF(INVENTARIO!I749="","",INVENTARIO!I749)</f>
        <v/>
      </c>
      <c r="F749">
        <f>IF(INVENTARIO!N749="","",INVENTARIO!N749)</f>
        <v/>
      </c>
      <c r="G749">
        <f>IF(INVENTARIO!P749="","",INVENTARIO!P749)</f>
        <v/>
      </c>
      <c r="H749">
        <f>IF(INVENTARIO!Q749="","",INVENTARIO!Q749)</f>
        <v/>
      </c>
      <c r="I749">
        <f>IF(INVENTARIO!R749="","",INVENTARIO!R749)</f>
        <v/>
      </c>
      <c r="J749">
        <f>IF(G749="PUBLICA(1)",1,IF(G749="USO INTERNO(2)",2,IF(G749="RESTRINGIDO(3)",3,0)))+IF(H749="BAJA(1)",1,IF(H749="MEDIA(2)",2,IF(H749="ALTA(3)",3,0)))+IF(I749="BAJA(1)",1,IF(I749="MEDIA(2)",2,IF(I749="ALTA(3)",3,0)))</f>
        <v/>
      </c>
      <c r="K749">
        <f>IF(J749="", "", IF(J749&gt;=8,"ALTA",IF(J749&gt;=6,"MEDIA","BAJA")))</f>
        <v/>
      </c>
      <c r="L749">
        <f>IF(INVENTARIO!Y749="","",INVENTARIO!Y749)</f>
        <v/>
      </c>
      <c r="M749">
        <f>IF(INVENTARIO!Z749="","",INVENTARIO!Z749)</f>
        <v/>
      </c>
      <c r="N749">
        <f>IF(INVENTARIO!AA749="","",INVENTARIO!AA749)</f>
        <v/>
      </c>
      <c r="O749">
        <f>IF(INVENTARIO!AB749="","",INVENTARIO!AB749)</f>
        <v/>
      </c>
      <c r="P749">
        <f>IF(INVENTARIO!AC749="","",INVENTARIO!AC749)</f>
        <v/>
      </c>
      <c r="Q749">
        <f>IF(AND(K749="",N749="",L749=""),"",IF(AND((K749="ALTA"),OR(LEFT(N749,2)="L0",LEFT(N749,2)="L1",L749="No Iniciado")),"CRÍTICO - Incumplimiento Normativo SEPS",IF(AND(OR(LEFT(N749,2)="L4",LEFT(N749,2)="L5"),AND(P749&lt;&gt;"",P749&lt;&gt;"N/A")),"CONFORME - Control Efectivo ISO 27001","OBSERVACIÓN - Revisar Controles")))</f>
        <v/>
      </c>
    </row>
    <row r="750">
      <c r="A750">
        <f>IF(INVENTARIO!A750="","",INVENTARIO!A750)</f>
        <v/>
      </c>
      <c r="B750">
        <f>IF(INVENTARIO!E750="","",INVENTARIO!E750)</f>
        <v/>
      </c>
      <c r="C750">
        <f>IF(INVENTARIO!F750="","",INVENTARIO!F750)</f>
        <v/>
      </c>
      <c r="D750">
        <f>IF(INVENTARIO!H750="","",INVENTARIO!H750)</f>
        <v/>
      </c>
      <c r="E750">
        <f>IF(INVENTARIO!I750="","",INVENTARIO!I750)</f>
        <v/>
      </c>
      <c r="F750">
        <f>IF(INVENTARIO!N750="","",INVENTARIO!N750)</f>
        <v/>
      </c>
      <c r="G750">
        <f>IF(INVENTARIO!P750="","",INVENTARIO!P750)</f>
        <v/>
      </c>
      <c r="H750">
        <f>IF(INVENTARIO!Q750="","",INVENTARIO!Q750)</f>
        <v/>
      </c>
      <c r="I750">
        <f>IF(INVENTARIO!R750="","",INVENTARIO!R750)</f>
        <v/>
      </c>
      <c r="J750">
        <f>IF(G750="PUBLICA(1)",1,IF(G750="USO INTERNO(2)",2,IF(G750="RESTRINGIDO(3)",3,0)))+IF(H750="BAJA(1)",1,IF(H750="MEDIA(2)",2,IF(H750="ALTA(3)",3,0)))+IF(I750="BAJA(1)",1,IF(I750="MEDIA(2)",2,IF(I750="ALTA(3)",3,0)))</f>
        <v/>
      </c>
      <c r="K750">
        <f>IF(J750="", "", IF(J750&gt;=8,"ALTA",IF(J750&gt;=6,"MEDIA","BAJA")))</f>
        <v/>
      </c>
      <c r="L750">
        <f>IF(INVENTARIO!Y750="","",INVENTARIO!Y750)</f>
        <v/>
      </c>
      <c r="M750">
        <f>IF(INVENTARIO!Z750="","",INVENTARIO!Z750)</f>
        <v/>
      </c>
      <c r="N750">
        <f>IF(INVENTARIO!AA750="","",INVENTARIO!AA750)</f>
        <v/>
      </c>
      <c r="O750">
        <f>IF(INVENTARIO!AB750="","",INVENTARIO!AB750)</f>
        <v/>
      </c>
      <c r="P750">
        <f>IF(INVENTARIO!AC750="","",INVENTARIO!AC750)</f>
        <v/>
      </c>
      <c r="Q750">
        <f>IF(AND(K750="",N750="",L750=""),"",IF(AND((K750="ALTA"),OR(LEFT(N750,2)="L0",LEFT(N750,2)="L1",L750="No Iniciado")),"CRÍTICO - Incumplimiento Normativo SEPS",IF(AND(OR(LEFT(N750,2)="L4",LEFT(N750,2)="L5"),AND(P750&lt;&gt;"",P750&lt;&gt;"N/A")),"CONFORME - Control Efectivo ISO 27001","OBSERVACIÓN - Revisar Controles")))</f>
        <v/>
      </c>
    </row>
    <row r="751">
      <c r="A751">
        <f>IF(INVENTARIO!A751="","",INVENTARIO!A751)</f>
        <v/>
      </c>
      <c r="B751">
        <f>IF(INVENTARIO!E751="","",INVENTARIO!E751)</f>
        <v/>
      </c>
      <c r="C751">
        <f>IF(INVENTARIO!F751="","",INVENTARIO!F751)</f>
        <v/>
      </c>
      <c r="D751">
        <f>IF(INVENTARIO!H751="","",INVENTARIO!H751)</f>
        <v/>
      </c>
      <c r="E751">
        <f>IF(INVENTARIO!I751="","",INVENTARIO!I751)</f>
        <v/>
      </c>
      <c r="F751">
        <f>IF(INVENTARIO!N751="","",INVENTARIO!N751)</f>
        <v/>
      </c>
      <c r="G751">
        <f>IF(INVENTARIO!P751="","",INVENTARIO!P751)</f>
        <v/>
      </c>
      <c r="H751">
        <f>IF(INVENTARIO!Q751="","",INVENTARIO!Q751)</f>
        <v/>
      </c>
      <c r="I751">
        <f>IF(INVENTARIO!R751="","",INVENTARIO!R751)</f>
        <v/>
      </c>
      <c r="J751">
        <f>IF(G751="PUBLICA(1)",1,IF(G751="USO INTERNO(2)",2,IF(G751="RESTRINGIDO(3)",3,0)))+IF(H751="BAJA(1)",1,IF(H751="MEDIA(2)",2,IF(H751="ALTA(3)",3,0)))+IF(I751="BAJA(1)",1,IF(I751="MEDIA(2)",2,IF(I751="ALTA(3)",3,0)))</f>
        <v/>
      </c>
      <c r="K751">
        <f>IF(J751="", "", IF(J751&gt;=8,"ALTA",IF(J751&gt;=6,"MEDIA","BAJA")))</f>
        <v/>
      </c>
      <c r="L751">
        <f>IF(INVENTARIO!Y751="","",INVENTARIO!Y751)</f>
        <v/>
      </c>
      <c r="M751">
        <f>IF(INVENTARIO!Z751="","",INVENTARIO!Z751)</f>
        <v/>
      </c>
      <c r="N751">
        <f>IF(INVENTARIO!AA751="","",INVENTARIO!AA751)</f>
        <v/>
      </c>
      <c r="O751">
        <f>IF(INVENTARIO!AB751="","",INVENTARIO!AB751)</f>
        <v/>
      </c>
      <c r="P751">
        <f>IF(INVENTARIO!AC751="","",INVENTARIO!AC751)</f>
        <v/>
      </c>
      <c r="Q751">
        <f>IF(AND(K751="",N751="",L751=""),"",IF(AND((K751="ALTA"),OR(LEFT(N751,2)="L0",LEFT(N751,2)="L1",L751="No Iniciado")),"CRÍTICO - Incumplimiento Normativo SEPS",IF(AND(OR(LEFT(N751,2)="L4",LEFT(N751,2)="L5"),AND(P751&lt;&gt;"",P751&lt;&gt;"N/A")),"CONFORME - Control Efectivo ISO 27001","OBSERVACIÓN - Revisar Controles")))</f>
        <v/>
      </c>
    </row>
    <row r="752">
      <c r="A752">
        <f>IF(INVENTARIO!A752="","",INVENTARIO!A752)</f>
        <v/>
      </c>
      <c r="B752">
        <f>IF(INVENTARIO!E752="","",INVENTARIO!E752)</f>
        <v/>
      </c>
      <c r="C752">
        <f>IF(INVENTARIO!F752="","",INVENTARIO!F752)</f>
        <v/>
      </c>
      <c r="D752">
        <f>IF(INVENTARIO!H752="","",INVENTARIO!H752)</f>
        <v/>
      </c>
      <c r="E752">
        <f>IF(INVENTARIO!I752="","",INVENTARIO!I752)</f>
        <v/>
      </c>
      <c r="F752">
        <f>IF(INVENTARIO!N752="","",INVENTARIO!N752)</f>
        <v/>
      </c>
      <c r="G752">
        <f>IF(INVENTARIO!P752="","",INVENTARIO!P752)</f>
        <v/>
      </c>
      <c r="H752">
        <f>IF(INVENTARIO!Q752="","",INVENTARIO!Q752)</f>
        <v/>
      </c>
      <c r="I752">
        <f>IF(INVENTARIO!R752="","",INVENTARIO!R752)</f>
        <v/>
      </c>
      <c r="J752">
        <f>IF(G752="PUBLICA(1)",1,IF(G752="USO INTERNO(2)",2,IF(G752="RESTRINGIDO(3)",3,0)))+IF(H752="BAJA(1)",1,IF(H752="MEDIA(2)",2,IF(H752="ALTA(3)",3,0)))+IF(I752="BAJA(1)",1,IF(I752="MEDIA(2)",2,IF(I752="ALTA(3)",3,0)))</f>
        <v/>
      </c>
      <c r="K752">
        <f>IF(J752="", "", IF(J752&gt;=8,"ALTA",IF(J752&gt;=6,"MEDIA","BAJA")))</f>
        <v/>
      </c>
      <c r="L752">
        <f>IF(INVENTARIO!Y752="","",INVENTARIO!Y752)</f>
        <v/>
      </c>
      <c r="M752">
        <f>IF(INVENTARIO!Z752="","",INVENTARIO!Z752)</f>
        <v/>
      </c>
      <c r="N752">
        <f>IF(INVENTARIO!AA752="","",INVENTARIO!AA752)</f>
        <v/>
      </c>
      <c r="O752">
        <f>IF(INVENTARIO!AB752="","",INVENTARIO!AB752)</f>
        <v/>
      </c>
      <c r="P752">
        <f>IF(INVENTARIO!AC752="","",INVENTARIO!AC752)</f>
        <v/>
      </c>
      <c r="Q752">
        <f>IF(AND(K752="",N752="",L752=""),"",IF(AND((K752="ALTA"),OR(LEFT(N752,2)="L0",LEFT(N752,2)="L1",L752="No Iniciado")),"CRÍTICO - Incumplimiento Normativo SEPS",IF(AND(OR(LEFT(N752,2)="L4",LEFT(N752,2)="L5"),AND(P752&lt;&gt;"",P752&lt;&gt;"N/A")),"CONFORME - Control Efectivo ISO 27001","OBSERVACIÓN - Revisar Controles")))</f>
        <v/>
      </c>
    </row>
    <row r="753">
      <c r="A753">
        <f>IF(INVENTARIO!A753="","",INVENTARIO!A753)</f>
        <v/>
      </c>
      <c r="B753">
        <f>IF(INVENTARIO!E753="","",INVENTARIO!E753)</f>
        <v/>
      </c>
      <c r="C753">
        <f>IF(INVENTARIO!F753="","",INVENTARIO!F753)</f>
        <v/>
      </c>
      <c r="D753">
        <f>IF(INVENTARIO!H753="","",INVENTARIO!H753)</f>
        <v/>
      </c>
      <c r="E753">
        <f>IF(INVENTARIO!I753="","",INVENTARIO!I753)</f>
        <v/>
      </c>
      <c r="F753">
        <f>IF(INVENTARIO!N753="","",INVENTARIO!N753)</f>
        <v/>
      </c>
      <c r="G753">
        <f>IF(INVENTARIO!P753="","",INVENTARIO!P753)</f>
        <v/>
      </c>
      <c r="H753">
        <f>IF(INVENTARIO!Q753="","",INVENTARIO!Q753)</f>
        <v/>
      </c>
      <c r="I753">
        <f>IF(INVENTARIO!R753="","",INVENTARIO!R753)</f>
        <v/>
      </c>
      <c r="J753">
        <f>IF(G753="PUBLICA(1)",1,IF(G753="USO INTERNO(2)",2,IF(G753="RESTRINGIDO(3)",3,0)))+IF(H753="BAJA(1)",1,IF(H753="MEDIA(2)",2,IF(H753="ALTA(3)",3,0)))+IF(I753="BAJA(1)",1,IF(I753="MEDIA(2)",2,IF(I753="ALTA(3)",3,0)))</f>
        <v/>
      </c>
      <c r="K753">
        <f>IF(J753="", "", IF(J753&gt;=8,"ALTA",IF(J753&gt;=6,"MEDIA","BAJA")))</f>
        <v/>
      </c>
      <c r="L753">
        <f>IF(INVENTARIO!Y753="","",INVENTARIO!Y753)</f>
        <v/>
      </c>
      <c r="M753">
        <f>IF(INVENTARIO!Z753="","",INVENTARIO!Z753)</f>
        <v/>
      </c>
      <c r="N753">
        <f>IF(INVENTARIO!AA753="","",INVENTARIO!AA753)</f>
        <v/>
      </c>
      <c r="O753">
        <f>IF(INVENTARIO!AB753="","",INVENTARIO!AB753)</f>
        <v/>
      </c>
      <c r="P753">
        <f>IF(INVENTARIO!AC753="","",INVENTARIO!AC753)</f>
        <v/>
      </c>
      <c r="Q753">
        <f>IF(AND(K753="",N753="",L753=""),"",IF(AND((K753="ALTA"),OR(LEFT(N753,2)="L0",LEFT(N753,2)="L1",L753="No Iniciado")),"CRÍTICO - Incumplimiento Normativo SEPS",IF(AND(OR(LEFT(N753,2)="L4",LEFT(N753,2)="L5"),AND(P753&lt;&gt;"",P753&lt;&gt;"N/A")),"CONFORME - Control Efectivo ISO 27001","OBSERVACIÓN - Revisar Controles")))</f>
        <v/>
      </c>
    </row>
    <row r="754">
      <c r="A754">
        <f>IF(INVENTARIO!A754="","",INVENTARIO!A754)</f>
        <v/>
      </c>
      <c r="B754">
        <f>IF(INVENTARIO!E754="","",INVENTARIO!E754)</f>
        <v/>
      </c>
      <c r="C754">
        <f>IF(INVENTARIO!F754="","",INVENTARIO!F754)</f>
        <v/>
      </c>
      <c r="D754">
        <f>IF(INVENTARIO!H754="","",INVENTARIO!H754)</f>
        <v/>
      </c>
      <c r="E754">
        <f>IF(INVENTARIO!I754="","",INVENTARIO!I754)</f>
        <v/>
      </c>
      <c r="F754">
        <f>IF(INVENTARIO!N754="","",INVENTARIO!N754)</f>
        <v/>
      </c>
      <c r="G754">
        <f>IF(INVENTARIO!P754="","",INVENTARIO!P754)</f>
        <v/>
      </c>
      <c r="H754">
        <f>IF(INVENTARIO!Q754="","",INVENTARIO!Q754)</f>
        <v/>
      </c>
      <c r="I754">
        <f>IF(INVENTARIO!R754="","",INVENTARIO!R754)</f>
        <v/>
      </c>
      <c r="J754">
        <f>IF(G754="PUBLICA(1)",1,IF(G754="USO INTERNO(2)",2,IF(G754="RESTRINGIDO(3)",3,0)))+IF(H754="BAJA(1)",1,IF(H754="MEDIA(2)",2,IF(H754="ALTA(3)",3,0)))+IF(I754="BAJA(1)",1,IF(I754="MEDIA(2)",2,IF(I754="ALTA(3)",3,0)))</f>
        <v/>
      </c>
      <c r="K754">
        <f>IF(J754="", "", IF(J754&gt;=8,"ALTA",IF(J754&gt;=6,"MEDIA","BAJA")))</f>
        <v/>
      </c>
      <c r="L754">
        <f>IF(INVENTARIO!Y754="","",INVENTARIO!Y754)</f>
        <v/>
      </c>
      <c r="M754">
        <f>IF(INVENTARIO!Z754="","",INVENTARIO!Z754)</f>
        <v/>
      </c>
      <c r="N754">
        <f>IF(INVENTARIO!AA754="","",INVENTARIO!AA754)</f>
        <v/>
      </c>
      <c r="O754">
        <f>IF(INVENTARIO!AB754="","",INVENTARIO!AB754)</f>
        <v/>
      </c>
      <c r="P754">
        <f>IF(INVENTARIO!AC754="","",INVENTARIO!AC754)</f>
        <v/>
      </c>
      <c r="Q754">
        <f>IF(AND(K754="",N754="",L754=""),"",IF(AND((K754="ALTA"),OR(LEFT(N754,2)="L0",LEFT(N754,2)="L1",L754="No Iniciado")),"CRÍTICO - Incumplimiento Normativo SEPS",IF(AND(OR(LEFT(N754,2)="L4",LEFT(N754,2)="L5"),AND(P754&lt;&gt;"",P754&lt;&gt;"N/A")),"CONFORME - Control Efectivo ISO 27001","OBSERVACIÓN - Revisar Controles")))</f>
        <v/>
      </c>
    </row>
    <row r="755">
      <c r="A755">
        <f>IF(INVENTARIO!A755="","",INVENTARIO!A755)</f>
        <v/>
      </c>
      <c r="B755">
        <f>IF(INVENTARIO!E755="","",INVENTARIO!E755)</f>
        <v/>
      </c>
      <c r="C755">
        <f>IF(INVENTARIO!F755="","",INVENTARIO!F755)</f>
        <v/>
      </c>
      <c r="D755">
        <f>IF(INVENTARIO!H755="","",INVENTARIO!H755)</f>
        <v/>
      </c>
      <c r="E755">
        <f>IF(INVENTARIO!I755="","",INVENTARIO!I755)</f>
        <v/>
      </c>
      <c r="F755">
        <f>IF(INVENTARIO!N755="","",INVENTARIO!N755)</f>
        <v/>
      </c>
      <c r="G755">
        <f>IF(INVENTARIO!P755="","",INVENTARIO!P755)</f>
        <v/>
      </c>
      <c r="H755">
        <f>IF(INVENTARIO!Q755="","",INVENTARIO!Q755)</f>
        <v/>
      </c>
      <c r="I755">
        <f>IF(INVENTARIO!R755="","",INVENTARIO!R755)</f>
        <v/>
      </c>
      <c r="J755">
        <f>IF(G755="PUBLICA(1)",1,IF(G755="USO INTERNO(2)",2,IF(G755="RESTRINGIDO(3)",3,0)))+IF(H755="BAJA(1)",1,IF(H755="MEDIA(2)",2,IF(H755="ALTA(3)",3,0)))+IF(I755="BAJA(1)",1,IF(I755="MEDIA(2)",2,IF(I755="ALTA(3)",3,0)))</f>
        <v/>
      </c>
      <c r="K755">
        <f>IF(J755="", "", IF(J755&gt;=8,"ALTA",IF(J755&gt;=6,"MEDIA","BAJA")))</f>
        <v/>
      </c>
      <c r="L755">
        <f>IF(INVENTARIO!Y755="","",INVENTARIO!Y755)</f>
        <v/>
      </c>
      <c r="M755">
        <f>IF(INVENTARIO!Z755="","",INVENTARIO!Z755)</f>
        <v/>
      </c>
      <c r="N755">
        <f>IF(INVENTARIO!AA755="","",INVENTARIO!AA755)</f>
        <v/>
      </c>
      <c r="O755">
        <f>IF(INVENTARIO!AB755="","",INVENTARIO!AB755)</f>
        <v/>
      </c>
      <c r="P755">
        <f>IF(INVENTARIO!AC755="","",INVENTARIO!AC755)</f>
        <v/>
      </c>
      <c r="Q755">
        <f>IF(AND(K755="",N755="",L755=""),"",IF(AND((K755="ALTA"),OR(LEFT(N755,2)="L0",LEFT(N755,2)="L1",L755="No Iniciado")),"CRÍTICO - Incumplimiento Normativo SEPS",IF(AND(OR(LEFT(N755,2)="L4",LEFT(N755,2)="L5"),AND(P755&lt;&gt;"",P755&lt;&gt;"N/A")),"CONFORME - Control Efectivo ISO 27001","OBSERVACIÓN - Revisar Controles")))</f>
        <v/>
      </c>
    </row>
    <row r="756">
      <c r="A756">
        <f>IF(INVENTARIO!A756="","",INVENTARIO!A756)</f>
        <v/>
      </c>
      <c r="B756">
        <f>IF(INVENTARIO!E756="","",INVENTARIO!E756)</f>
        <v/>
      </c>
      <c r="C756">
        <f>IF(INVENTARIO!F756="","",INVENTARIO!F756)</f>
        <v/>
      </c>
      <c r="D756">
        <f>IF(INVENTARIO!H756="","",INVENTARIO!H756)</f>
        <v/>
      </c>
      <c r="E756">
        <f>IF(INVENTARIO!I756="","",INVENTARIO!I756)</f>
        <v/>
      </c>
      <c r="F756">
        <f>IF(INVENTARIO!N756="","",INVENTARIO!N756)</f>
        <v/>
      </c>
      <c r="G756">
        <f>IF(INVENTARIO!P756="","",INVENTARIO!P756)</f>
        <v/>
      </c>
      <c r="H756">
        <f>IF(INVENTARIO!Q756="","",INVENTARIO!Q756)</f>
        <v/>
      </c>
      <c r="I756">
        <f>IF(INVENTARIO!R756="","",INVENTARIO!R756)</f>
        <v/>
      </c>
      <c r="J756">
        <f>IF(G756="PUBLICA(1)",1,IF(G756="USO INTERNO(2)",2,IF(G756="RESTRINGIDO(3)",3,0)))+IF(H756="BAJA(1)",1,IF(H756="MEDIA(2)",2,IF(H756="ALTA(3)",3,0)))+IF(I756="BAJA(1)",1,IF(I756="MEDIA(2)",2,IF(I756="ALTA(3)",3,0)))</f>
        <v/>
      </c>
      <c r="K756">
        <f>IF(J756="", "", IF(J756&gt;=8,"ALTA",IF(J756&gt;=6,"MEDIA","BAJA")))</f>
        <v/>
      </c>
      <c r="L756">
        <f>IF(INVENTARIO!Y756="","",INVENTARIO!Y756)</f>
        <v/>
      </c>
      <c r="M756">
        <f>IF(INVENTARIO!Z756="","",INVENTARIO!Z756)</f>
        <v/>
      </c>
      <c r="N756">
        <f>IF(INVENTARIO!AA756="","",INVENTARIO!AA756)</f>
        <v/>
      </c>
      <c r="O756">
        <f>IF(INVENTARIO!AB756="","",INVENTARIO!AB756)</f>
        <v/>
      </c>
      <c r="P756">
        <f>IF(INVENTARIO!AC756="","",INVENTARIO!AC756)</f>
        <v/>
      </c>
      <c r="Q756">
        <f>IF(AND(K756="",N756="",L756=""),"",IF(AND((K756="ALTA"),OR(LEFT(N756,2)="L0",LEFT(N756,2)="L1",L756="No Iniciado")),"CRÍTICO - Incumplimiento Normativo SEPS",IF(AND(OR(LEFT(N756,2)="L4",LEFT(N756,2)="L5"),AND(P756&lt;&gt;"",P756&lt;&gt;"N/A")),"CONFORME - Control Efectivo ISO 27001","OBSERVACIÓN - Revisar Controles")))</f>
        <v/>
      </c>
    </row>
    <row r="757">
      <c r="A757">
        <f>IF(INVENTARIO!A757="","",INVENTARIO!A757)</f>
        <v/>
      </c>
      <c r="B757">
        <f>IF(INVENTARIO!E757="","",INVENTARIO!E757)</f>
        <v/>
      </c>
      <c r="C757">
        <f>IF(INVENTARIO!F757="","",INVENTARIO!F757)</f>
        <v/>
      </c>
      <c r="D757">
        <f>IF(INVENTARIO!H757="","",INVENTARIO!H757)</f>
        <v/>
      </c>
      <c r="E757">
        <f>IF(INVENTARIO!I757="","",INVENTARIO!I757)</f>
        <v/>
      </c>
      <c r="F757">
        <f>IF(INVENTARIO!N757="","",INVENTARIO!N757)</f>
        <v/>
      </c>
      <c r="G757">
        <f>IF(INVENTARIO!P757="","",INVENTARIO!P757)</f>
        <v/>
      </c>
      <c r="H757">
        <f>IF(INVENTARIO!Q757="","",INVENTARIO!Q757)</f>
        <v/>
      </c>
      <c r="I757">
        <f>IF(INVENTARIO!R757="","",INVENTARIO!R757)</f>
        <v/>
      </c>
      <c r="J757">
        <f>IF(G757="PUBLICA(1)",1,IF(G757="USO INTERNO(2)",2,IF(G757="RESTRINGIDO(3)",3,0)))+IF(H757="BAJA(1)",1,IF(H757="MEDIA(2)",2,IF(H757="ALTA(3)",3,0)))+IF(I757="BAJA(1)",1,IF(I757="MEDIA(2)",2,IF(I757="ALTA(3)",3,0)))</f>
        <v/>
      </c>
      <c r="K757">
        <f>IF(J757="", "", IF(J757&gt;=8,"ALTA",IF(J757&gt;=6,"MEDIA","BAJA")))</f>
        <v/>
      </c>
      <c r="L757">
        <f>IF(INVENTARIO!Y757="","",INVENTARIO!Y757)</f>
        <v/>
      </c>
      <c r="M757">
        <f>IF(INVENTARIO!Z757="","",INVENTARIO!Z757)</f>
        <v/>
      </c>
      <c r="N757">
        <f>IF(INVENTARIO!AA757="","",INVENTARIO!AA757)</f>
        <v/>
      </c>
      <c r="O757">
        <f>IF(INVENTARIO!AB757="","",INVENTARIO!AB757)</f>
        <v/>
      </c>
      <c r="P757">
        <f>IF(INVENTARIO!AC757="","",INVENTARIO!AC757)</f>
        <v/>
      </c>
      <c r="Q757">
        <f>IF(AND(K757="",N757="",L757=""),"",IF(AND((K757="ALTA"),OR(LEFT(N757,2)="L0",LEFT(N757,2)="L1",L757="No Iniciado")),"CRÍTICO - Incumplimiento Normativo SEPS",IF(AND(OR(LEFT(N757,2)="L4",LEFT(N757,2)="L5"),AND(P757&lt;&gt;"",P757&lt;&gt;"N/A")),"CONFORME - Control Efectivo ISO 27001","OBSERVACIÓN - Revisar Controles")))</f>
        <v/>
      </c>
    </row>
    <row r="758">
      <c r="A758">
        <f>IF(INVENTARIO!A758="","",INVENTARIO!A758)</f>
        <v/>
      </c>
      <c r="B758">
        <f>IF(INVENTARIO!E758="","",INVENTARIO!E758)</f>
        <v/>
      </c>
      <c r="C758">
        <f>IF(INVENTARIO!F758="","",INVENTARIO!F758)</f>
        <v/>
      </c>
      <c r="D758">
        <f>IF(INVENTARIO!H758="","",INVENTARIO!H758)</f>
        <v/>
      </c>
      <c r="E758">
        <f>IF(INVENTARIO!I758="","",INVENTARIO!I758)</f>
        <v/>
      </c>
      <c r="F758">
        <f>IF(INVENTARIO!N758="","",INVENTARIO!N758)</f>
        <v/>
      </c>
      <c r="G758">
        <f>IF(INVENTARIO!P758="","",INVENTARIO!P758)</f>
        <v/>
      </c>
      <c r="H758">
        <f>IF(INVENTARIO!Q758="","",INVENTARIO!Q758)</f>
        <v/>
      </c>
      <c r="I758">
        <f>IF(INVENTARIO!R758="","",INVENTARIO!R758)</f>
        <v/>
      </c>
      <c r="J758">
        <f>IF(G758="PUBLICA(1)",1,IF(G758="USO INTERNO(2)",2,IF(G758="RESTRINGIDO(3)",3,0)))+IF(H758="BAJA(1)",1,IF(H758="MEDIA(2)",2,IF(H758="ALTA(3)",3,0)))+IF(I758="BAJA(1)",1,IF(I758="MEDIA(2)",2,IF(I758="ALTA(3)",3,0)))</f>
        <v/>
      </c>
      <c r="K758">
        <f>IF(J758="", "", IF(J758&gt;=8,"ALTA",IF(J758&gt;=6,"MEDIA","BAJA")))</f>
        <v/>
      </c>
      <c r="L758">
        <f>IF(INVENTARIO!Y758="","",INVENTARIO!Y758)</f>
        <v/>
      </c>
      <c r="M758">
        <f>IF(INVENTARIO!Z758="","",INVENTARIO!Z758)</f>
        <v/>
      </c>
      <c r="N758">
        <f>IF(INVENTARIO!AA758="","",INVENTARIO!AA758)</f>
        <v/>
      </c>
      <c r="O758">
        <f>IF(INVENTARIO!AB758="","",INVENTARIO!AB758)</f>
        <v/>
      </c>
      <c r="P758">
        <f>IF(INVENTARIO!AC758="","",INVENTARIO!AC758)</f>
        <v/>
      </c>
      <c r="Q758">
        <f>IF(AND(K758="",N758="",L758=""),"",IF(AND((K758="ALTA"),OR(LEFT(N758,2)="L0",LEFT(N758,2)="L1",L758="No Iniciado")),"CRÍTICO - Incumplimiento Normativo SEPS",IF(AND(OR(LEFT(N758,2)="L4",LEFT(N758,2)="L5"),AND(P758&lt;&gt;"",P758&lt;&gt;"N/A")),"CONFORME - Control Efectivo ISO 27001","OBSERVACIÓN - Revisar Controles")))</f>
        <v/>
      </c>
    </row>
    <row r="759">
      <c r="A759">
        <f>IF(INVENTARIO!A759="","",INVENTARIO!A759)</f>
        <v/>
      </c>
      <c r="B759">
        <f>IF(INVENTARIO!E759="","",INVENTARIO!E759)</f>
        <v/>
      </c>
      <c r="C759">
        <f>IF(INVENTARIO!F759="","",INVENTARIO!F759)</f>
        <v/>
      </c>
      <c r="D759">
        <f>IF(INVENTARIO!H759="","",INVENTARIO!H759)</f>
        <v/>
      </c>
      <c r="E759">
        <f>IF(INVENTARIO!I759="","",INVENTARIO!I759)</f>
        <v/>
      </c>
      <c r="F759">
        <f>IF(INVENTARIO!N759="","",INVENTARIO!N759)</f>
        <v/>
      </c>
      <c r="G759">
        <f>IF(INVENTARIO!P759="","",INVENTARIO!P759)</f>
        <v/>
      </c>
      <c r="H759">
        <f>IF(INVENTARIO!Q759="","",INVENTARIO!Q759)</f>
        <v/>
      </c>
      <c r="I759">
        <f>IF(INVENTARIO!R759="","",INVENTARIO!R759)</f>
        <v/>
      </c>
      <c r="J759">
        <f>IF(G759="PUBLICA(1)",1,IF(G759="USO INTERNO(2)",2,IF(G759="RESTRINGIDO(3)",3,0)))+IF(H759="BAJA(1)",1,IF(H759="MEDIA(2)",2,IF(H759="ALTA(3)",3,0)))+IF(I759="BAJA(1)",1,IF(I759="MEDIA(2)",2,IF(I759="ALTA(3)",3,0)))</f>
        <v/>
      </c>
      <c r="K759">
        <f>IF(J759="", "", IF(J759&gt;=8,"ALTA",IF(J759&gt;=6,"MEDIA","BAJA")))</f>
        <v/>
      </c>
      <c r="L759">
        <f>IF(INVENTARIO!Y759="","",INVENTARIO!Y759)</f>
        <v/>
      </c>
      <c r="M759">
        <f>IF(INVENTARIO!Z759="","",INVENTARIO!Z759)</f>
        <v/>
      </c>
      <c r="N759">
        <f>IF(INVENTARIO!AA759="","",INVENTARIO!AA759)</f>
        <v/>
      </c>
      <c r="O759">
        <f>IF(INVENTARIO!AB759="","",INVENTARIO!AB759)</f>
        <v/>
      </c>
      <c r="P759">
        <f>IF(INVENTARIO!AC759="","",INVENTARIO!AC759)</f>
        <v/>
      </c>
      <c r="Q759">
        <f>IF(AND(K759="",N759="",L759=""),"",IF(AND((K759="ALTA"),OR(LEFT(N759,2)="L0",LEFT(N759,2)="L1",L759="No Iniciado")),"CRÍTICO - Incumplimiento Normativo SEPS",IF(AND(OR(LEFT(N759,2)="L4",LEFT(N759,2)="L5"),AND(P759&lt;&gt;"",P759&lt;&gt;"N/A")),"CONFORME - Control Efectivo ISO 27001","OBSERVACIÓN - Revisar Controles")))</f>
        <v/>
      </c>
    </row>
    <row r="760">
      <c r="A760">
        <f>IF(INVENTARIO!A760="","",INVENTARIO!A760)</f>
        <v/>
      </c>
      <c r="B760">
        <f>IF(INVENTARIO!E760="","",INVENTARIO!E760)</f>
        <v/>
      </c>
      <c r="C760">
        <f>IF(INVENTARIO!F760="","",INVENTARIO!F760)</f>
        <v/>
      </c>
      <c r="D760">
        <f>IF(INVENTARIO!H760="","",INVENTARIO!H760)</f>
        <v/>
      </c>
      <c r="E760">
        <f>IF(INVENTARIO!I760="","",INVENTARIO!I760)</f>
        <v/>
      </c>
      <c r="F760">
        <f>IF(INVENTARIO!N760="","",INVENTARIO!N760)</f>
        <v/>
      </c>
      <c r="G760">
        <f>IF(INVENTARIO!P760="","",INVENTARIO!P760)</f>
        <v/>
      </c>
      <c r="H760">
        <f>IF(INVENTARIO!Q760="","",INVENTARIO!Q760)</f>
        <v/>
      </c>
      <c r="I760">
        <f>IF(INVENTARIO!R760="","",INVENTARIO!R760)</f>
        <v/>
      </c>
      <c r="J760">
        <f>IF(G760="PUBLICA(1)",1,IF(G760="USO INTERNO(2)",2,IF(G760="RESTRINGIDO(3)",3,0)))+IF(H760="BAJA(1)",1,IF(H760="MEDIA(2)",2,IF(H760="ALTA(3)",3,0)))+IF(I760="BAJA(1)",1,IF(I760="MEDIA(2)",2,IF(I760="ALTA(3)",3,0)))</f>
        <v/>
      </c>
      <c r="K760">
        <f>IF(J760="", "", IF(J760&gt;=8,"ALTA",IF(J760&gt;=6,"MEDIA","BAJA")))</f>
        <v/>
      </c>
      <c r="L760">
        <f>IF(INVENTARIO!Y760="","",INVENTARIO!Y760)</f>
        <v/>
      </c>
      <c r="M760">
        <f>IF(INVENTARIO!Z760="","",INVENTARIO!Z760)</f>
        <v/>
      </c>
      <c r="N760">
        <f>IF(INVENTARIO!AA760="","",INVENTARIO!AA760)</f>
        <v/>
      </c>
      <c r="O760">
        <f>IF(INVENTARIO!AB760="","",INVENTARIO!AB760)</f>
        <v/>
      </c>
      <c r="P760">
        <f>IF(INVENTARIO!AC760="","",INVENTARIO!AC760)</f>
        <v/>
      </c>
      <c r="Q760">
        <f>IF(AND(K760="",N760="",L760=""),"",IF(AND((K760="ALTA"),OR(LEFT(N760,2)="L0",LEFT(N760,2)="L1",L760="No Iniciado")),"CRÍTICO - Incumplimiento Normativo SEPS",IF(AND(OR(LEFT(N760,2)="L4",LEFT(N760,2)="L5"),AND(P760&lt;&gt;"",P760&lt;&gt;"N/A")),"CONFORME - Control Efectivo ISO 27001","OBSERVACIÓN - Revisar Controles")))</f>
        <v/>
      </c>
    </row>
    <row r="761">
      <c r="A761">
        <f>IF(INVENTARIO!A761="","",INVENTARIO!A761)</f>
        <v/>
      </c>
      <c r="B761">
        <f>IF(INVENTARIO!E761="","",INVENTARIO!E761)</f>
        <v/>
      </c>
      <c r="C761">
        <f>IF(INVENTARIO!F761="","",INVENTARIO!F761)</f>
        <v/>
      </c>
      <c r="D761">
        <f>IF(INVENTARIO!H761="","",INVENTARIO!H761)</f>
        <v/>
      </c>
      <c r="E761">
        <f>IF(INVENTARIO!I761="","",INVENTARIO!I761)</f>
        <v/>
      </c>
      <c r="F761">
        <f>IF(INVENTARIO!N761="","",INVENTARIO!N761)</f>
        <v/>
      </c>
      <c r="G761">
        <f>IF(INVENTARIO!P761="","",INVENTARIO!P761)</f>
        <v/>
      </c>
      <c r="H761">
        <f>IF(INVENTARIO!Q761="","",INVENTARIO!Q761)</f>
        <v/>
      </c>
      <c r="I761">
        <f>IF(INVENTARIO!R761="","",INVENTARIO!R761)</f>
        <v/>
      </c>
      <c r="J761">
        <f>IF(G761="PUBLICA(1)",1,IF(G761="USO INTERNO(2)",2,IF(G761="RESTRINGIDO(3)",3,0)))+IF(H761="BAJA(1)",1,IF(H761="MEDIA(2)",2,IF(H761="ALTA(3)",3,0)))+IF(I761="BAJA(1)",1,IF(I761="MEDIA(2)",2,IF(I761="ALTA(3)",3,0)))</f>
        <v/>
      </c>
      <c r="K761">
        <f>IF(J761="", "", IF(J761&gt;=8,"ALTA",IF(J761&gt;=6,"MEDIA","BAJA")))</f>
        <v/>
      </c>
      <c r="L761">
        <f>IF(INVENTARIO!Y761="","",INVENTARIO!Y761)</f>
        <v/>
      </c>
      <c r="M761">
        <f>IF(INVENTARIO!Z761="","",INVENTARIO!Z761)</f>
        <v/>
      </c>
      <c r="N761">
        <f>IF(INVENTARIO!AA761="","",INVENTARIO!AA761)</f>
        <v/>
      </c>
      <c r="O761">
        <f>IF(INVENTARIO!AB761="","",INVENTARIO!AB761)</f>
        <v/>
      </c>
      <c r="P761">
        <f>IF(INVENTARIO!AC761="","",INVENTARIO!AC761)</f>
        <v/>
      </c>
      <c r="Q761">
        <f>IF(AND(K761="",N761="",L761=""),"",IF(AND((K761="ALTA"),OR(LEFT(N761,2)="L0",LEFT(N761,2)="L1",L761="No Iniciado")),"CRÍTICO - Incumplimiento Normativo SEPS",IF(AND(OR(LEFT(N761,2)="L4",LEFT(N761,2)="L5"),AND(P761&lt;&gt;"",P761&lt;&gt;"N/A")),"CONFORME - Control Efectivo ISO 27001","OBSERVACIÓN - Revisar Controles")))</f>
        <v/>
      </c>
    </row>
    <row r="762">
      <c r="A762">
        <f>IF(INVENTARIO!A762="","",INVENTARIO!A762)</f>
        <v/>
      </c>
      <c r="B762">
        <f>IF(INVENTARIO!E762="","",INVENTARIO!E762)</f>
        <v/>
      </c>
      <c r="C762">
        <f>IF(INVENTARIO!F762="","",INVENTARIO!F762)</f>
        <v/>
      </c>
      <c r="D762">
        <f>IF(INVENTARIO!H762="","",INVENTARIO!H762)</f>
        <v/>
      </c>
      <c r="E762">
        <f>IF(INVENTARIO!I762="","",INVENTARIO!I762)</f>
        <v/>
      </c>
      <c r="F762">
        <f>IF(INVENTARIO!N762="","",INVENTARIO!N762)</f>
        <v/>
      </c>
      <c r="G762">
        <f>IF(INVENTARIO!P762="","",INVENTARIO!P762)</f>
        <v/>
      </c>
      <c r="H762">
        <f>IF(INVENTARIO!Q762="","",INVENTARIO!Q762)</f>
        <v/>
      </c>
      <c r="I762">
        <f>IF(INVENTARIO!R762="","",INVENTARIO!R762)</f>
        <v/>
      </c>
      <c r="J762">
        <f>IF(G762="PUBLICA(1)",1,IF(G762="USO INTERNO(2)",2,IF(G762="RESTRINGIDO(3)",3,0)))+IF(H762="BAJA(1)",1,IF(H762="MEDIA(2)",2,IF(H762="ALTA(3)",3,0)))+IF(I762="BAJA(1)",1,IF(I762="MEDIA(2)",2,IF(I762="ALTA(3)",3,0)))</f>
        <v/>
      </c>
      <c r="K762">
        <f>IF(J762="", "", IF(J762&gt;=8,"ALTA",IF(J762&gt;=6,"MEDIA","BAJA")))</f>
        <v/>
      </c>
      <c r="L762">
        <f>IF(INVENTARIO!Y762="","",INVENTARIO!Y762)</f>
        <v/>
      </c>
      <c r="M762">
        <f>IF(INVENTARIO!Z762="","",INVENTARIO!Z762)</f>
        <v/>
      </c>
      <c r="N762">
        <f>IF(INVENTARIO!AA762="","",INVENTARIO!AA762)</f>
        <v/>
      </c>
      <c r="O762">
        <f>IF(INVENTARIO!AB762="","",INVENTARIO!AB762)</f>
        <v/>
      </c>
      <c r="P762">
        <f>IF(INVENTARIO!AC762="","",INVENTARIO!AC762)</f>
        <v/>
      </c>
      <c r="Q762">
        <f>IF(AND(K762="",N762="",L762=""),"",IF(AND((K762="ALTA"),OR(LEFT(N762,2)="L0",LEFT(N762,2)="L1",L762="No Iniciado")),"CRÍTICO - Incumplimiento Normativo SEPS",IF(AND(OR(LEFT(N762,2)="L4",LEFT(N762,2)="L5"),AND(P762&lt;&gt;"",P762&lt;&gt;"N/A")),"CONFORME - Control Efectivo ISO 27001","OBSERVACIÓN - Revisar Controles")))</f>
        <v/>
      </c>
    </row>
    <row r="763">
      <c r="A763">
        <f>IF(INVENTARIO!A763="","",INVENTARIO!A763)</f>
        <v/>
      </c>
      <c r="B763">
        <f>IF(INVENTARIO!E763="","",INVENTARIO!E763)</f>
        <v/>
      </c>
      <c r="C763">
        <f>IF(INVENTARIO!F763="","",INVENTARIO!F763)</f>
        <v/>
      </c>
      <c r="D763">
        <f>IF(INVENTARIO!H763="","",INVENTARIO!H763)</f>
        <v/>
      </c>
      <c r="E763">
        <f>IF(INVENTARIO!I763="","",INVENTARIO!I763)</f>
        <v/>
      </c>
      <c r="F763">
        <f>IF(INVENTARIO!N763="","",INVENTARIO!N763)</f>
        <v/>
      </c>
      <c r="G763">
        <f>IF(INVENTARIO!P763="","",INVENTARIO!P763)</f>
        <v/>
      </c>
      <c r="H763">
        <f>IF(INVENTARIO!Q763="","",INVENTARIO!Q763)</f>
        <v/>
      </c>
      <c r="I763">
        <f>IF(INVENTARIO!R763="","",INVENTARIO!R763)</f>
        <v/>
      </c>
      <c r="J763">
        <f>IF(G763="PUBLICA(1)",1,IF(G763="USO INTERNO(2)",2,IF(G763="RESTRINGIDO(3)",3,0)))+IF(H763="BAJA(1)",1,IF(H763="MEDIA(2)",2,IF(H763="ALTA(3)",3,0)))+IF(I763="BAJA(1)",1,IF(I763="MEDIA(2)",2,IF(I763="ALTA(3)",3,0)))</f>
        <v/>
      </c>
      <c r="K763">
        <f>IF(J763="", "", IF(J763&gt;=8,"ALTA",IF(J763&gt;=6,"MEDIA","BAJA")))</f>
        <v/>
      </c>
      <c r="L763">
        <f>IF(INVENTARIO!Y763="","",INVENTARIO!Y763)</f>
        <v/>
      </c>
      <c r="M763">
        <f>IF(INVENTARIO!Z763="","",INVENTARIO!Z763)</f>
        <v/>
      </c>
      <c r="N763">
        <f>IF(INVENTARIO!AA763="","",INVENTARIO!AA763)</f>
        <v/>
      </c>
      <c r="O763">
        <f>IF(INVENTARIO!AB763="","",INVENTARIO!AB763)</f>
        <v/>
      </c>
      <c r="P763">
        <f>IF(INVENTARIO!AC763="","",INVENTARIO!AC763)</f>
        <v/>
      </c>
      <c r="Q763">
        <f>IF(AND(K763="",N763="",L763=""),"",IF(AND((K763="ALTA"),OR(LEFT(N763,2)="L0",LEFT(N763,2)="L1",L763="No Iniciado")),"CRÍTICO - Incumplimiento Normativo SEPS",IF(AND(OR(LEFT(N763,2)="L4",LEFT(N763,2)="L5"),AND(P763&lt;&gt;"",P763&lt;&gt;"N/A")),"CONFORME - Control Efectivo ISO 27001","OBSERVACIÓN - Revisar Controles")))</f>
        <v/>
      </c>
    </row>
    <row r="764">
      <c r="A764">
        <f>IF(INVENTARIO!A764="","",INVENTARIO!A764)</f>
        <v/>
      </c>
      <c r="B764">
        <f>IF(INVENTARIO!E764="","",INVENTARIO!E764)</f>
        <v/>
      </c>
      <c r="C764">
        <f>IF(INVENTARIO!F764="","",INVENTARIO!F764)</f>
        <v/>
      </c>
      <c r="D764">
        <f>IF(INVENTARIO!H764="","",INVENTARIO!H764)</f>
        <v/>
      </c>
      <c r="E764">
        <f>IF(INVENTARIO!I764="","",INVENTARIO!I764)</f>
        <v/>
      </c>
      <c r="F764">
        <f>IF(INVENTARIO!N764="","",INVENTARIO!N764)</f>
        <v/>
      </c>
      <c r="G764">
        <f>IF(INVENTARIO!P764="","",INVENTARIO!P764)</f>
        <v/>
      </c>
      <c r="H764">
        <f>IF(INVENTARIO!Q764="","",INVENTARIO!Q764)</f>
        <v/>
      </c>
      <c r="I764">
        <f>IF(INVENTARIO!R764="","",INVENTARIO!R764)</f>
        <v/>
      </c>
      <c r="J764">
        <f>IF(G764="PUBLICA(1)",1,IF(G764="USO INTERNO(2)",2,IF(G764="RESTRINGIDO(3)",3,0)))+IF(H764="BAJA(1)",1,IF(H764="MEDIA(2)",2,IF(H764="ALTA(3)",3,0)))+IF(I764="BAJA(1)",1,IF(I764="MEDIA(2)",2,IF(I764="ALTA(3)",3,0)))</f>
        <v/>
      </c>
      <c r="K764">
        <f>IF(J764="", "", IF(J764&gt;=8,"ALTA",IF(J764&gt;=6,"MEDIA","BAJA")))</f>
        <v/>
      </c>
      <c r="L764">
        <f>IF(INVENTARIO!Y764="","",INVENTARIO!Y764)</f>
        <v/>
      </c>
      <c r="M764">
        <f>IF(INVENTARIO!Z764="","",INVENTARIO!Z764)</f>
        <v/>
      </c>
      <c r="N764">
        <f>IF(INVENTARIO!AA764="","",INVENTARIO!AA764)</f>
        <v/>
      </c>
      <c r="O764">
        <f>IF(INVENTARIO!AB764="","",INVENTARIO!AB764)</f>
        <v/>
      </c>
      <c r="P764">
        <f>IF(INVENTARIO!AC764="","",INVENTARIO!AC764)</f>
        <v/>
      </c>
      <c r="Q764">
        <f>IF(AND(K764="",N764="",L764=""),"",IF(AND((K764="ALTA"),OR(LEFT(N764,2)="L0",LEFT(N764,2)="L1",L764="No Iniciado")),"CRÍTICO - Incumplimiento Normativo SEPS",IF(AND(OR(LEFT(N764,2)="L4",LEFT(N764,2)="L5"),AND(P764&lt;&gt;"",P764&lt;&gt;"N/A")),"CONFORME - Control Efectivo ISO 27001","OBSERVACIÓN - Revisar Controles")))</f>
        <v/>
      </c>
    </row>
    <row r="765">
      <c r="A765">
        <f>IF(INVENTARIO!A765="","",INVENTARIO!A765)</f>
        <v/>
      </c>
      <c r="B765">
        <f>IF(INVENTARIO!E765="","",INVENTARIO!E765)</f>
        <v/>
      </c>
      <c r="C765">
        <f>IF(INVENTARIO!F765="","",INVENTARIO!F765)</f>
        <v/>
      </c>
      <c r="D765">
        <f>IF(INVENTARIO!H765="","",INVENTARIO!H765)</f>
        <v/>
      </c>
      <c r="E765">
        <f>IF(INVENTARIO!I765="","",INVENTARIO!I765)</f>
        <v/>
      </c>
      <c r="F765">
        <f>IF(INVENTARIO!N765="","",INVENTARIO!N765)</f>
        <v/>
      </c>
      <c r="G765">
        <f>IF(INVENTARIO!P765="","",INVENTARIO!P765)</f>
        <v/>
      </c>
      <c r="H765">
        <f>IF(INVENTARIO!Q765="","",INVENTARIO!Q765)</f>
        <v/>
      </c>
      <c r="I765">
        <f>IF(INVENTARIO!R765="","",INVENTARIO!R765)</f>
        <v/>
      </c>
      <c r="J765">
        <f>IF(G765="PUBLICA(1)",1,IF(G765="USO INTERNO(2)",2,IF(G765="RESTRINGIDO(3)",3,0)))+IF(H765="BAJA(1)",1,IF(H765="MEDIA(2)",2,IF(H765="ALTA(3)",3,0)))+IF(I765="BAJA(1)",1,IF(I765="MEDIA(2)",2,IF(I765="ALTA(3)",3,0)))</f>
        <v/>
      </c>
      <c r="K765">
        <f>IF(J765="", "", IF(J765&gt;=8,"ALTA",IF(J765&gt;=6,"MEDIA","BAJA")))</f>
        <v/>
      </c>
      <c r="L765">
        <f>IF(INVENTARIO!Y765="","",INVENTARIO!Y765)</f>
        <v/>
      </c>
      <c r="M765">
        <f>IF(INVENTARIO!Z765="","",INVENTARIO!Z765)</f>
        <v/>
      </c>
      <c r="N765">
        <f>IF(INVENTARIO!AA765="","",INVENTARIO!AA765)</f>
        <v/>
      </c>
      <c r="O765">
        <f>IF(INVENTARIO!AB765="","",INVENTARIO!AB765)</f>
        <v/>
      </c>
      <c r="P765">
        <f>IF(INVENTARIO!AC765="","",INVENTARIO!AC765)</f>
        <v/>
      </c>
      <c r="Q765">
        <f>IF(AND(K765="",N765="",L765=""),"",IF(AND((K765="ALTA"),OR(LEFT(N765,2)="L0",LEFT(N765,2)="L1",L765="No Iniciado")),"CRÍTICO - Incumplimiento Normativo SEPS",IF(AND(OR(LEFT(N765,2)="L4",LEFT(N765,2)="L5"),AND(P765&lt;&gt;"",P765&lt;&gt;"N/A")),"CONFORME - Control Efectivo ISO 27001","OBSERVACIÓN - Revisar Controles")))</f>
        <v/>
      </c>
    </row>
    <row r="766">
      <c r="A766">
        <f>IF(INVENTARIO!A766="","",INVENTARIO!A766)</f>
        <v/>
      </c>
      <c r="B766">
        <f>IF(INVENTARIO!E766="","",INVENTARIO!E766)</f>
        <v/>
      </c>
      <c r="C766">
        <f>IF(INVENTARIO!F766="","",INVENTARIO!F766)</f>
        <v/>
      </c>
      <c r="D766">
        <f>IF(INVENTARIO!H766="","",INVENTARIO!H766)</f>
        <v/>
      </c>
      <c r="E766">
        <f>IF(INVENTARIO!I766="","",INVENTARIO!I766)</f>
        <v/>
      </c>
      <c r="F766">
        <f>IF(INVENTARIO!N766="","",INVENTARIO!N766)</f>
        <v/>
      </c>
      <c r="G766">
        <f>IF(INVENTARIO!P766="","",INVENTARIO!P766)</f>
        <v/>
      </c>
      <c r="H766">
        <f>IF(INVENTARIO!Q766="","",INVENTARIO!Q766)</f>
        <v/>
      </c>
      <c r="I766">
        <f>IF(INVENTARIO!R766="","",INVENTARIO!R766)</f>
        <v/>
      </c>
      <c r="J766">
        <f>IF(G766="PUBLICA(1)",1,IF(G766="USO INTERNO(2)",2,IF(G766="RESTRINGIDO(3)",3,0)))+IF(H766="BAJA(1)",1,IF(H766="MEDIA(2)",2,IF(H766="ALTA(3)",3,0)))+IF(I766="BAJA(1)",1,IF(I766="MEDIA(2)",2,IF(I766="ALTA(3)",3,0)))</f>
        <v/>
      </c>
      <c r="K766">
        <f>IF(J766="", "", IF(J766&gt;=8,"ALTA",IF(J766&gt;=6,"MEDIA","BAJA")))</f>
        <v/>
      </c>
      <c r="L766">
        <f>IF(INVENTARIO!Y766="","",INVENTARIO!Y766)</f>
        <v/>
      </c>
      <c r="M766">
        <f>IF(INVENTARIO!Z766="","",INVENTARIO!Z766)</f>
        <v/>
      </c>
      <c r="N766">
        <f>IF(INVENTARIO!AA766="","",INVENTARIO!AA766)</f>
        <v/>
      </c>
      <c r="O766">
        <f>IF(INVENTARIO!AB766="","",INVENTARIO!AB766)</f>
        <v/>
      </c>
      <c r="P766">
        <f>IF(INVENTARIO!AC766="","",INVENTARIO!AC766)</f>
        <v/>
      </c>
      <c r="Q766">
        <f>IF(AND(K766="",N766="",L766=""),"",IF(AND((K766="ALTA"),OR(LEFT(N766,2)="L0",LEFT(N766,2)="L1",L766="No Iniciado")),"CRÍTICO - Incumplimiento Normativo SEPS",IF(AND(OR(LEFT(N766,2)="L4",LEFT(N766,2)="L5"),AND(P766&lt;&gt;"",P766&lt;&gt;"N/A")),"CONFORME - Control Efectivo ISO 27001","OBSERVACIÓN - Revisar Controles")))</f>
        <v/>
      </c>
    </row>
    <row r="767">
      <c r="A767">
        <f>IF(INVENTARIO!A767="","",INVENTARIO!A767)</f>
        <v/>
      </c>
      <c r="B767">
        <f>IF(INVENTARIO!E767="","",INVENTARIO!E767)</f>
        <v/>
      </c>
      <c r="C767">
        <f>IF(INVENTARIO!F767="","",INVENTARIO!F767)</f>
        <v/>
      </c>
      <c r="D767">
        <f>IF(INVENTARIO!H767="","",INVENTARIO!H767)</f>
        <v/>
      </c>
      <c r="E767">
        <f>IF(INVENTARIO!I767="","",INVENTARIO!I767)</f>
        <v/>
      </c>
      <c r="F767">
        <f>IF(INVENTARIO!N767="","",INVENTARIO!N767)</f>
        <v/>
      </c>
      <c r="G767">
        <f>IF(INVENTARIO!P767="","",INVENTARIO!P767)</f>
        <v/>
      </c>
      <c r="H767">
        <f>IF(INVENTARIO!Q767="","",INVENTARIO!Q767)</f>
        <v/>
      </c>
      <c r="I767">
        <f>IF(INVENTARIO!R767="","",INVENTARIO!R767)</f>
        <v/>
      </c>
      <c r="J767">
        <f>IF(G767="PUBLICA(1)",1,IF(G767="USO INTERNO(2)",2,IF(G767="RESTRINGIDO(3)",3,0)))+IF(H767="BAJA(1)",1,IF(H767="MEDIA(2)",2,IF(H767="ALTA(3)",3,0)))+IF(I767="BAJA(1)",1,IF(I767="MEDIA(2)",2,IF(I767="ALTA(3)",3,0)))</f>
        <v/>
      </c>
      <c r="K767">
        <f>IF(J767="", "", IF(J767&gt;=8,"ALTA",IF(J767&gt;=6,"MEDIA","BAJA")))</f>
        <v/>
      </c>
      <c r="L767">
        <f>IF(INVENTARIO!Y767="","",INVENTARIO!Y767)</f>
        <v/>
      </c>
      <c r="M767">
        <f>IF(INVENTARIO!Z767="","",INVENTARIO!Z767)</f>
        <v/>
      </c>
      <c r="N767">
        <f>IF(INVENTARIO!AA767="","",INVENTARIO!AA767)</f>
        <v/>
      </c>
      <c r="O767">
        <f>IF(INVENTARIO!AB767="","",INVENTARIO!AB767)</f>
        <v/>
      </c>
      <c r="P767">
        <f>IF(INVENTARIO!AC767="","",INVENTARIO!AC767)</f>
        <v/>
      </c>
      <c r="Q767">
        <f>IF(AND(K767="",N767="",L767=""),"",IF(AND((K767="ALTA"),OR(LEFT(N767,2)="L0",LEFT(N767,2)="L1",L767="No Iniciado")),"CRÍTICO - Incumplimiento Normativo SEPS",IF(AND(OR(LEFT(N767,2)="L4",LEFT(N767,2)="L5"),AND(P767&lt;&gt;"",P767&lt;&gt;"N/A")),"CONFORME - Control Efectivo ISO 27001","OBSERVACIÓN - Revisar Controles")))</f>
        <v/>
      </c>
    </row>
    <row r="768">
      <c r="A768">
        <f>IF(INVENTARIO!A768="","",INVENTARIO!A768)</f>
        <v/>
      </c>
      <c r="B768">
        <f>IF(INVENTARIO!E768="","",INVENTARIO!E768)</f>
        <v/>
      </c>
      <c r="C768">
        <f>IF(INVENTARIO!F768="","",INVENTARIO!F768)</f>
        <v/>
      </c>
      <c r="D768">
        <f>IF(INVENTARIO!H768="","",INVENTARIO!H768)</f>
        <v/>
      </c>
      <c r="E768">
        <f>IF(INVENTARIO!I768="","",INVENTARIO!I768)</f>
        <v/>
      </c>
      <c r="F768">
        <f>IF(INVENTARIO!N768="","",INVENTARIO!N768)</f>
        <v/>
      </c>
      <c r="G768">
        <f>IF(INVENTARIO!P768="","",INVENTARIO!P768)</f>
        <v/>
      </c>
      <c r="H768">
        <f>IF(INVENTARIO!Q768="","",INVENTARIO!Q768)</f>
        <v/>
      </c>
      <c r="I768">
        <f>IF(INVENTARIO!R768="","",INVENTARIO!R768)</f>
        <v/>
      </c>
      <c r="J768">
        <f>IF(G768="PUBLICA(1)",1,IF(G768="USO INTERNO(2)",2,IF(G768="RESTRINGIDO(3)",3,0)))+IF(H768="BAJA(1)",1,IF(H768="MEDIA(2)",2,IF(H768="ALTA(3)",3,0)))+IF(I768="BAJA(1)",1,IF(I768="MEDIA(2)",2,IF(I768="ALTA(3)",3,0)))</f>
        <v/>
      </c>
      <c r="K768">
        <f>IF(J768="", "", IF(J768&gt;=8,"ALTA",IF(J768&gt;=6,"MEDIA","BAJA")))</f>
        <v/>
      </c>
      <c r="L768">
        <f>IF(INVENTARIO!Y768="","",INVENTARIO!Y768)</f>
        <v/>
      </c>
      <c r="M768">
        <f>IF(INVENTARIO!Z768="","",INVENTARIO!Z768)</f>
        <v/>
      </c>
      <c r="N768">
        <f>IF(INVENTARIO!AA768="","",INVENTARIO!AA768)</f>
        <v/>
      </c>
      <c r="O768">
        <f>IF(INVENTARIO!AB768="","",INVENTARIO!AB768)</f>
        <v/>
      </c>
      <c r="P768">
        <f>IF(INVENTARIO!AC768="","",INVENTARIO!AC768)</f>
        <v/>
      </c>
      <c r="Q768">
        <f>IF(AND(K768="",N768="",L768=""),"",IF(AND((K768="ALTA"),OR(LEFT(N768,2)="L0",LEFT(N768,2)="L1",L768="No Iniciado")),"CRÍTICO - Incumplimiento Normativo SEPS",IF(AND(OR(LEFT(N768,2)="L4",LEFT(N768,2)="L5"),AND(P768&lt;&gt;"",P768&lt;&gt;"N/A")),"CONFORME - Control Efectivo ISO 27001","OBSERVACIÓN - Revisar Controles")))</f>
        <v/>
      </c>
    </row>
    <row r="769">
      <c r="A769">
        <f>IF(INVENTARIO!A769="","",INVENTARIO!A769)</f>
        <v/>
      </c>
      <c r="B769">
        <f>IF(INVENTARIO!E769="","",INVENTARIO!E769)</f>
        <v/>
      </c>
      <c r="C769">
        <f>IF(INVENTARIO!F769="","",INVENTARIO!F769)</f>
        <v/>
      </c>
      <c r="D769">
        <f>IF(INVENTARIO!H769="","",INVENTARIO!H769)</f>
        <v/>
      </c>
      <c r="E769">
        <f>IF(INVENTARIO!I769="","",INVENTARIO!I769)</f>
        <v/>
      </c>
      <c r="F769">
        <f>IF(INVENTARIO!N769="","",INVENTARIO!N769)</f>
        <v/>
      </c>
      <c r="G769">
        <f>IF(INVENTARIO!P769="","",INVENTARIO!P769)</f>
        <v/>
      </c>
      <c r="H769">
        <f>IF(INVENTARIO!Q769="","",INVENTARIO!Q769)</f>
        <v/>
      </c>
      <c r="I769">
        <f>IF(INVENTARIO!R769="","",INVENTARIO!R769)</f>
        <v/>
      </c>
      <c r="J769">
        <f>IF(G769="PUBLICA(1)",1,IF(G769="USO INTERNO(2)",2,IF(G769="RESTRINGIDO(3)",3,0)))+IF(H769="BAJA(1)",1,IF(H769="MEDIA(2)",2,IF(H769="ALTA(3)",3,0)))+IF(I769="BAJA(1)",1,IF(I769="MEDIA(2)",2,IF(I769="ALTA(3)",3,0)))</f>
        <v/>
      </c>
      <c r="K769">
        <f>IF(J769="", "", IF(J769&gt;=8,"ALTA",IF(J769&gt;=6,"MEDIA","BAJA")))</f>
        <v/>
      </c>
      <c r="L769">
        <f>IF(INVENTARIO!Y769="","",INVENTARIO!Y769)</f>
        <v/>
      </c>
      <c r="M769">
        <f>IF(INVENTARIO!Z769="","",INVENTARIO!Z769)</f>
        <v/>
      </c>
      <c r="N769">
        <f>IF(INVENTARIO!AA769="","",INVENTARIO!AA769)</f>
        <v/>
      </c>
      <c r="O769">
        <f>IF(INVENTARIO!AB769="","",INVENTARIO!AB769)</f>
        <v/>
      </c>
      <c r="P769">
        <f>IF(INVENTARIO!AC769="","",INVENTARIO!AC769)</f>
        <v/>
      </c>
      <c r="Q769">
        <f>IF(AND(K769="",N769="",L769=""),"",IF(AND((K769="ALTA"),OR(LEFT(N769,2)="L0",LEFT(N769,2)="L1",L769="No Iniciado")),"CRÍTICO - Incumplimiento Normativo SEPS",IF(AND(OR(LEFT(N769,2)="L4",LEFT(N769,2)="L5"),AND(P769&lt;&gt;"",P769&lt;&gt;"N/A")),"CONFORME - Control Efectivo ISO 27001","OBSERVACIÓN - Revisar Controles")))</f>
        <v/>
      </c>
    </row>
    <row r="770">
      <c r="A770">
        <f>IF(INVENTARIO!A770="","",INVENTARIO!A770)</f>
        <v/>
      </c>
      <c r="B770">
        <f>IF(INVENTARIO!E770="","",INVENTARIO!E770)</f>
        <v/>
      </c>
      <c r="C770">
        <f>IF(INVENTARIO!F770="","",INVENTARIO!F770)</f>
        <v/>
      </c>
      <c r="D770">
        <f>IF(INVENTARIO!H770="","",INVENTARIO!H770)</f>
        <v/>
      </c>
      <c r="E770">
        <f>IF(INVENTARIO!I770="","",INVENTARIO!I770)</f>
        <v/>
      </c>
      <c r="F770">
        <f>IF(INVENTARIO!N770="","",INVENTARIO!N770)</f>
        <v/>
      </c>
      <c r="G770">
        <f>IF(INVENTARIO!P770="","",INVENTARIO!P770)</f>
        <v/>
      </c>
      <c r="H770">
        <f>IF(INVENTARIO!Q770="","",INVENTARIO!Q770)</f>
        <v/>
      </c>
      <c r="I770">
        <f>IF(INVENTARIO!R770="","",INVENTARIO!R770)</f>
        <v/>
      </c>
      <c r="J770">
        <f>IF(G770="PUBLICA(1)",1,IF(G770="USO INTERNO(2)",2,IF(G770="RESTRINGIDO(3)",3,0)))+IF(H770="BAJA(1)",1,IF(H770="MEDIA(2)",2,IF(H770="ALTA(3)",3,0)))+IF(I770="BAJA(1)",1,IF(I770="MEDIA(2)",2,IF(I770="ALTA(3)",3,0)))</f>
        <v/>
      </c>
      <c r="K770">
        <f>IF(J770="", "", IF(J770&gt;=8,"ALTA",IF(J770&gt;=6,"MEDIA","BAJA")))</f>
        <v/>
      </c>
      <c r="L770">
        <f>IF(INVENTARIO!Y770="","",INVENTARIO!Y770)</f>
        <v/>
      </c>
      <c r="M770">
        <f>IF(INVENTARIO!Z770="","",INVENTARIO!Z770)</f>
        <v/>
      </c>
      <c r="N770">
        <f>IF(INVENTARIO!AA770="","",INVENTARIO!AA770)</f>
        <v/>
      </c>
      <c r="O770">
        <f>IF(INVENTARIO!AB770="","",INVENTARIO!AB770)</f>
        <v/>
      </c>
      <c r="P770">
        <f>IF(INVENTARIO!AC770="","",INVENTARIO!AC770)</f>
        <v/>
      </c>
      <c r="Q770">
        <f>IF(AND(K770="",N770="",L770=""),"",IF(AND((K770="ALTA"),OR(LEFT(N770,2)="L0",LEFT(N770,2)="L1",L770="No Iniciado")),"CRÍTICO - Incumplimiento Normativo SEPS",IF(AND(OR(LEFT(N770,2)="L4",LEFT(N770,2)="L5"),AND(P770&lt;&gt;"",P770&lt;&gt;"N/A")),"CONFORME - Control Efectivo ISO 27001","OBSERVACIÓN - Revisar Controles")))</f>
        <v/>
      </c>
    </row>
    <row r="771">
      <c r="A771">
        <f>IF(INVENTARIO!A771="","",INVENTARIO!A771)</f>
        <v/>
      </c>
      <c r="B771">
        <f>IF(INVENTARIO!E771="","",INVENTARIO!E771)</f>
        <v/>
      </c>
      <c r="C771">
        <f>IF(INVENTARIO!F771="","",INVENTARIO!F771)</f>
        <v/>
      </c>
      <c r="D771">
        <f>IF(INVENTARIO!H771="","",INVENTARIO!H771)</f>
        <v/>
      </c>
      <c r="E771">
        <f>IF(INVENTARIO!I771="","",INVENTARIO!I771)</f>
        <v/>
      </c>
      <c r="F771">
        <f>IF(INVENTARIO!N771="","",INVENTARIO!N771)</f>
        <v/>
      </c>
      <c r="G771">
        <f>IF(INVENTARIO!P771="","",INVENTARIO!P771)</f>
        <v/>
      </c>
      <c r="H771">
        <f>IF(INVENTARIO!Q771="","",INVENTARIO!Q771)</f>
        <v/>
      </c>
      <c r="I771">
        <f>IF(INVENTARIO!R771="","",INVENTARIO!R771)</f>
        <v/>
      </c>
      <c r="J771">
        <f>IF(G771="PUBLICA(1)",1,IF(G771="USO INTERNO(2)",2,IF(G771="RESTRINGIDO(3)",3,0)))+IF(H771="BAJA(1)",1,IF(H771="MEDIA(2)",2,IF(H771="ALTA(3)",3,0)))+IF(I771="BAJA(1)",1,IF(I771="MEDIA(2)",2,IF(I771="ALTA(3)",3,0)))</f>
        <v/>
      </c>
      <c r="K771">
        <f>IF(J771="", "", IF(J771&gt;=8,"ALTA",IF(J771&gt;=6,"MEDIA","BAJA")))</f>
        <v/>
      </c>
      <c r="L771">
        <f>IF(INVENTARIO!Y771="","",INVENTARIO!Y771)</f>
        <v/>
      </c>
      <c r="M771">
        <f>IF(INVENTARIO!Z771="","",INVENTARIO!Z771)</f>
        <v/>
      </c>
      <c r="N771">
        <f>IF(INVENTARIO!AA771="","",INVENTARIO!AA771)</f>
        <v/>
      </c>
      <c r="O771">
        <f>IF(INVENTARIO!AB771="","",INVENTARIO!AB771)</f>
        <v/>
      </c>
      <c r="P771">
        <f>IF(INVENTARIO!AC771="","",INVENTARIO!AC771)</f>
        <v/>
      </c>
      <c r="Q771">
        <f>IF(AND(K771="",N771="",L771=""),"",IF(AND((K771="ALTA"),OR(LEFT(N771,2)="L0",LEFT(N771,2)="L1",L771="No Iniciado")),"CRÍTICO - Incumplimiento Normativo SEPS",IF(AND(OR(LEFT(N771,2)="L4",LEFT(N771,2)="L5"),AND(P771&lt;&gt;"",P771&lt;&gt;"N/A")),"CONFORME - Control Efectivo ISO 27001","OBSERVACIÓN - Revisar Controles")))</f>
        <v/>
      </c>
    </row>
    <row r="772">
      <c r="A772">
        <f>IF(INVENTARIO!A772="","",INVENTARIO!A772)</f>
        <v/>
      </c>
      <c r="B772">
        <f>IF(INVENTARIO!E772="","",INVENTARIO!E772)</f>
        <v/>
      </c>
      <c r="C772">
        <f>IF(INVENTARIO!F772="","",INVENTARIO!F772)</f>
        <v/>
      </c>
      <c r="D772">
        <f>IF(INVENTARIO!H772="","",INVENTARIO!H772)</f>
        <v/>
      </c>
      <c r="E772">
        <f>IF(INVENTARIO!I772="","",INVENTARIO!I772)</f>
        <v/>
      </c>
      <c r="F772">
        <f>IF(INVENTARIO!N772="","",INVENTARIO!N772)</f>
        <v/>
      </c>
      <c r="G772">
        <f>IF(INVENTARIO!P772="","",INVENTARIO!P772)</f>
        <v/>
      </c>
      <c r="H772">
        <f>IF(INVENTARIO!Q772="","",INVENTARIO!Q772)</f>
        <v/>
      </c>
      <c r="I772">
        <f>IF(INVENTARIO!R772="","",INVENTARIO!R772)</f>
        <v/>
      </c>
      <c r="J772">
        <f>IF(G772="PUBLICA(1)",1,IF(G772="USO INTERNO(2)",2,IF(G772="RESTRINGIDO(3)",3,0)))+IF(H772="BAJA(1)",1,IF(H772="MEDIA(2)",2,IF(H772="ALTA(3)",3,0)))+IF(I772="BAJA(1)",1,IF(I772="MEDIA(2)",2,IF(I772="ALTA(3)",3,0)))</f>
        <v/>
      </c>
      <c r="K772">
        <f>IF(J772="", "", IF(J772&gt;=8,"ALTA",IF(J772&gt;=6,"MEDIA","BAJA")))</f>
        <v/>
      </c>
      <c r="L772">
        <f>IF(INVENTARIO!Y772="","",INVENTARIO!Y772)</f>
        <v/>
      </c>
      <c r="M772">
        <f>IF(INVENTARIO!Z772="","",INVENTARIO!Z772)</f>
        <v/>
      </c>
      <c r="N772">
        <f>IF(INVENTARIO!AA772="","",INVENTARIO!AA772)</f>
        <v/>
      </c>
      <c r="O772">
        <f>IF(INVENTARIO!AB772="","",INVENTARIO!AB772)</f>
        <v/>
      </c>
      <c r="P772">
        <f>IF(INVENTARIO!AC772="","",INVENTARIO!AC772)</f>
        <v/>
      </c>
      <c r="Q772">
        <f>IF(AND(K772="",N772="",L772=""),"",IF(AND((K772="ALTA"),OR(LEFT(N772,2)="L0",LEFT(N772,2)="L1",L772="No Iniciado")),"CRÍTICO - Incumplimiento Normativo SEPS",IF(AND(OR(LEFT(N772,2)="L4",LEFT(N772,2)="L5"),AND(P772&lt;&gt;"",P772&lt;&gt;"N/A")),"CONFORME - Control Efectivo ISO 27001","OBSERVACIÓN - Revisar Controles")))</f>
        <v/>
      </c>
    </row>
    <row r="773">
      <c r="A773">
        <f>IF(INVENTARIO!A773="","",INVENTARIO!A773)</f>
        <v/>
      </c>
      <c r="B773">
        <f>IF(INVENTARIO!E773="","",INVENTARIO!E773)</f>
        <v/>
      </c>
      <c r="C773">
        <f>IF(INVENTARIO!F773="","",INVENTARIO!F773)</f>
        <v/>
      </c>
      <c r="D773">
        <f>IF(INVENTARIO!H773="","",INVENTARIO!H773)</f>
        <v/>
      </c>
      <c r="E773">
        <f>IF(INVENTARIO!I773="","",INVENTARIO!I773)</f>
        <v/>
      </c>
      <c r="F773">
        <f>IF(INVENTARIO!N773="","",INVENTARIO!N773)</f>
        <v/>
      </c>
      <c r="G773">
        <f>IF(INVENTARIO!P773="","",INVENTARIO!P773)</f>
        <v/>
      </c>
      <c r="H773">
        <f>IF(INVENTARIO!Q773="","",INVENTARIO!Q773)</f>
        <v/>
      </c>
      <c r="I773">
        <f>IF(INVENTARIO!R773="","",INVENTARIO!R773)</f>
        <v/>
      </c>
      <c r="J773">
        <f>IF(G773="PUBLICA(1)",1,IF(G773="USO INTERNO(2)",2,IF(G773="RESTRINGIDO(3)",3,0)))+IF(H773="BAJA(1)",1,IF(H773="MEDIA(2)",2,IF(H773="ALTA(3)",3,0)))+IF(I773="BAJA(1)",1,IF(I773="MEDIA(2)",2,IF(I773="ALTA(3)",3,0)))</f>
        <v/>
      </c>
      <c r="K773">
        <f>IF(J773="", "", IF(J773&gt;=8,"ALTA",IF(J773&gt;=6,"MEDIA","BAJA")))</f>
        <v/>
      </c>
      <c r="L773">
        <f>IF(INVENTARIO!Y773="","",INVENTARIO!Y773)</f>
        <v/>
      </c>
      <c r="M773">
        <f>IF(INVENTARIO!Z773="","",INVENTARIO!Z773)</f>
        <v/>
      </c>
      <c r="N773">
        <f>IF(INVENTARIO!AA773="","",INVENTARIO!AA773)</f>
        <v/>
      </c>
      <c r="O773">
        <f>IF(INVENTARIO!AB773="","",INVENTARIO!AB773)</f>
        <v/>
      </c>
      <c r="P773">
        <f>IF(INVENTARIO!AC773="","",INVENTARIO!AC773)</f>
        <v/>
      </c>
      <c r="Q773">
        <f>IF(AND(K773="",N773="",L773=""),"",IF(AND((K773="ALTA"),OR(LEFT(N773,2)="L0",LEFT(N773,2)="L1",L773="No Iniciado")),"CRÍTICO - Incumplimiento Normativo SEPS",IF(AND(OR(LEFT(N773,2)="L4",LEFT(N773,2)="L5"),AND(P773&lt;&gt;"",P773&lt;&gt;"N/A")),"CONFORME - Control Efectivo ISO 27001","OBSERVACIÓN - Revisar Controles")))</f>
        <v/>
      </c>
    </row>
    <row r="774">
      <c r="A774">
        <f>IF(INVENTARIO!A774="","",INVENTARIO!A774)</f>
        <v/>
      </c>
      <c r="B774">
        <f>IF(INVENTARIO!E774="","",INVENTARIO!E774)</f>
        <v/>
      </c>
      <c r="C774">
        <f>IF(INVENTARIO!F774="","",INVENTARIO!F774)</f>
        <v/>
      </c>
      <c r="D774">
        <f>IF(INVENTARIO!H774="","",INVENTARIO!H774)</f>
        <v/>
      </c>
      <c r="E774">
        <f>IF(INVENTARIO!I774="","",INVENTARIO!I774)</f>
        <v/>
      </c>
      <c r="F774">
        <f>IF(INVENTARIO!N774="","",INVENTARIO!N774)</f>
        <v/>
      </c>
      <c r="G774">
        <f>IF(INVENTARIO!P774="","",INVENTARIO!P774)</f>
        <v/>
      </c>
      <c r="H774">
        <f>IF(INVENTARIO!Q774="","",INVENTARIO!Q774)</f>
        <v/>
      </c>
      <c r="I774">
        <f>IF(INVENTARIO!R774="","",INVENTARIO!R774)</f>
        <v/>
      </c>
      <c r="J774">
        <f>IF(G774="PUBLICA(1)",1,IF(G774="USO INTERNO(2)",2,IF(G774="RESTRINGIDO(3)",3,0)))+IF(H774="BAJA(1)",1,IF(H774="MEDIA(2)",2,IF(H774="ALTA(3)",3,0)))+IF(I774="BAJA(1)",1,IF(I774="MEDIA(2)",2,IF(I774="ALTA(3)",3,0)))</f>
        <v/>
      </c>
      <c r="K774">
        <f>IF(J774="", "", IF(J774&gt;=8,"ALTA",IF(J774&gt;=6,"MEDIA","BAJA")))</f>
        <v/>
      </c>
      <c r="L774">
        <f>IF(INVENTARIO!Y774="","",INVENTARIO!Y774)</f>
        <v/>
      </c>
      <c r="M774">
        <f>IF(INVENTARIO!Z774="","",INVENTARIO!Z774)</f>
        <v/>
      </c>
      <c r="N774">
        <f>IF(INVENTARIO!AA774="","",INVENTARIO!AA774)</f>
        <v/>
      </c>
      <c r="O774">
        <f>IF(INVENTARIO!AB774="","",INVENTARIO!AB774)</f>
        <v/>
      </c>
      <c r="P774">
        <f>IF(INVENTARIO!AC774="","",INVENTARIO!AC774)</f>
        <v/>
      </c>
      <c r="Q774">
        <f>IF(AND(K774="",N774="",L774=""),"",IF(AND((K774="ALTA"),OR(LEFT(N774,2)="L0",LEFT(N774,2)="L1",L774="No Iniciado")),"CRÍTICO - Incumplimiento Normativo SEPS",IF(AND(OR(LEFT(N774,2)="L4",LEFT(N774,2)="L5"),AND(P774&lt;&gt;"",P774&lt;&gt;"N/A")),"CONFORME - Control Efectivo ISO 27001","OBSERVACIÓN - Revisar Controles")))</f>
        <v/>
      </c>
    </row>
    <row r="775">
      <c r="A775">
        <f>IF(INVENTARIO!A775="","",INVENTARIO!A775)</f>
        <v/>
      </c>
      <c r="B775">
        <f>IF(INVENTARIO!E775="","",INVENTARIO!E775)</f>
        <v/>
      </c>
      <c r="C775">
        <f>IF(INVENTARIO!F775="","",INVENTARIO!F775)</f>
        <v/>
      </c>
      <c r="D775">
        <f>IF(INVENTARIO!H775="","",INVENTARIO!H775)</f>
        <v/>
      </c>
      <c r="E775">
        <f>IF(INVENTARIO!I775="","",INVENTARIO!I775)</f>
        <v/>
      </c>
      <c r="F775">
        <f>IF(INVENTARIO!N775="","",INVENTARIO!N775)</f>
        <v/>
      </c>
      <c r="G775">
        <f>IF(INVENTARIO!P775="","",INVENTARIO!P775)</f>
        <v/>
      </c>
      <c r="H775">
        <f>IF(INVENTARIO!Q775="","",INVENTARIO!Q775)</f>
        <v/>
      </c>
      <c r="I775">
        <f>IF(INVENTARIO!R775="","",INVENTARIO!R775)</f>
        <v/>
      </c>
      <c r="J775">
        <f>IF(G775="PUBLICA(1)",1,IF(G775="USO INTERNO(2)",2,IF(G775="RESTRINGIDO(3)",3,0)))+IF(H775="BAJA(1)",1,IF(H775="MEDIA(2)",2,IF(H775="ALTA(3)",3,0)))+IF(I775="BAJA(1)",1,IF(I775="MEDIA(2)",2,IF(I775="ALTA(3)",3,0)))</f>
        <v/>
      </c>
      <c r="K775">
        <f>IF(J775="", "", IF(J775&gt;=8,"ALTA",IF(J775&gt;=6,"MEDIA","BAJA")))</f>
        <v/>
      </c>
      <c r="L775">
        <f>IF(INVENTARIO!Y775="","",INVENTARIO!Y775)</f>
        <v/>
      </c>
      <c r="M775">
        <f>IF(INVENTARIO!Z775="","",INVENTARIO!Z775)</f>
        <v/>
      </c>
      <c r="N775">
        <f>IF(INVENTARIO!AA775="","",INVENTARIO!AA775)</f>
        <v/>
      </c>
      <c r="O775">
        <f>IF(INVENTARIO!AB775="","",INVENTARIO!AB775)</f>
        <v/>
      </c>
      <c r="P775">
        <f>IF(INVENTARIO!AC775="","",INVENTARIO!AC775)</f>
        <v/>
      </c>
      <c r="Q775">
        <f>IF(AND(K775="",N775="",L775=""),"",IF(AND((K775="ALTA"),OR(LEFT(N775,2)="L0",LEFT(N775,2)="L1",L775="No Iniciado")),"CRÍTICO - Incumplimiento Normativo SEPS",IF(AND(OR(LEFT(N775,2)="L4",LEFT(N775,2)="L5"),AND(P775&lt;&gt;"",P775&lt;&gt;"N/A")),"CONFORME - Control Efectivo ISO 27001","OBSERVACIÓN - Revisar Controles")))</f>
        <v/>
      </c>
    </row>
    <row r="776">
      <c r="A776">
        <f>IF(INVENTARIO!A776="","",INVENTARIO!A776)</f>
        <v/>
      </c>
      <c r="B776">
        <f>IF(INVENTARIO!E776="","",INVENTARIO!E776)</f>
        <v/>
      </c>
      <c r="C776">
        <f>IF(INVENTARIO!F776="","",INVENTARIO!F776)</f>
        <v/>
      </c>
      <c r="D776">
        <f>IF(INVENTARIO!H776="","",INVENTARIO!H776)</f>
        <v/>
      </c>
      <c r="E776">
        <f>IF(INVENTARIO!I776="","",INVENTARIO!I776)</f>
        <v/>
      </c>
      <c r="F776">
        <f>IF(INVENTARIO!N776="","",INVENTARIO!N776)</f>
        <v/>
      </c>
      <c r="G776">
        <f>IF(INVENTARIO!P776="","",INVENTARIO!P776)</f>
        <v/>
      </c>
      <c r="H776">
        <f>IF(INVENTARIO!Q776="","",INVENTARIO!Q776)</f>
        <v/>
      </c>
      <c r="I776">
        <f>IF(INVENTARIO!R776="","",INVENTARIO!R776)</f>
        <v/>
      </c>
      <c r="J776">
        <f>IF(G776="PUBLICA(1)",1,IF(G776="USO INTERNO(2)",2,IF(G776="RESTRINGIDO(3)",3,0)))+IF(H776="BAJA(1)",1,IF(H776="MEDIA(2)",2,IF(H776="ALTA(3)",3,0)))+IF(I776="BAJA(1)",1,IF(I776="MEDIA(2)",2,IF(I776="ALTA(3)",3,0)))</f>
        <v/>
      </c>
      <c r="K776">
        <f>IF(J776="", "", IF(J776&gt;=8,"ALTA",IF(J776&gt;=6,"MEDIA","BAJA")))</f>
        <v/>
      </c>
      <c r="L776">
        <f>IF(INVENTARIO!Y776="","",INVENTARIO!Y776)</f>
        <v/>
      </c>
      <c r="M776">
        <f>IF(INVENTARIO!Z776="","",INVENTARIO!Z776)</f>
        <v/>
      </c>
      <c r="N776">
        <f>IF(INVENTARIO!AA776="","",INVENTARIO!AA776)</f>
        <v/>
      </c>
      <c r="O776">
        <f>IF(INVENTARIO!AB776="","",INVENTARIO!AB776)</f>
        <v/>
      </c>
      <c r="P776">
        <f>IF(INVENTARIO!AC776="","",INVENTARIO!AC776)</f>
        <v/>
      </c>
      <c r="Q776">
        <f>IF(AND(K776="",N776="",L776=""),"",IF(AND((K776="ALTA"),OR(LEFT(N776,2)="L0",LEFT(N776,2)="L1",L776="No Iniciado")),"CRÍTICO - Incumplimiento Normativo SEPS",IF(AND(OR(LEFT(N776,2)="L4",LEFT(N776,2)="L5"),AND(P776&lt;&gt;"",P776&lt;&gt;"N/A")),"CONFORME - Control Efectivo ISO 27001","OBSERVACIÓN - Revisar Controles")))</f>
        <v/>
      </c>
    </row>
    <row r="777">
      <c r="A777">
        <f>IF(INVENTARIO!A777="","",INVENTARIO!A777)</f>
        <v/>
      </c>
      <c r="B777">
        <f>IF(INVENTARIO!E777="","",INVENTARIO!E777)</f>
        <v/>
      </c>
      <c r="C777">
        <f>IF(INVENTARIO!F777="","",INVENTARIO!F777)</f>
        <v/>
      </c>
      <c r="D777">
        <f>IF(INVENTARIO!H777="","",INVENTARIO!H777)</f>
        <v/>
      </c>
      <c r="E777">
        <f>IF(INVENTARIO!I777="","",INVENTARIO!I777)</f>
        <v/>
      </c>
      <c r="F777">
        <f>IF(INVENTARIO!N777="","",INVENTARIO!N777)</f>
        <v/>
      </c>
      <c r="G777">
        <f>IF(INVENTARIO!P777="","",INVENTARIO!P777)</f>
        <v/>
      </c>
      <c r="H777">
        <f>IF(INVENTARIO!Q777="","",INVENTARIO!Q777)</f>
        <v/>
      </c>
      <c r="I777">
        <f>IF(INVENTARIO!R777="","",INVENTARIO!R777)</f>
        <v/>
      </c>
      <c r="J777">
        <f>IF(G777="PUBLICA(1)",1,IF(G777="USO INTERNO(2)",2,IF(G777="RESTRINGIDO(3)",3,0)))+IF(H777="BAJA(1)",1,IF(H777="MEDIA(2)",2,IF(H777="ALTA(3)",3,0)))+IF(I777="BAJA(1)",1,IF(I777="MEDIA(2)",2,IF(I777="ALTA(3)",3,0)))</f>
        <v/>
      </c>
      <c r="K777">
        <f>IF(J777="", "", IF(J777&gt;=8,"ALTA",IF(J777&gt;=6,"MEDIA","BAJA")))</f>
        <v/>
      </c>
      <c r="L777">
        <f>IF(INVENTARIO!Y777="","",INVENTARIO!Y777)</f>
        <v/>
      </c>
      <c r="M777">
        <f>IF(INVENTARIO!Z777="","",INVENTARIO!Z777)</f>
        <v/>
      </c>
      <c r="N777">
        <f>IF(INVENTARIO!AA777="","",INVENTARIO!AA777)</f>
        <v/>
      </c>
      <c r="O777">
        <f>IF(INVENTARIO!AB777="","",INVENTARIO!AB777)</f>
        <v/>
      </c>
      <c r="P777">
        <f>IF(INVENTARIO!AC777="","",INVENTARIO!AC777)</f>
        <v/>
      </c>
      <c r="Q777">
        <f>IF(AND(K777="",N777="",L777=""),"",IF(AND((K777="ALTA"),OR(LEFT(N777,2)="L0",LEFT(N777,2)="L1",L777="No Iniciado")),"CRÍTICO - Incumplimiento Normativo SEPS",IF(AND(OR(LEFT(N777,2)="L4",LEFT(N777,2)="L5"),AND(P777&lt;&gt;"",P777&lt;&gt;"N/A")),"CONFORME - Control Efectivo ISO 27001","OBSERVACIÓN - Revisar Controles")))</f>
        <v/>
      </c>
    </row>
    <row r="778">
      <c r="A778">
        <f>IF(INVENTARIO!A778="","",INVENTARIO!A778)</f>
        <v/>
      </c>
      <c r="B778">
        <f>IF(INVENTARIO!E778="","",INVENTARIO!E778)</f>
        <v/>
      </c>
      <c r="C778">
        <f>IF(INVENTARIO!F778="","",INVENTARIO!F778)</f>
        <v/>
      </c>
      <c r="D778">
        <f>IF(INVENTARIO!H778="","",INVENTARIO!H778)</f>
        <v/>
      </c>
      <c r="E778">
        <f>IF(INVENTARIO!I778="","",INVENTARIO!I778)</f>
        <v/>
      </c>
      <c r="F778">
        <f>IF(INVENTARIO!N778="","",INVENTARIO!N778)</f>
        <v/>
      </c>
      <c r="G778">
        <f>IF(INVENTARIO!P778="","",INVENTARIO!P778)</f>
        <v/>
      </c>
      <c r="H778">
        <f>IF(INVENTARIO!Q778="","",INVENTARIO!Q778)</f>
        <v/>
      </c>
      <c r="I778">
        <f>IF(INVENTARIO!R778="","",INVENTARIO!R778)</f>
        <v/>
      </c>
      <c r="J778">
        <f>IF(G778="PUBLICA(1)",1,IF(G778="USO INTERNO(2)",2,IF(G778="RESTRINGIDO(3)",3,0)))+IF(H778="BAJA(1)",1,IF(H778="MEDIA(2)",2,IF(H778="ALTA(3)",3,0)))+IF(I778="BAJA(1)",1,IF(I778="MEDIA(2)",2,IF(I778="ALTA(3)",3,0)))</f>
        <v/>
      </c>
      <c r="K778">
        <f>IF(J778="", "", IF(J778&gt;=8,"ALTA",IF(J778&gt;=6,"MEDIA","BAJA")))</f>
        <v/>
      </c>
      <c r="L778">
        <f>IF(INVENTARIO!Y778="","",INVENTARIO!Y778)</f>
        <v/>
      </c>
      <c r="M778">
        <f>IF(INVENTARIO!Z778="","",INVENTARIO!Z778)</f>
        <v/>
      </c>
      <c r="N778">
        <f>IF(INVENTARIO!AA778="","",INVENTARIO!AA778)</f>
        <v/>
      </c>
      <c r="O778">
        <f>IF(INVENTARIO!AB778="","",INVENTARIO!AB778)</f>
        <v/>
      </c>
      <c r="P778">
        <f>IF(INVENTARIO!AC778="","",INVENTARIO!AC778)</f>
        <v/>
      </c>
      <c r="Q778">
        <f>IF(AND(K778="",N778="",L778=""),"",IF(AND((K778="ALTA"),OR(LEFT(N778,2)="L0",LEFT(N778,2)="L1",L778="No Iniciado")),"CRÍTICO - Incumplimiento Normativo SEPS",IF(AND(OR(LEFT(N778,2)="L4",LEFT(N778,2)="L5"),AND(P778&lt;&gt;"",P778&lt;&gt;"N/A")),"CONFORME - Control Efectivo ISO 27001","OBSERVACIÓN - Revisar Controles")))</f>
        <v/>
      </c>
    </row>
    <row r="779">
      <c r="A779">
        <f>IF(INVENTARIO!A779="","",INVENTARIO!A779)</f>
        <v/>
      </c>
      <c r="B779">
        <f>IF(INVENTARIO!E779="","",INVENTARIO!E779)</f>
        <v/>
      </c>
      <c r="C779">
        <f>IF(INVENTARIO!F779="","",INVENTARIO!F779)</f>
        <v/>
      </c>
      <c r="D779">
        <f>IF(INVENTARIO!H779="","",INVENTARIO!H779)</f>
        <v/>
      </c>
      <c r="E779">
        <f>IF(INVENTARIO!I779="","",INVENTARIO!I779)</f>
        <v/>
      </c>
      <c r="F779">
        <f>IF(INVENTARIO!N779="","",INVENTARIO!N779)</f>
        <v/>
      </c>
      <c r="G779">
        <f>IF(INVENTARIO!P779="","",INVENTARIO!P779)</f>
        <v/>
      </c>
      <c r="H779">
        <f>IF(INVENTARIO!Q779="","",INVENTARIO!Q779)</f>
        <v/>
      </c>
      <c r="I779">
        <f>IF(INVENTARIO!R779="","",INVENTARIO!R779)</f>
        <v/>
      </c>
      <c r="J779">
        <f>IF(G779="PUBLICA(1)",1,IF(G779="USO INTERNO(2)",2,IF(G779="RESTRINGIDO(3)",3,0)))+IF(H779="BAJA(1)",1,IF(H779="MEDIA(2)",2,IF(H779="ALTA(3)",3,0)))+IF(I779="BAJA(1)",1,IF(I779="MEDIA(2)",2,IF(I779="ALTA(3)",3,0)))</f>
        <v/>
      </c>
      <c r="K779">
        <f>IF(J779="", "", IF(J779&gt;=8,"ALTA",IF(J779&gt;=6,"MEDIA","BAJA")))</f>
        <v/>
      </c>
      <c r="L779">
        <f>IF(INVENTARIO!Y779="","",INVENTARIO!Y779)</f>
        <v/>
      </c>
      <c r="M779">
        <f>IF(INVENTARIO!Z779="","",INVENTARIO!Z779)</f>
        <v/>
      </c>
      <c r="N779">
        <f>IF(INVENTARIO!AA779="","",INVENTARIO!AA779)</f>
        <v/>
      </c>
      <c r="O779">
        <f>IF(INVENTARIO!AB779="","",INVENTARIO!AB779)</f>
        <v/>
      </c>
      <c r="P779">
        <f>IF(INVENTARIO!AC779="","",INVENTARIO!AC779)</f>
        <v/>
      </c>
      <c r="Q779">
        <f>IF(AND(K779="",N779="",L779=""),"",IF(AND((K779="ALTA"),OR(LEFT(N779,2)="L0",LEFT(N779,2)="L1",L779="No Iniciado")),"CRÍTICO - Incumplimiento Normativo SEPS",IF(AND(OR(LEFT(N779,2)="L4",LEFT(N779,2)="L5"),AND(P779&lt;&gt;"",P779&lt;&gt;"N/A")),"CONFORME - Control Efectivo ISO 27001","OBSERVACIÓN - Revisar Controles")))</f>
        <v/>
      </c>
    </row>
    <row r="780">
      <c r="A780">
        <f>IF(INVENTARIO!A780="","",INVENTARIO!A780)</f>
        <v/>
      </c>
      <c r="B780">
        <f>IF(INVENTARIO!E780="","",INVENTARIO!E780)</f>
        <v/>
      </c>
      <c r="C780">
        <f>IF(INVENTARIO!F780="","",INVENTARIO!F780)</f>
        <v/>
      </c>
      <c r="D780">
        <f>IF(INVENTARIO!H780="","",INVENTARIO!H780)</f>
        <v/>
      </c>
      <c r="E780">
        <f>IF(INVENTARIO!I780="","",INVENTARIO!I780)</f>
        <v/>
      </c>
      <c r="F780">
        <f>IF(INVENTARIO!N780="","",INVENTARIO!N780)</f>
        <v/>
      </c>
      <c r="G780">
        <f>IF(INVENTARIO!P780="","",INVENTARIO!P780)</f>
        <v/>
      </c>
      <c r="H780">
        <f>IF(INVENTARIO!Q780="","",INVENTARIO!Q780)</f>
        <v/>
      </c>
      <c r="I780">
        <f>IF(INVENTARIO!R780="","",INVENTARIO!R780)</f>
        <v/>
      </c>
      <c r="J780">
        <f>IF(G780="PUBLICA(1)",1,IF(G780="USO INTERNO(2)",2,IF(G780="RESTRINGIDO(3)",3,0)))+IF(H780="BAJA(1)",1,IF(H780="MEDIA(2)",2,IF(H780="ALTA(3)",3,0)))+IF(I780="BAJA(1)",1,IF(I780="MEDIA(2)",2,IF(I780="ALTA(3)",3,0)))</f>
        <v/>
      </c>
      <c r="K780">
        <f>IF(J780="", "", IF(J780&gt;=8,"ALTA",IF(J780&gt;=6,"MEDIA","BAJA")))</f>
        <v/>
      </c>
      <c r="L780">
        <f>IF(INVENTARIO!Y780="","",INVENTARIO!Y780)</f>
        <v/>
      </c>
      <c r="M780">
        <f>IF(INVENTARIO!Z780="","",INVENTARIO!Z780)</f>
        <v/>
      </c>
      <c r="N780">
        <f>IF(INVENTARIO!AA780="","",INVENTARIO!AA780)</f>
        <v/>
      </c>
      <c r="O780">
        <f>IF(INVENTARIO!AB780="","",INVENTARIO!AB780)</f>
        <v/>
      </c>
      <c r="P780">
        <f>IF(INVENTARIO!AC780="","",INVENTARIO!AC780)</f>
        <v/>
      </c>
      <c r="Q780">
        <f>IF(AND(K780="",N780="",L780=""),"",IF(AND((K780="ALTA"),OR(LEFT(N780,2)="L0",LEFT(N780,2)="L1",L780="No Iniciado")),"CRÍTICO - Incumplimiento Normativo SEPS",IF(AND(OR(LEFT(N780,2)="L4",LEFT(N780,2)="L5"),AND(P780&lt;&gt;"",P780&lt;&gt;"N/A")),"CONFORME - Control Efectivo ISO 27001","OBSERVACIÓN - Revisar Controles")))</f>
        <v/>
      </c>
    </row>
    <row r="781">
      <c r="A781">
        <f>IF(INVENTARIO!A781="","",INVENTARIO!A781)</f>
        <v/>
      </c>
      <c r="B781">
        <f>IF(INVENTARIO!E781="","",INVENTARIO!E781)</f>
        <v/>
      </c>
      <c r="C781">
        <f>IF(INVENTARIO!F781="","",INVENTARIO!F781)</f>
        <v/>
      </c>
      <c r="D781">
        <f>IF(INVENTARIO!H781="","",INVENTARIO!H781)</f>
        <v/>
      </c>
      <c r="E781">
        <f>IF(INVENTARIO!I781="","",INVENTARIO!I781)</f>
        <v/>
      </c>
      <c r="F781">
        <f>IF(INVENTARIO!N781="","",INVENTARIO!N781)</f>
        <v/>
      </c>
      <c r="G781">
        <f>IF(INVENTARIO!P781="","",INVENTARIO!P781)</f>
        <v/>
      </c>
      <c r="H781">
        <f>IF(INVENTARIO!Q781="","",INVENTARIO!Q781)</f>
        <v/>
      </c>
      <c r="I781">
        <f>IF(INVENTARIO!R781="","",INVENTARIO!R781)</f>
        <v/>
      </c>
      <c r="J781">
        <f>IF(G781="PUBLICA(1)",1,IF(G781="USO INTERNO(2)",2,IF(G781="RESTRINGIDO(3)",3,0)))+IF(H781="BAJA(1)",1,IF(H781="MEDIA(2)",2,IF(H781="ALTA(3)",3,0)))+IF(I781="BAJA(1)",1,IF(I781="MEDIA(2)",2,IF(I781="ALTA(3)",3,0)))</f>
        <v/>
      </c>
      <c r="K781">
        <f>IF(J781="", "", IF(J781&gt;=8,"ALTA",IF(J781&gt;=6,"MEDIA","BAJA")))</f>
        <v/>
      </c>
      <c r="L781">
        <f>IF(INVENTARIO!Y781="","",INVENTARIO!Y781)</f>
        <v/>
      </c>
      <c r="M781">
        <f>IF(INVENTARIO!Z781="","",INVENTARIO!Z781)</f>
        <v/>
      </c>
      <c r="N781">
        <f>IF(INVENTARIO!AA781="","",INVENTARIO!AA781)</f>
        <v/>
      </c>
      <c r="O781">
        <f>IF(INVENTARIO!AB781="","",INVENTARIO!AB781)</f>
        <v/>
      </c>
      <c r="P781">
        <f>IF(INVENTARIO!AC781="","",INVENTARIO!AC781)</f>
        <v/>
      </c>
      <c r="Q781">
        <f>IF(AND(K781="",N781="",L781=""),"",IF(AND((K781="ALTA"),OR(LEFT(N781,2)="L0",LEFT(N781,2)="L1",L781="No Iniciado")),"CRÍTICO - Incumplimiento Normativo SEPS",IF(AND(OR(LEFT(N781,2)="L4",LEFT(N781,2)="L5"),AND(P781&lt;&gt;"",P781&lt;&gt;"N/A")),"CONFORME - Control Efectivo ISO 27001","OBSERVACIÓN - Revisar Controles")))</f>
        <v/>
      </c>
    </row>
    <row r="782">
      <c r="A782">
        <f>IF(INVENTARIO!A782="","",INVENTARIO!A782)</f>
        <v/>
      </c>
      <c r="B782">
        <f>IF(INVENTARIO!E782="","",INVENTARIO!E782)</f>
        <v/>
      </c>
      <c r="C782">
        <f>IF(INVENTARIO!F782="","",INVENTARIO!F782)</f>
        <v/>
      </c>
      <c r="D782">
        <f>IF(INVENTARIO!H782="","",INVENTARIO!H782)</f>
        <v/>
      </c>
      <c r="E782">
        <f>IF(INVENTARIO!I782="","",INVENTARIO!I782)</f>
        <v/>
      </c>
      <c r="F782">
        <f>IF(INVENTARIO!N782="","",INVENTARIO!N782)</f>
        <v/>
      </c>
      <c r="G782">
        <f>IF(INVENTARIO!P782="","",INVENTARIO!P782)</f>
        <v/>
      </c>
      <c r="H782">
        <f>IF(INVENTARIO!Q782="","",INVENTARIO!Q782)</f>
        <v/>
      </c>
      <c r="I782">
        <f>IF(INVENTARIO!R782="","",INVENTARIO!R782)</f>
        <v/>
      </c>
      <c r="J782">
        <f>IF(G782="PUBLICA(1)",1,IF(G782="USO INTERNO(2)",2,IF(G782="RESTRINGIDO(3)",3,0)))+IF(H782="BAJA(1)",1,IF(H782="MEDIA(2)",2,IF(H782="ALTA(3)",3,0)))+IF(I782="BAJA(1)",1,IF(I782="MEDIA(2)",2,IF(I782="ALTA(3)",3,0)))</f>
        <v/>
      </c>
      <c r="K782">
        <f>IF(J782="", "", IF(J782&gt;=8,"ALTA",IF(J782&gt;=6,"MEDIA","BAJA")))</f>
        <v/>
      </c>
      <c r="L782">
        <f>IF(INVENTARIO!Y782="","",INVENTARIO!Y782)</f>
        <v/>
      </c>
      <c r="M782">
        <f>IF(INVENTARIO!Z782="","",INVENTARIO!Z782)</f>
        <v/>
      </c>
      <c r="N782">
        <f>IF(INVENTARIO!AA782="","",INVENTARIO!AA782)</f>
        <v/>
      </c>
      <c r="O782">
        <f>IF(INVENTARIO!AB782="","",INVENTARIO!AB782)</f>
        <v/>
      </c>
      <c r="P782">
        <f>IF(INVENTARIO!AC782="","",INVENTARIO!AC782)</f>
        <v/>
      </c>
      <c r="Q782">
        <f>IF(AND(K782="",N782="",L782=""),"",IF(AND((K782="ALTA"),OR(LEFT(N782,2)="L0",LEFT(N782,2)="L1",L782="No Iniciado")),"CRÍTICO - Incumplimiento Normativo SEPS",IF(AND(OR(LEFT(N782,2)="L4",LEFT(N782,2)="L5"),AND(P782&lt;&gt;"",P782&lt;&gt;"N/A")),"CONFORME - Control Efectivo ISO 27001","OBSERVACIÓN - Revisar Controles")))</f>
        <v/>
      </c>
    </row>
    <row r="783">
      <c r="A783">
        <f>IF(INVENTARIO!A783="","",INVENTARIO!A783)</f>
        <v/>
      </c>
      <c r="B783">
        <f>IF(INVENTARIO!E783="","",INVENTARIO!E783)</f>
        <v/>
      </c>
      <c r="C783">
        <f>IF(INVENTARIO!F783="","",INVENTARIO!F783)</f>
        <v/>
      </c>
      <c r="D783">
        <f>IF(INVENTARIO!H783="","",INVENTARIO!H783)</f>
        <v/>
      </c>
      <c r="E783">
        <f>IF(INVENTARIO!I783="","",INVENTARIO!I783)</f>
        <v/>
      </c>
      <c r="F783">
        <f>IF(INVENTARIO!N783="","",INVENTARIO!N783)</f>
        <v/>
      </c>
      <c r="G783">
        <f>IF(INVENTARIO!P783="","",INVENTARIO!P783)</f>
        <v/>
      </c>
      <c r="H783">
        <f>IF(INVENTARIO!Q783="","",INVENTARIO!Q783)</f>
        <v/>
      </c>
      <c r="I783">
        <f>IF(INVENTARIO!R783="","",INVENTARIO!R783)</f>
        <v/>
      </c>
      <c r="J783">
        <f>IF(G783="PUBLICA(1)",1,IF(G783="USO INTERNO(2)",2,IF(G783="RESTRINGIDO(3)",3,0)))+IF(H783="BAJA(1)",1,IF(H783="MEDIA(2)",2,IF(H783="ALTA(3)",3,0)))+IF(I783="BAJA(1)",1,IF(I783="MEDIA(2)",2,IF(I783="ALTA(3)",3,0)))</f>
        <v/>
      </c>
      <c r="K783">
        <f>IF(J783="", "", IF(J783&gt;=8,"ALTA",IF(J783&gt;=6,"MEDIA","BAJA")))</f>
        <v/>
      </c>
      <c r="L783">
        <f>IF(INVENTARIO!Y783="","",INVENTARIO!Y783)</f>
        <v/>
      </c>
      <c r="M783">
        <f>IF(INVENTARIO!Z783="","",INVENTARIO!Z783)</f>
        <v/>
      </c>
      <c r="N783">
        <f>IF(INVENTARIO!AA783="","",INVENTARIO!AA783)</f>
        <v/>
      </c>
      <c r="O783">
        <f>IF(INVENTARIO!AB783="","",INVENTARIO!AB783)</f>
        <v/>
      </c>
      <c r="P783">
        <f>IF(INVENTARIO!AC783="","",INVENTARIO!AC783)</f>
        <v/>
      </c>
      <c r="Q783">
        <f>IF(AND(K783="",N783="",L783=""),"",IF(AND((K783="ALTA"),OR(LEFT(N783,2)="L0",LEFT(N783,2)="L1",L783="No Iniciado")),"CRÍTICO - Incumplimiento Normativo SEPS",IF(AND(OR(LEFT(N783,2)="L4",LEFT(N783,2)="L5"),AND(P783&lt;&gt;"",P783&lt;&gt;"N/A")),"CONFORME - Control Efectivo ISO 27001","OBSERVACIÓN - Revisar Controles")))</f>
        <v/>
      </c>
    </row>
    <row r="784">
      <c r="A784">
        <f>IF(INVENTARIO!A784="","",INVENTARIO!A784)</f>
        <v/>
      </c>
      <c r="B784">
        <f>IF(INVENTARIO!E784="","",INVENTARIO!E784)</f>
        <v/>
      </c>
      <c r="C784">
        <f>IF(INVENTARIO!F784="","",INVENTARIO!F784)</f>
        <v/>
      </c>
      <c r="D784">
        <f>IF(INVENTARIO!H784="","",INVENTARIO!H784)</f>
        <v/>
      </c>
      <c r="E784">
        <f>IF(INVENTARIO!I784="","",INVENTARIO!I784)</f>
        <v/>
      </c>
      <c r="F784">
        <f>IF(INVENTARIO!N784="","",INVENTARIO!N784)</f>
        <v/>
      </c>
      <c r="G784">
        <f>IF(INVENTARIO!P784="","",INVENTARIO!P784)</f>
        <v/>
      </c>
      <c r="H784">
        <f>IF(INVENTARIO!Q784="","",INVENTARIO!Q784)</f>
        <v/>
      </c>
      <c r="I784">
        <f>IF(INVENTARIO!R784="","",INVENTARIO!R784)</f>
        <v/>
      </c>
      <c r="J784">
        <f>IF(G784="PUBLICA(1)",1,IF(G784="USO INTERNO(2)",2,IF(G784="RESTRINGIDO(3)",3,0)))+IF(H784="BAJA(1)",1,IF(H784="MEDIA(2)",2,IF(H784="ALTA(3)",3,0)))+IF(I784="BAJA(1)",1,IF(I784="MEDIA(2)",2,IF(I784="ALTA(3)",3,0)))</f>
        <v/>
      </c>
      <c r="K784">
        <f>IF(J784="", "", IF(J784&gt;=8,"ALTA",IF(J784&gt;=6,"MEDIA","BAJA")))</f>
        <v/>
      </c>
      <c r="L784">
        <f>IF(INVENTARIO!Y784="","",INVENTARIO!Y784)</f>
        <v/>
      </c>
      <c r="M784">
        <f>IF(INVENTARIO!Z784="","",INVENTARIO!Z784)</f>
        <v/>
      </c>
      <c r="N784">
        <f>IF(INVENTARIO!AA784="","",INVENTARIO!AA784)</f>
        <v/>
      </c>
      <c r="O784">
        <f>IF(INVENTARIO!AB784="","",INVENTARIO!AB784)</f>
        <v/>
      </c>
      <c r="P784">
        <f>IF(INVENTARIO!AC784="","",INVENTARIO!AC784)</f>
        <v/>
      </c>
      <c r="Q784">
        <f>IF(AND(K784="",N784="",L784=""),"",IF(AND((K784="ALTA"),OR(LEFT(N784,2)="L0",LEFT(N784,2)="L1",L784="No Iniciado")),"CRÍTICO - Incumplimiento Normativo SEPS",IF(AND(OR(LEFT(N784,2)="L4",LEFT(N784,2)="L5"),AND(P784&lt;&gt;"",P784&lt;&gt;"N/A")),"CONFORME - Control Efectivo ISO 27001","OBSERVACIÓN - Revisar Controles")))</f>
        <v/>
      </c>
    </row>
    <row r="785">
      <c r="A785">
        <f>IF(INVENTARIO!A785="","",INVENTARIO!A785)</f>
        <v/>
      </c>
      <c r="B785">
        <f>IF(INVENTARIO!E785="","",INVENTARIO!E785)</f>
        <v/>
      </c>
      <c r="C785">
        <f>IF(INVENTARIO!F785="","",INVENTARIO!F785)</f>
        <v/>
      </c>
      <c r="D785">
        <f>IF(INVENTARIO!H785="","",INVENTARIO!H785)</f>
        <v/>
      </c>
      <c r="E785">
        <f>IF(INVENTARIO!I785="","",INVENTARIO!I785)</f>
        <v/>
      </c>
      <c r="F785">
        <f>IF(INVENTARIO!N785="","",INVENTARIO!N785)</f>
        <v/>
      </c>
      <c r="G785">
        <f>IF(INVENTARIO!P785="","",INVENTARIO!P785)</f>
        <v/>
      </c>
      <c r="H785">
        <f>IF(INVENTARIO!Q785="","",INVENTARIO!Q785)</f>
        <v/>
      </c>
      <c r="I785">
        <f>IF(INVENTARIO!R785="","",INVENTARIO!R785)</f>
        <v/>
      </c>
      <c r="J785">
        <f>IF(G785="PUBLICA(1)",1,IF(G785="USO INTERNO(2)",2,IF(G785="RESTRINGIDO(3)",3,0)))+IF(H785="BAJA(1)",1,IF(H785="MEDIA(2)",2,IF(H785="ALTA(3)",3,0)))+IF(I785="BAJA(1)",1,IF(I785="MEDIA(2)",2,IF(I785="ALTA(3)",3,0)))</f>
        <v/>
      </c>
      <c r="K785">
        <f>IF(J785="", "", IF(J785&gt;=8,"ALTA",IF(J785&gt;=6,"MEDIA","BAJA")))</f>
        <v/>
      </c>
      <c r="L785">
        <f>IF(INVENTARIO!Y785="","",INVENTARIO!Y785)</f>
        <v/>
      </c>
      <c r="M785">
        <f>IF(INVENTARIO!Z785="","",INVENTARIO!Z785)</f>
        <v/>
      </c>
      <c r="N785">
        <f>IF(INVENTARIO!AA785="","",INVENTARIO!AA785)</f>
        <v/>
      </c>
      <c r="O785">
        <f>IF(INVENTARIO!AB785="","",INVENTARIO!AB785)</f>
        <v/>
      </c>
      <c r="P785">
        <f>IF(INVENTARIO!AC785="","",INVENTARIO!AC785)</f>
        <v/>
      </c>
      <c r="Q785">
        <f>IF(AND(K785="",N785="",L785=""),"",IF(AND((K785="ALTA"),OR(LEFT(N785,2)="L0",LEFT(N785,2)="L1",L785="No Iniciado")),"CRÍTICO - Incumplimiento Normativo SEPS",IF(AND(OR(LEFT(N785,2)="L4",LEFT(N785,2)="L5"),AND(P785&lt;&gt;"",P785&lt;&gt;"N/A")),"CONFORME - Control Efectivo ISO 27001","OBSERVACIÓN - Revisar Controles")))</f>
        <v/>
      </c>
    </row>
    <row r="786">
      <c r="A786">
        <f>IF(INVENTARIO!A786="","",INVENTARIO!A786)</f>
        <v/>
      </c>
      <c r="B786">
        <f>IF(INVENTARIO!E786="","",INVENTARIO!E786)</f>
        <v/>
      </c>
      <c r="C786">
        <f>IF(INVENTARIO!F786="","",INVENTARIO!F786)</f>
        <v/>
      </c>
      <c r="D786">
        <f>IF(INVENTARIO!H786="","",INVENTARIO!H786)</f>
        <v/>
      </c>
      <c r="E786">
        <f>IF(INVENTARIO!I786="","",INVENTARIO!I786)</f>
        <v/>
      </c>
      <c r="F786">
        <f>IF(INVENTARIO!N786="","",INVENTARIO!N786)</f>
        <v/>
      </c>
      <c r="G786">
        <f>IF(INVENTARIO!P786="","",INVENTARIO!P786)</f>
        <v/>
      </c>
      <c r="H786">
        <f>IF(INVENTARIO!Q786="","",INVENTARIO!Q786)</f>
        <v/>
      </c>
      <c r="I786">
        <f>IF(INVENTARIO!R786="","",INVENTARIO!R786)</f>
        <v/>
      </c>
      <c r="J786">
        <f>IF(G786="PUBLICA(1)",1,IF(G786="USO INTERNO(2)",2,IF(G786="RESTRINGIDO(3)",3,0)))+IF(H786="BAJA(1)",1,IF(H786="MEDIA(2)",2,IF(H786="ALTA(3)",3,0)))+IF(I786="BAJA(1)",1,IF(I786="MEDIA(2)",2,IF(I786="ALTA(3)",3,0)))</f>
        <v/>
      </c>
      <c r="K786">
        <f>IF(J786="", "", IF(J786&gt;=8,"ALTA",IF(J786&gt;=6,"MEDIA","BAJA")))</f>
        <v/>
      </c>
      <c r="L786">
        <f>IF(INVENTARIO!Y786="","",INVENTARIO!Y786)</f>
        <v/>
      </c>
      <c r="M786">
        <f>IF(INVENTARIO!Z786="","",INVENTARIO!Z786)</f>
        <v/>
      </c>
      <c r="N786">
        <f>IF(INVENTARIO!AA786="","",INVENTARIO!AA786)</f>
        <v/>
      </c>
      <c r="O786">
        <f>IF(INVENTARIO!AB786="","",INVENTARIO!AB786)</f>
        <v/>
      </c>
      <c r="P786">
        <f>IF(INVENTARIO!AC786="","",INVENTARIO!AC786)</f>
        <v/>
      </c>
      <c r="Q786">
        <f>IF(AND(K786="",N786="",L786=""),"",IF(AND((K786="ALTA"),OR(LEFT(N786,2)="L0",LEFT(N786,2)="L1",L786="No Iniciado")),"CRÍTICO - Incumplimiento Normativo SEPS",IF(AND(OR(LEFT(N786,2)="L4",LEFT(N786,2)="L5"),AND(P786&lt;&gt;"",P786&lt;&gt;"N/A")),"CONFORME - Control Efectivo ISO 27001","OBSERVACIÓN - Revisar Controles")))</f>
        <v/>
      </c>
    </row>
    <row r="787">
      <c r="A787">
        <f>IF(INVENTARIO!A787="","",INVENTARIO!A787)</f>
        <v/>
      </c>
      <c r="B787">
        <f>IF(INVENTARIO!E787="","",INVENTARIO!E787)</f>
        <v/>
      </c>
      <c r="C787">
        <f>IF(INVENTARIO!F787="","",INVENTARIO!F787)</f>
        <v/>
      </c>
      <c r="D787">
        <f>IF(INVENTARIO!H787="","",INVENTARIO!H787)</f>
        <v/>
      </c>
      <c r="E787">
        <f>IF(INVENTARIO!I787="","",INVENTARIO!I787)</f>
        <v/>
      </c>
      <c r="F787">
        <f>IF(INVENTARIO!N787="","",INVENTARIO!N787)</f>
        <v/>
      </c>
      <c r="G787">
        <f>IF(INVENTARIO!P787="","",INVENTARIO!P787)</f>
        <v/>
      </c>
      <c r="H787">
        <f>IF(INVENTARIO!Q787="","",INVENTARIO!Q787)</f>
        <v/>
      </c>
      <c r="I787">
        <f>IF(INVENTARIO!R787="","",INVENTARIO!R787)</f>
        <v/>
      </c>
      <c r="J787">
        <f>IF(G787="PUBLICA(1)",1,IF(G787="USO INTERNO(2)",2,IF(G787="RESTRINGIDO(3)",3,0)))+IF(H787="BAJA(1)",1,IF(H787="MEDIA(2)",2,IF(H787="ALTA(3)",3,0)))+IF(I787="BAJA(1)",1,IF(I787="MEDIA(2)",2,IF(I787="ALTA(3)",3,0)))</f>
        <v/>
      </c>
      <c r="K787">
        <f>IF(J787="", "", IF(J787&gt;=8,"ALTA",IF(J787&gt;=6,"MEDIA","BAJA")))</f>
        <v/>
      </c>
      <c r="L787">
        <f>IF(INVENTARIO!Y787="","",INVENTARIO!Y787)</f>
        <v/>
      </c>
      <c r="M787">
        <f>IF(INVENTARIO!Z787="","",INVENTARIO!Z787)</f>
        <v/>
      </c>
      <c r="N787">
        <f>IF(INVENTARIO!AA787="","",INVENTARIO!AA787)</f>
        <v/>
      </c>
      <c r="O787">
        <f>IF(INVENTARIO!AB787="","",INVENTARIO!AB787)</f>
        <v/>
      </c>
      <c r="P787">
        <f>IF(INVENTARIO!AC787="","",INVENTARIO!AC787)</f>
        <v/>
      </c>
      <c r="Q787">
        <f>IF(AND(K787="",N787="",L787=""),"",IF(AND((K787="ALTA"),OR(LEFT(N787,2)="L0",LEFT(N787,2)="L1",L787="No Iniciado")),"CRÍTICO - Incumplimiento Normativo SEPS",IF(AND(OR(LEFT(N787,2)="L4",LEFT(N787,2)="L5"),AND(P787&lt;&gt;"",P787&lt;&gt;"N/A")),"CONFORME - Control Efectivo ISO 27001","OBSERVACIÓN - Revisar Controles")))</f>
        <v/>
      </c>
    </row>
    <row r="788">
      <c r="A788">
        <f>IF(INVENTARIO!A788="","",INVENTARIO!A788)</f>
        <v/>
      </c>
      <c r="B788">
        <f>IF(INVENTARIO!E788="","",INVENTARIO!E788)</f>
        <v/>
      </c>
      <c r="C788">
        <f>IF(INVENTARIO!F788="","",INVENTARIO!F788)</f>
        <v/>
      </c>
      <c r="D788">
        <f>IF(INVENTARIO!H788="","",INVENTARIO!H788)</f>
        <v/>
      </c>
      <c r="E788">
        <f>IF(INVENTARIO!I788="","",INVENTARIO!I788)</f>
        <v/>
      </c>
      <c r="F788">
        <f>IF(INVENTARIO!N788="","",INVENTARIO!N788)</f>
        <v/>
      </c>
      <c r="G788">
        <f>IF(INVENTARIO!P788="","",INVENTARIO!P788)</f>
        <v/>
      </c>
      <c r="H788">
        <f>IF(INVENTARIO!Q788="","",INVENTARIO!Q788)</f>
        <v/>
      </c>
      <c r="I788">
        <f>IF(INVENTARIO!R788="","",INVENTARIO!R788)</f>
        <v/>
      </c>
      <c r="J788">
        <f>IF(G788="PUBLICA(1)",1,IF(G788="USO INTERNO(2)",2,IF(G788="RESTRINGIDO(3)",3,0)))+IF(H788="BAJA(1)",1,IF(H788="MEDIA(2)",2,IF(H788="ALTA(3)",3,0)))+IF(I788="BAJA(1)",1,IF(I788="MEDIA(2)",2,IF(I788="ALTA(3)",3,0)))</f>
        <v/>
      </c>
      <c r="K788">
        <f>IF(J788="", "", IF(J788&gt;=8,"ALTA",IF(J788&gt;=6,"MEDIA","BAJA")))</f>
        <v/>
      </c>
      <c r="L788">
        <f>IF(INVENTARIO!Y788="","",INVENTARIO!Y788)</f>
        <v/>
      </c>
      <c r="M788">
        <f>IF(INVENTARIO!Z788="","",INVENTARIO!Z788)</f>
        <v/>
      </c>
      <c r="N788">
        <f>IF(INVENTARIO!AA788="","",INVENTARIO!AA788)</f>
        <v/>
      </c>
      <c r="O788">
        <f>IF(INVENTARIO!AB788="","",INVENTARIO!AB788)</f>
        <v/>
      </c>
      <c r="P788">
        <f>IF(INVENTARIO!AC788="","",INVENTARIO!AC788)</f>
        <v/>
      </c>
      <c r="Q788">
        <f>IF(AND(K788="",N788="",L788=""),"",IF(AND((K788="ALTA"),OR(LEFT(N788,2)="L0",LEFT(N788,2)="L1",L788="No Iniciado")),"CRÍTICO - Incumplimiento Normativo SEPS",IF(AND(OR(LEFT(N788,2)="L4",LEFT(N788,2)="L5"),AND(P788&lt;&gt;"",P788&lt;&gt;"N/A")),"CONFORME - Control Efectivo ISO 27001","OBSERVACIÓN - Revisar Controles")))</f>
        <v/>
      </c>
    </row>
    <row r="789">
      <c r="A789">
        <f>IF(INVENTARIO!A789="","",INVENTARIO!A789)</f>
        <v/>
      </c>
      <c r="B789">
        <f>IF(INVENTARIO!E789="","",INVENTARIO!E789)</f>
        <v/>
      </c>
      <c r="C789">
        <f>IF(INVENTARIO!F789="","",INVENTARIO!F789)</f>
        <v/>
      </c>
      <c r="D789">
        <f>IF(INVENTARIO!H789="","",INVENTARIO!H789)</f>
        <v/>
      </c>
      <c r="E789">
        <f>IF(INVENTARIO!I789="","",INVENTARIO!I789)</f>
        <v/>
      </c>
      <c r="F789">
        <f>IF(INVENTARIO!N789="","",INVENTARIO!N789)</f>
        <v/>
      </c>
      <c r="G789">
        <f>IF(INVENTARIO!P789="","",INVENTARIO!P789)</f>
        <v/>
      </c>
      <c r="H789">
        <f>IF(INVENTARIO!Q789="","",INVENTARIO!Q789)</f>
        <v/>
      </c>
      <c r="I789">
        <f>IF(INVENTARIO!R789="","",INVENTARIO!R789)</f>
        <v/>
      </c>
      <c r="J789">
        <f>IF(G789="PUBLICA(1)",1,IF(G789="USO INTERNO(2)",2,IF(G789="RESTRINGIDO(3)",3,0)))+IF(H789="BAJA(1)",1,IF(H789="MEDIA(2)",2,IF(H789="ALTA(3)",3,0)))+IF(I789="BAJA(1)",1,IF(I789="MEDIA(2)",2,IF(I789="ALTA(3)",3,0)))</f>
        <v/>
      </c>
      <c r="K789">
        <f>IF(J789="", "", IF(J789&gt;=8,"ALTA",IF(J789&gt;=6,"MEDIA","BAJA")))</f>
        <v/>
      </c>
      <c r="L789">
        <f>IF(INVENTARIO!Y789="","",INVENTARIO!Y789)</f>
        <v/>
      </c>
      <c r="M789">
        <f>IF(INVENTARIO!Z789="","",INVENTARIO!Z789)</f>
        <v/>
      </c>
      <c r="N789">
        <f>IF(INVENTARIO!AA789="","",INVENTARIO!AA789)</f>
        <v/>
      </c>
      <c r="O789">
        <f>IF(INVENTARIO!AB789="","",INVENTARIO!AB789)</f>
        <v/>
      </c>
      <c r="P789">
        <f>IF(INVENTARIO!AC789="","",INVENTARIO!AC789)</f>
        <v/>
      </c>
      <c r="Q789">
        <f>IF(AND(K789="",N789="",L789=""),"",IF(AND((K789="ALTA"),OR(LEFT(N789,2)="L0",LEFT(N789,2)="L1",L789="No Iniciado")),"CRÍTICO - Incumplimiento Normativo SEPS",IF(AND(OR(LEFT(N789,2)="L4",LEFT(N789,2)="L5"),AND(P789&lt;&gt;"",P789&lt;&gt;"N/A")),"CONFORME - Control Efectivo ISO 27001","OBSERVACIÓN - Revisar Controles")))</f>
        <v/>
      </c>
    </row>
    <row r="790">
      <c r="A790">
        <f>IF(INVENTARIO!A790="","",INVENTARIO!A790)</f>
        <v/>
      </c>
      <c r="B790">
        <f>IF(INVENTARIO!E790="","",INVENTARIO!E790)</f>
        <v/>
      </c>
      <c r="C790">
        <f>IF(INVENTARIO!F790="","",INVENTARIO!F790)</f>
        <v/>
      </c>
      <c r="D790">
        <f>IF(INVENTARIO!H790="","",INVENTARIO!H790)</f>
        <v/>
      </c>
      <c r="E790">
        <f>IF(INVENTARIO!I790="","",INVENTARIO!I790)</f>
        <v/>
      </c>
      <c r="F790">
        <f>IF(INVENTARIO!N790="","",INVENTARIO!N790)</f>
        <v/>
      </c>
      <c r="G790">
        <f>IF(INVENTARIO!P790="","",INVENTARIO!P790)</f>
        <v/>
      </c>
      <c r="H790">
        <f>IF(INVENTARIO!Q790="","",INVENTARIO!Q790)</f>
        <v/>
      </c>
      <c r="I790">
        <f>IF(INVENTARIO!R790="","",INVENTARIO!R790)</f>
        <v/>
      </c>
      <c r="J790">
        <f>IF(G790="PUBLICA(1)",1,IF(G790="USO INTERNO(2)",2,IF(G790="RESTRINGIDO(3)",3,0)))+IF(H790="BAJA(1)",1,IF(H790="MEDIA(2)",2,IF(H790="ALTA(3)",3,0)))+IF(I790="BAJA(1)",1,IF(I790="MEDIA(2)",2,IF(I790="ALTA(3)",3,0)))</f>
        <v/>
      </c>
      <c r="K790">
        <f>IF(J790="", "", IF(J790&gt;=8,"ALTA",IF(J790&gt;=6,"MEDIA","BAJA")))</f>
        <v/>
      </c>
      <c r="L790">
        <f>IF(INVENTARIO!Y790="","",INVENTARIO!Y790)</f>
        <v/>
      </c>
      <c r="M790">
        <f>IF(INVENTARIO!Z790="","",INVENTARIO!Z790)</f>
        <v/>
      </c>
      <c r="N790">
        <f>IF(INVENTARIO!AA790="","",INVENTARIO!AA790)</f>
        <v/>
      </c>
      <c r="O790">
        <f>IF(INVENTARIO!AB790="","",INVENTARIO!AB790)</f>
        <v/>
      </c>
      <c r="P790">
        <f>IF(INVENTARIO!AC790="","",INVENTARIO!AC790)</f>
        <v/>
      </c>
      <c r="Q790">
        <f>IF(AND(K790="",N790="",L790=""),"",IF(AND((K790="ALTA"),OR(LEFT(N790,2)="L0",LEFT(N790,2)="L1",L790="No Iniciado")),"CRÍTICO - Incumplimiento Normativo SEPS",IF(AND(OR(LEFT(N790,2)="L4",LEFT(N790,2)="L5"),AND(P790&lt;&gt;"",P790&lt;&gt;"N/A")),"CONFORME - Control Efectivo ISO 27001","OBSERVACIÓN - Revisar Controles")))</f>
        <v/>
      </c>
    </row>
    <row r="791">
      <c r="A791">
        <f>IF(INVENTARIO!A791="","",INVENTARIO!A791)</f>
        <v/>
      </c>
      <c r="B791">
        <f>IF(INVENTARIO!E791="","",INVENTARIO!E791)</f>
        <v/>
      </c>
      <c r="C791">
        <f>IF(INVENTARIO!F791="","",INVENTARIO!F791)</f>
        <v/>
      </c>
      <c r="D791">
        <f>IF(INVENTARIO!H791="","",INVENTARIO!H791)</f>
        <v/>
      </c>
      <c r="E791">
        <f>IF(INVENTARIO!I791="","",INVENTARIO!I791)</f>
        <v/>
      </c>
      <c r="F791">
        <f>IF(INVENTARIO!N791="","",INVENTARIO!N791)</f>
        <v/>
      </c>
      <c r="G791">
        <f>IF(INVENTARIO!P791="","",INVENTARIO!P791)</f>
        <v/>
      </c>
      <c r="H791">
        <f>IF(INVENTARIO!Q791="","",INVENTARIO!Q791)</f>
        <v/>
      </c>
      <c r="I791">
        <f>IF(INVENTARIO!R791="","",INVENTARIO!R791)</f>
        <v/>
      </c>
      <c r="J791">
        <f>IF(G791="PUBLICA(1)",1,IF(G791="USO INTERNO(2)",2,IF(G791="RESTRINGIDO(3)",3,0)))+IF(H791="BAJA(1)",1,IF(H791="MEDIA(2)",2,IF(H791="ALTA(3)",3,0)))+IF(I791="BAJA(1)",1,IF(I791="MEDIA(2)",2,IF(I791="ALTA(3)",3,0)))</f>
        <v/>
      </c>
      <c r="K791">
        <f>IF(J791="", "", IF(J791&gt;=8,"ALTA",IF(J791&gt;=6,"MEDIA","BAJA")))</f>
        <v/>
      </c>
      <c r="L791">
        <f>IF(INVENTARIO!Y791="","",INVENTARIO!Y791)</f>
        <v/>
      </c>
      <c r="M791">
        <f>IF(INVENTARIO!Z791="","",INVENTARIO!Z791)</f>
        <v/>
      </c>
      <c r="N791">
        <f>IF(INVENTARIO!AA791="","",INVENTARIO!AA791)</f>
        <v/>
      </c>
      <c r="O791">
        <f>IF(INVENTARIO!AB791="","",INVENTARIO!AB791)</f>
        <v/>
      </c>
      <c r="P791">
        <f>IF(INVENTARIO!AC791="","",INVENTARIO!AC791)</f>
        <v/>
      </c>
      <c r="Q791">
        <f>IF(AND(K791="",N791="",L791=""),"",IF(AND((K791="ALTA"),OR(LEFT(N791,2)="L0",LEFT(N791,2)="L1",L791="No Iniciado")),"CRÍTICO - Incumplimiento Normativo SEPS",IF(AND(OR(LEFT(N791,2)="L4",LEFT(N791,2)="L5"),AND(P791&lt;&gt;"",P791&lt;&gt;"N/A")),"CONFORME - Control Efectivo ISO 27001","OBSERVACIÓN - Revisar Controles")))</f>
        <v/>
      </c>
    </row>
    <row r="792">
      <c r="A792">
        <f>IF(INVENTARIO!A792="","",INVENTARIO!A792)</f>
        <v/>
      </c>
      <c r="B792">
        <f>IF(INVENTARIO!E792="","",INVENTARIO!E792)</f>
        <v/>
      </c>
      <c r="C792">
        <f>IF(INVENTARIO!F792="","",INVENTARIO!F792)</f>
        <v/>
      </c>
      <c r="D792">
        <f>IF(INVENTARIO!H792="","",INVENTARIO!H792)</f>
        <v/>
      </c>
      <c r="E792">
        <f>IF(INVENTARIO!I792="","",INVENTARIO!I792)</f>
        <v/>
      </c>
      <c r="F792">
        <f>IF(INVENTARIO!N792="","",INVENTARIO!N792)</f>
        <v/>
      </c>
      <c r="G792">
        <f>IF(INVENTARIO!P792="","",INVENTARIO!P792)</f>
        <v/>
      </c>
      <c r="H792">
        <f>IF(INVENTARIO!Q792="","",INVENTARIO!Q792)</f>
        <v/>
      </c>
      <c r="I792">
        <f>IF(INVENTARIO!R792="","",INVENTARIO!R792)</f>
        <v/>
      </c>
      <c r="J792">
        <f>IF(G792="PUBLICA(1)",1,IF(G792="USO INTERNO(2)",2,IF(G792="RESTRINGIDO(3)",3,0)))+IF(H792="BAJA(1)",1,IF(H792="MEDIA(2)",2,IF(H792="ALTA(3)",3,0)))+IF(I792="BAJA(1)",1,IF(I792="MEDIA(2)",2,IF(I792="ALTA(3)",3,0)))</f>
        <v/>
      </c>
      <c r="K792">
        <f>IF(J792="", "", IF(J792&gt;=8,"ALTA",IF(J792&gt;=6,"MEDIA","BAJA")))</f>
        <v/>
      </c>
      <c r="L792">
        <f>IF(INVENTARIO!Y792="","",INVENTARIO!Y792)</f>
        <v/>
      </c>
      <c r="M792">
        <f>IF(INVENTARIO!Z792="","",INVENTARIO!Z792)</f>
        <v/>
      </c>
      <c r="N792">
        <f>IF(INVENTARIO!AA792="","",INVENTARIO!AA792)</f>
        <v/>
      </c>
      <c r="O792">
        <f>IF(INVENTARIO!AB792="","",INVENTARIO!AB792)</f>
        <v/>
      </c>
      <c r="P792">
        <f>IF(INVENTARIO!AC792="","",INVENTARIO!AC792)</f>
        <v/>
      </c>
      <c r="Q792">
        <f>IF(AND(K792="",N792="",L792=""),"",IF(AND((K792="ALTA"),OR(LEFT(N792,2)="L0",LEFT(N792,2)="L1",L792="No Iniciado")),"CRÍTICO - Incumplimiento Normativo SEPS",IF(AND(OR(LEFT(N792,2)="L4",LEFT(N792,2)="L5"),AND(P792&lt;&gt;"",P792&lt;&gt;"N/A")),"CONFORME - Control Efectivo ISO 27001","OBSERVACIÓN - Revisar Controles")))</f>
        <v/>
      </c>
    </row>
    <row r="793">
      <c r="A793">
        <f>IF(INVENTARIO!A793="","",INVENTARIO!A793)</f>
        <v/>
      </c>
      <c r="B793">
        <f>IF(INVENTARIO!E793="","",INVENTARIO!E793)</f>
        <v/>
      </c>
      <c r="C793">
        <f>IF(INVENTARIO!F793="","",INVENTARIO!F793)</f>
        <v/>
      </c>
      <c r="D793">
        <f>IF(INVENTARIO!H793="","",INVENTARIO!H793)</f>
        <v/>
      </c>
      <c r="E793">
        <f>IF(INVENTARIO!I793="","",INVENTARIO!I793)</f>
        <v/>
      </c>
      <c r="F793">
        <f>IF(INVENTARIO!N793="","",INVENTARIO!N793)</f>
        <v/>
      </c>
      <c r="G793">
        <f>IF(INVENTARIO!P793="","",INVENTARIO!P793)</f>
        <v/>
      </c>
      <c r="H793">
        <f>IF(INVENTARIO!Q793="","",INVENTARIO!Q793)</f>
        <v/>
      </c>
      <c r="I793">
        <f>IF(INVENTARIO!R793="","",INVENTARIO!R793)</f>
        <v/>
      </c>
      <c r="J793">
        <f>IF(G793="PUBLICA(1)",1,IF(G793="USO INTERNO(2)",2,IF(G793="RESTRINGIDO(3)",3,0)))+IF(H793="BAJA(1)",1,IF(H793="MEDIA(2)",2,IF(H793="ALTA(3)",3,0)))+IF(I793="BAJA(1)",1,IF(I793="MEDIA(2)",2,IF(I793="ALTA(3)",3,0)))</f>
        <v/>
      </c>
      <c r="K793">
        <f>IF(J793="", "", IF(J793&gt;=8,"ALTA",IF(J793&gt;=6,"MEDIA","BAJA")))</f>
        <v/>
      </c>
      <c r="L793">
        <f>IF(INVENTARIO!Y793="","",INVENTARIO!Y793)</f>
        <v/>
      </c>
      <c r="M793">
        <f>IF(INVENTARIO!Z793="","",INVENTARIO!Z793)</f>
        <v/>
      </c>
      <c r="N793">
        <f>IF(INVENTARIO!AA793="","",INVENTARIO!AA793)</f>
        <v/>
      </c>
      <c r="O793">
        <f>IF(INVENTARIO!AB793="","",INVENTARIO!AB793)</f>
        <v/>
      </c>
      <c r="P793">
        <f>IF(INVENTARIO!AC793="","",INVENTARIO!AC793)</f>
        <v/>
      </c>
      <c r="Q793">
        <f>IF(AND(K793="",N793="",L793=""),"",IF(AND((K793="ALTA"),OR(LEFT(N793,2)="L0",LEFT(N793,2)="L1",L793="No Iniciado")),"CRÍTICO - Incumplimiento Normativo SEPS",IF(AND(OR(LEFT(N793,2)="L4",LEFT(N793,2)="L5"),AND(P793&lt;&gt;"",P793&lt;&gt;"N/A")),"CONFORME - Control Efectivo ISO 27001","OBSERVACIÓN - Revisar Controles")))</f>
        <v/>
      </c>
    </row>
    <row r="794">
      <c r="A794">
        <f>IF(INVENTARIO!A794="","",INVENTARIO!A794)</f>
        <v/>
      </c>
      <c r="B794">
        <f>IF(INVENTARIO!E794="","",INVENTARIO!E794)</f>
        <v/>
      </c>
      <c r="C794">
        <f>IF(INVENTARIO!F794="","",INVENTARIO!F794)</f>
        <v/>
      </c>
      <c r="D794">
        <f>IF(INVENTARIO!H794="","",INVENTARIO!H794)</f>
        <v/>
      </c>
      <c r="E794">
        <f>IF(INVENTARIO!I794="","",INVENTARIO!I794)</f>
        <v/>
      </c>
      <c r="F794">
        <f>IF(INVENTARIO!N794="","",INVENTARIO!N794)</f>
        <v/>
      </c>
      <c r="G794">
        <f>IF(INVENTARIO!P794="","",INVENTARIO!P794)</f>
        <v/>
      </c>
      <c r="H794">
        <f>IF(INVENTARIO!Q794="","",INVENTARIO!Q794)</f>
        <v/>
      </c>
      <c r="I794">
        <f>IF(INVENTARIO!R794="","",INVENTARIO!R794)</f>
        <v/>
      </c>
      <c r="J794">
        <f>IF(G794="PUBLICA(1)",1,IF(G794="USO INTERNO(2)",2,IF(G794="RESTRINGIDO(3)",3,0)))+IF(H794="BAJA(1)",1,IF(H794="MEDIA(2)",2,IF(H794="ALTA(3)",3,0)))+IF(I794="BAJA(1)",1,IF(I794="MEDIA(2)",2,IF(I794="ALTA(3)",3,0)))</f>
        <v/>
      </c>
      <c r="K794">
        <f>IF(J794="", "", IF(J794&gt;=8,"ALTA",IF(J794&gt;=6,"MEDIA","BAJA")))</f>
        <v/>
      </c>
      <c r="L794">
        <f>IF(INVENTARIO!Y794="","",INVENTARIO!Y794)</f>
        <v/>
      </c>
      <c r="M794">
        <f>IF(INVENTARIO!Z794="","",INVENTARIO!Z794)</f>
        <v/>
      </c>
      <c r="N794">
        <f>IF(INVENTARIO!AA794="","",INVENTARIO!AA794)</f>
        <v/>
      </c>
      <c r="O794">
        <f>IF(INVENTARIO!AB794="","",INVENTARIO!AB794)</f>
        <v/>
      </c>
      <c r="P794">
        <f>IF(INVENTARIO!AC794="","",INVENTARIO!AC794)</f>
        <v/>
      </c>
      <c r="Q794">
        <f>IF(AND(K794="",N794="",L794=""),"",IF(AND((K794="ALTA"),OR(LEFT(N794,2)="L0",LEFT(N794,2)="L1",L794="No Iniciado")),"CRÍTICO - Incumplimiento Normativo SEPS",IF(AND(OR(LEFT(N794,2)="L4",LEFT(N794,2)="L5"),AND(P794&lt;&gt;"",P794&lt;&gt;"N/A")),"CONFORME - Control Efectivo ISO 27001","OBSERVACIÓN - Revisar Controles")))</f>
        <v/>
      </c>
    </row>
    <row r="795">
      <c r="A795">
        <f>IF(INVENTARIO!A795="","",INVENTARIO!A795)</f>
        <v/>
      </c>
      <c r="B795">
        <f>IF(INVENTARIO!E795="","",INVENTARIO!E795)</f>
        <v/>
      </c>
      <c r="C795">
        <f>IF(INVENTARIO!F795="","",INVENTARIO!F795)</f>
        <v/>
      </c>
      <c r="D795">
        <f>IF(INVENTARIO!H795="","",INVENTARIO!H795)</f>
        <v/>
      </c>
      <c r="E795">
        <f>IF(INVENTARIO!I795="","",INVENTARIO!I795)</f>
        <v/>
      </c>
      <c r="F795">
        <f>IF(INVENTARIO!N795="","",INVENTARIO!N795)</f>
        <v/>
      </c>
      <c r="G795">
        <f>IF(INVENTARIO!P795="","",INVENTARIO!P795)</f>
        <v/>
      </c>
      <c r="H795">
        <f>IF(INVENTARIO!Q795="","",INVENTARIO!Q795)</f>
        <v/>
      </c>
      <c r="I795">
        <f>IF(INVENTARIO!R795="","",INVENTARIO!R795)</f>
        <v/>
      </c>
      <c r="J795">
        <f>IF(G795="PUBLICA(1)",1,IF(G795="USO INTERNO(2)",2,IF(G795="RESTRINGIDO(3)",3,0)))+IF(H795="BAJA(1)",1,IF(H795="MEDIA(2)",2,IF(H795="ALTA(3)",3,0)))+IF(I795="BAJA(1)",1,IF(I795="MEDIA(2)",2,IF(I795="ALTA(3)",3,0)))</f>
        <v/>
      </c>
      <c r="K795">
        <f>IF(J795="", "", IF(J795&gt;=8,"ALTA",IF(J795&gt;=6,"MEDIA","BAJA")))</f>
        <v/>
      </c>
      <c r="L795">
        <f>IF(INVENTARIO!Y795="","",INVENTARIO!Y795)</f>
        <v/>
      </c>
      <c r="M795">
        <f>IF(INVENTARIO!Z795="","",INVENTARIO!Z795)</f>
        <v/>
      </c>
      <c r="N795">
        <f>IF(INVENTARIO!AA795="","",INVENTARIO!AA795)</f>
        <v/>
      </c>
      <c r="O795">
        <f>IF(INVENTARIO!AB795="","",INVENTARIO!AB795)</f>
        <v/>
      </c>
      <c r="P795">
        <f>IF(INVENTARIO!AC795="","",INVENTARIO!AC795)</f>
        <v/>
      </c>
      <c r="Q795">
        <f>IF(AND(K795="",N795="",L795=""),"",IF(AND((K795="ALTA"),OR(LEFT(N795,2)="L0",LEFT(N795,2)="L1",L795="No Iniciado")),"CRÍTICO - Incumplimiento Normativo SEPS",IF(AND(OR(LEFT(N795,2)="L4",LEFT(N795,2)="L5"),AND(P795&lt;&gt;"",P795&lt;&gt;"N/A")),"CONFORME - Control Efectivo ISO 27001","OBSERVACIÓN - Revisar Controles")))</f>
        <v/>
      </c>
    </row>
    <row r="796">
      <c r="A796">
        <f>IF(INVENTARIO!A796="","",INVENTARIO!A796)</f>
        <v/>
      </c>
      <c r="B796">
        <f>IF(INVENTARIO!E796="","",INVENTARIO!E796)</f>
        <v/>
      </c>
      <c r="C796">
        <f>IF(INVENTARIO!F796="","",INVENTARIO!F796)</f>
        <v/>
      </c>
      <c r="D796">
        <f>IF(INVENTARIO!H796="","",INVENTARIO!H796)</f>
        <v/>
      </c>
      <c r="E796">
        <f>IF(INVENTARIO!I796="","",INVENTARIO!I796)</f>
        <v/>
      </c>
      <c r="F796">
        <f>IF(INVENTARIO!N796="","",INVENTARIO!N796)</f>
        <v/>
      </c>
      <c r="G796">
        <f>IF(INVENTARIO!P796="","",INVENTARIO!P796)</f>
        <v/>
      </c>
      <c r="H796">
        <f>IF(INVENTARIO!Q796="","",INVENTARIO!Q796)</f>
        <v/>
      </c>
      <c r="I796">
        <f>IF(INVENTARIO!R796="","",INVENTARIO!R796)</f>
        <v/>
      </c>
      <c r="J796">
        <f>IF(G796="PUBLICA(1)",1,IF(G796="USO INTERNO(2)",2,IF(G796="RESTRINGIDO(3)",3,0)))+IF(H796="BAJA(1)",1,IF(H796="MEDIA(2)",2,IF(H796="ALTA(3)",3,0)))+IF(I796="BAJA(1)",1,IF(I796="MEDIA(2)",2,IF(I796="ALTA(3)",3,0)))</f>
        <v/>
      </c>
      <c r="K796">
        <f>IF(J796="", "", IF(J796&gt;=8,"ALTA",IF(J796&gt;=6,"MEDIA","BAJA")))</f>
        <v/>
      </c>
      <c r="L796">
        <f>IF(INVENTARIO!Y796="","",INVENTARIO!Y796)</f>
        <v/>
      </c>
      <c r="M796">
        <f>IF(INVENTARIO!Z796="","",INVENTARIO!Z796)</f>
        <v/>
      </c>
      <c r="N796">
        <f>IF(INVENTARIO!AA796="","",INVENTARIO!AA796)</f>
        <v/>
      </c>
      <c r="O796">
        <f>IF(INVENTARIO!AB796="","",INVENTARIO!AB796)</f>
        <v/>
      </c>
      <c r="P796">
        <f>IF(INVENTARIO!AC796="","",INVENTARIO!AC796)</f>
        <v/>
      </c>
      <c r="Q796">
        <f>IF(AND(K796="",N796="",L796=""),"",IF(AND((K796="ALTA"),OR(LEFT(N796,2)="L0",LEFT(N796,2)="L1",L796="No Iniciado")),"CRÍTICO - Incumplimiento Normativo SEPS",IF(AND(OR(LEFT(N796,2)="L4",LEFT(N796,2)="L5"),AND(P796&lt;&gt;"",P796&lt;&gt;"N/A")),"CONFORME - Control Efectivo ISO 27001","OBSERVACIÓN - Revisar Controles")))</f>
        <v/>
      </c>
    </row>
    <row r="797">
      <c r="A797">
        <f>IF(INVENTARIO!A797="","",INVENTARIO!A797)</f>
        <v/>
      </c>
      <c r="B797">
        <f>IF(INVENTARIO!E797="","",INVENTARIO!E797)</f>
        <v/>
      </c>
      <c r="C797">
        <f>IF(INVENTARIO!F797="","",INVENTARIO!F797)</f>
        <v/>
      </c>
      <c r="D797">
        <f>IF(INVENTARIO!H797="","",INVENTARIO!H797)</f>
        <v/>
      </c>
      <c r="E797">
        <f>IF(INVENTARIO!I797="","",INVENTARIO!I797)</f>
        <v/>
      </c>
      <c r="F797">
        <f>IF(INVENTARIO!N797="","",INVENTARIO!N797)</f>
        <v/>
      </c>
      <c r="G797">
        <f>IF(INVENTARIO!P797="","",INVENTARIO!P797)</f>
        <v/>
      </c>
      <c r="H797">
        <f>IF(INVENTARIO!Q797="","",INVENTARIO!Q797)</f>
        <v/>
      </c>
      <c r="I797">
        <f>IF(INVENTARIO!R797="","",INVENTARIO!R797)</f>
        <v/>
      </c>
      <c r="J797">
        <f>IF(G797="PUBLICA(1)",1,IF(G797="USO INTERNO(2)",2,IF(G797="RESTRINGIDO(3)",3,0)))+IF(H797="BAJA(1)",1,IF(H797="MEDIA(2)",2,IF(H797="ALTA(3)",3,0)))+IF(I797="BAJA(1)",1,IF(I797="MEDIA(2)",2,IF(I797="ALTA(3)",3,0)))</f>
        <v/>
      </c>
      <c r="K797">
        <f>IF(J797="", "", IF(J797&gt;=8,"ALTA",IF(J797&gt;=6,"MEDIA","BAJA")))</f>
        <v/>
      </c>
      <c r="L797">
        <f>IF(INVENTARIO!Y797="","",INVENTARIO!Y797)</f>
        <v/>
      </c>
      <c r="M797">
        <f>IF(INVENTARIO!Z797="","",INVENTARIO!Z797)</f>
        <v/>
      </c>
      <c r="N797">
        <f>IF(INVENTARIO!AA797="","",INVENTARIO!AA797)</f>
        <v/>
      </c>
      <c r="O797">
        <f>IF(INVENTARIO!AB797="","",INVENTARIO!AB797)</f>
        <v/>
      </c>
      <c r="P797">
        <f>IF(INVENTARIO!AC797="","",INVENTARIO!AC797)</f>
        <v/>
      </c>
      <c r="Q797">
        <f>IF(AND(K797="",N797="",L797=""),"",IF(AND((K797="ALTA"),OR(LEFT(N797,2)="L0",LEFT(N797,2)="L1",L797="No Iniciado")),"CRÍTICO - Incumplimiento Normativo SEPS",IF(AND(OR(LEFT(N797,2)="L4",LEFT(N797,2)="L5"),AND(P797&lt;&gt;"",P797&lt;&gt;"N/A")),"CONFORME - Control Efectivo ISO 27001","OBSERVACIÓN - Revisar Controles")))</f>
        <v/>
      </c>
    </row>
    <row r="798">
      <c r="A798">
        <f>IF(INVENTARIO!A798="","",INVENTARIO!A798)</f>
        <v/>
      </c>
      <c r="B798">
        <f>IF(INVENTARIO!E798="","",INVENTARIO!E798)</f>
        <v/>
      </c>
      <c r="C798">
        <f>IF(INVENTARIO!F798="","",INVENTARIO!F798)</f>
        <v/>
      </c>
      <c r="D798">
        <f>IF(INVENTARIO!H798="","",INVENTARIO!H798)</f>
        <v/>
      </c>
      <c r="E798">
        <f>IF(INVENTARIO!I798="","",INVENTARIO!I798)</f>
        <v/>
      </c>
      <c r="F798">
        <f>IF(INVENTARIO!N798="","",INVENTARIO!N798)</f>
        <v/>
      </c>
      <c r="G798">
        <f>IF(INVENTARIO!P798="","",INVENTARIO!P798)</f>
        <v/>
      </c>
      <c r="H798">
        <f>IF(INVENTARIO!Q798="","",INVENTARIO!Q798)</f>
        <v/>
      </c>
      <c r="I798">
        <f>IF(INVENTARIO!R798="","",INVENTARIO!R798)</f>
        <v/>
      </c>
      <c r="J798">
        <f>IF(G798="PUBLICA(1)",1,IF(G798="USO INTERNO(2)",2,IF(G798="RESTRINGIDO(3)",3,0)))+IF(H798="BAJA(1)",1,IF(H798="MEDIA(2)",2,IF(H798="ALTA(3)",3,0)))+IF(I798="BAJA(1)",1,IF(I798="MEDIA(2)",2,IF(I798="ALTA(3)",3,0)))</f>
        <v/>
      </c>
      <c r="K798">
        <f>IF(J798="", "", IF(J798&gt;=8,"ALTA",IF(J798&gt;=6,"MEDIA","BAJA")))</f>
        <v/>
      </c>
      <c r="L798">
        <f>IF(INVENTARIO!Y798="","",INVENTARIO!Y798)</f>
        <v/>
      </c>
      <c r="M798">
        <f>IF(INVENTARIO!Z798="","",INVENTARIO!Z798)</f>
        <v/>
      </c>
      <c r="N798">
        <f>IF(INVENTARIO!AA798="","",INVENTARIO!AA798)</f>
        <v/>
      </c>
      <c r="O798">
        <f>IF(INVENTARIO!AB798="","",INVENTARIO!AB798)</f>
        <v/>
      </c>
      <c r="P798">
        <f>IF(INVENTARIO!AC798="","",INVENTARIO!AC798)</f>
        <v/>
      </c>
      <c r="Q798">
        <f>IF(AND(K798="",N798="",L798=""),"",IF(AND((K798="ALTA"),OR(LEFT(N798,2)="L0",LEFT(N798,2)="L1",L798="No Iniciado")),"CRÍTICO - Incumplimiento Normativo SEPS",IF(AND(OR(LEFT(N798,2)="L4",LEFT(N798,2)="L5"),AND(P798&lt;&gt;"",P798&lt;&gt;"N/A")),"CONFORME - Control Efectivo ISO 27001","OBSERVACIÓN - Revisar Controles")))</f>
        <v/>
      </c>
    </row>
    <row r="799">
      <c r="A799">
        <f>IF(INVENTARIO!A799="","",INVENTARIO!A799)</f>
        <v/>
      </c>
      <c r="B799">
        <f>IF(INVENTARIO!E799="","",INVENTARIO!E799)</f>
        <v/>
      </c>
      <c r="C799">
        <f>IF(INVENTARIO!F799="","",INVENTARIO!F799)</f>
        <v/>
      </c>
      <c r="D799">
        <f>IF(INVENTARIO!H799="","",INVENTARIO!H799)</f>
        <v/>
      </c>
      <c r="E799">
        <f>IF(INVENTARIO!I799="","",INVENTARIO!I799)</f>
        <v/>
      </c>
      <c r="F799">
        <f>IF(INVENTARIO!N799="","",INVENTARIO!N799)</f>
        <v/>
      </c>
      <c r="G799">
        <f>IF(INVENTARIO!P799="","",INVENTARIO!P799)</f>
        <v/>
      </c>
      <c r="H799">
        <f>IF(INVENTARIO!Q799="","",INVENTARIO!Q799)</f>
        <v/>
      </c>
      <c r="I799">
        <f>IF(INVENTARIO!R799="","",INVENTARIO!R799)</f>
        <v/>
      </c>
      <c r="J799">
        <f>IF(G799="PUBLICA(1)",1,IF(G799="USO INTERNO(2)",2,IF(G799="RESTRINGIDO(3)",3,0)))+IF(H799="BAJA(1)",1,IF(H799="MEDIA(2)",2,IF(H799="ALTA(3)",3,0)))+IF(I799="BAJA(1)",1,IF(I799="MEDIA(2)",2,IF(I799="ALTA(3)",3,0)))</f>
        <v/>
      </c>
      <c r="K799">
        <f>IF(J799="", "", IF(J799&gt;=8,"ALTA",IF(J799&gt;=6,"MEDIA","BAJA")))</f>
        <v/>
      </c>
      <c r="L799">
        <f>IF(INVENTARIO!Y799="","",INVENTARIO!Y799)</f>
        <v/>
      </c>
      <c r="M799">
        <f>IF(INVENTARIO!Z799="","",INVENTARIO!Z799)</f>
        <v/>
      </c>
      <c r="N799">
        <f>IF(INVENTARIO!AA799="","",INVENTARIO!AA799)</f>
        <v/>
      </c>
      <c r="O799">
        <f>IF(INVENTARIO!AB799="","",INVENTARIO!AB799)</f>
        <v/>
      </c>
      <c r="P799">
        <f>IF(INVENTARIO!AC799="","",INVENTARIO!AC799)</f>
        <v/>
      </c>
      <c r="Q799">
        <f>IF(AND(K799="",N799="",L799=""),"",IF(AND((K799="ALTA"),OR(LEFT(N799,2)="L0",LEFT(N799,2)="L1",L799="No Iniciado")),"CRÍTICO - Incumplimiento Normativo SEPS",IF(AND(OR(LEFT(N799,2)="L4",LEFT(N799,2)="L5"),AND(P799&lt;&gt;"",P799&lt;&gt;"N/A")),"CONFORME - Control Efectivo ISO 27001","OBSERVACIÓN - Revisar Controles")))</f>
        <v/>
      </c>
    </row>
    <row r="800">
      <c r="A800">
        <f>IF(INVENTARIO!A800="","",INVENTARIO!A800)</f>
        <v/>
      </c>
      <c r="B800">
        <f>IF(INVENTARIO!E800="","",INVENTARIO!E800)</f>
        <v/>
      </c>
      <c r="C800">
        <f>IF(INVENTARIO!F800="","",INVENTARIO!F800)</f>
        <v/>
      </c>
      <c r="D800">
        <f>IF(INVENTARIO!H800="","",INVENTARIO!H800)</f>
        <v/>
      </c>
      <c r="E800">
        <f>IF(INVENTARIO!I800="","",INVENTARIO!I800)</f>
        <v/>
      </c>
      <c r="F800">
        <f>IF(INVENTARIO!N800="","",INVENTARIO!N800)</f>
        <v/>
      </c>
      <c r="G800">
        <f>IF(INVENTARIO!P800="","",INVENTARIO!P800)</f>
        <v/>
      </c>
      <c r="H800">
        <f>IF(INVENTARIO!Q800="","",INVENTARIO!Q800)</f>
        <v/>
      </c>
      <c r="I800">
        <f>IF(INVENTARIO!R800="","",INVENTARIO!R800)</f>
        <v/>
      </c>
      <c r="J800">
        <f>IF(G800="PUBLICA(1)",1,IF(G800="USO INTERNO(2)",2,IF(G800="RESTRINGIDO(3)",3,0)))+IF(H800="BAJA(1)",1,IF(H800="MEDIA(2)",2,IF(H800="ALTA(3)",3,0)))+IF(I800="BAJA(1)",1,IF(I800="MEDIA(2)",2,IF(I800="ALTA(3)",3,0)))</f>
        <v/>
      </c>
      <c r="K800">
        <f>IF(J800="", "", IF(J800&gt;=8,"ALTA",IF(J800&gt;=6,"MEDIA","BAJA")))</f>
        <v/>
      </c>
      <c r="L800">
        <f>IF(INVENTARIO!Y800="","",INVENTARIO!Y800)</f>
        <v/>
      </c>
      <c r="M800">
        <f>IF(INVENTARIO!Z800="","",INVENTARIO!Z800)</f>
        <v/>
      </c>
      <c r="N800">
        <f>IF(INVENTARIO!AA800="","",INVENTARIO!AA800)</f>
        <v/>
      </c>
      <c r="O800">
        <f>IF(INVENTARIO!AB800="","",INVENTARIO!AB800)</f>
        <v/>
      </c>
      <c r="P800">
        <f>IF(INVENTARIO!AC800="","",INVENTARIO!AC800)</f>
        <v/>
      </c>
      <c r="Q800">
        <f>IF(AND(K800="",N800="",L800=""),"",IF(AND((K800="ALTA"),OR(LEFT(N800,2)="L0",LEFT(N800,2)="L1",L800="No Iniciado")),"CRÍTICO - Incumplimiento Normativo SEPS",IF(AND(OR(LEFT(N800,2)="L4",LEFT(N800,2)="L5"),AND(P800&lt;&gt;"",P800&lt;&gt;"N/A")),"CONFORME - Control Efectivo ISO 27001","OBSERVACIÓN - Revisar Controles")))</f>
        <v/>
      </c>
    </row>
    <row r="801">
      <c r="A801">
        <f>IF(INVENTARIO!A801="","",INVENTARIO!A801)</f>
        <v/>
      </c>
      <c r="B801">
        <f>IF(INVENTARIO!E801="","",INVENTARIO!E801)</f>
        <v/>
      </c>
      <c r="C801">
        <f>IF(INVENTARIO!F801="","",INVENTARIO!F801)</f>
        <v/>
      </c>
      <c r="D801">
        <f>IF(INVENTARIO!H801="","",INVENTARIO!H801)</f>
        <v/>
      </c>
      <c r="E801">
        <f>IF(INVENTARIO!I801="","",INVENTARIO!I801)</f>
        <v/>
      </c>
      <c r="F801">
        <f>IF(INVENTARIO!N801="","",INVENTARIO!N801)</f>
        <v/>
      </c>
      <c r="G801">
        <f>IF(INVENTARIO!P801="","",INVENTARIO!P801)</f>
        <v/>
      </c>
      <c r="H801">
        <f>IF(INVENTARIO!Q801="","",INVENTARIO!Q801)</f>
        <v/>
      </c>
      <c r="I801">
        <f>IF(INVENTARIO!R801="","",INVENTARIO!R801)</f>
        <v/>
      </c>
      <c r="J801">
        <f>IF(G801="PUBLICA(1)",1,IF(G801="USO INTERNO(2)",2,IF(G801="RESTRINGIDO(3)",3,0)))+IF(H801="BAJA(1)",1,IF(H801="MEDIA(2)",2,IF(H801="ALTA(3)",3,0)))+IF(I801="BAJA(1)",1,IF(I801="MEDIA(2)",2,IF(I801="ALTA(3)",3,0)))</f>
        <v/>
      </c>
      <c r="K801">
        <f>IF(J801="", "", IF(J801&gt;=8,"ALTA",IF(J801&gt;=6,"MEDIA","BAJA")))</f>
        <v/>
      </c>
      <c r="L801">
        <f>IF(INVENTARIO!Y801="","",INVENTARIO!Y801)</f>
        <v/>
      </c>
      <c r="M801">
        <f>IF(INVENTARIO!Z801="","",INVENTARIO!Z801)</f>
        <v/>
      </c>
      <c r="N801">
        <f>IF(INVENTARIO!AA801="","",INVENTARIO!AA801)</f>
        <v/>
      </c>
      <c r="O801">
        <f>IF(INVENTARIO!AB801="","",INVENTARIO!AB801)</f>
        <v/>
      </c>
      <c r="P801">
        <f>IF(INVENTARIO!AC801="","",INVENTARIO!AC801)</f>
        <v/>
      </c>
      <c r="Q801">
        <f>IF(AND(K801="",N801="",L801=""),"",IF(AND((K801="ALTA"),OR(LEFT(N801,2)="L0",LEFT(N801,2)="L1",L801="No Iniciado")),"CRÍTICO - Incumplimiento Normativo SEPS",IF(AND(OR(LEFT(N801,2)="L4",LEFT(N801,2)="L5"),AND(P801&lt;&gt;"",P801&lt;&gt;"N/A")),"CONFORME - Control Efectivo ISO 27001","OBSERVACIÓN - Revisar Controles")))</f>
        <v/>
      </c>
    </row>
    <row r="802">
      <c r="A802">
        <f>IF(INVENTARIO!A802="","",INVENTARIO!A802)</f>
        <v/>
      </c>
      <c r="B802">
        <f>IF(INVENTARIO!E802="","",INVENTARIO!E802)</f>
        <v/>
      </c>
      <c r="C802">
        <f>IF(INVENTARIO!F802="","",INVENTARIO!F802)</f>
        <v/>
      </c>
      <c r="D802">
        <f>IF(INVENTARIO!H802="","",INVENTARIO!H802)</f>
        <v/>
      </c>
      <c r="E802">
        <f>IF(INVENTARIO!I802="","",INVENTARIO!I802)</f>
        <v/>
      </c>
      <c r="F802">
        <f>IF(INVENTARIO!N802="","",INVENTARIO!N802)</f>
        <v/>
      </c>
      <c r="G802">
        <f>IF(INVENTARIO!P802="","",INVENTARIO!P802)</f>
        <v/>
      </c>
      <c r="H802">
        <f>IF(INVENTARIO!Q802="","",INVENTARIO!Q802)</f>
        <v/>
      </c>
      <c r="I802">
        <f>IF(INVENTARIO!R802="","",INVENTARIO!R802)</f>
        <v/>
      </c>
      <c r="J802">
        <f>IF(G802="PUBLICA(1)",1,IF(G802="USO INTERNO(2)",2,IF(G802="RESTRINGIDO(3)",3,0)))+IF(H802="BAJA(1)",1,IF(H802="MEDIA(2)",2,IF(H802="ALTA(3)",3,0)))+IF(I802="BAJA(1)",1,IF(I802="MEDIA(2)",2,IF(I802="ALTA(3)",3,0)))</f>
        <v/>
      </c>
      <c r="K802">
        <f>IF(J802="", "", IF(J802&gt;=8,"ALTA",IF(J802&gt;=6,"MEDIA","BAJA")))</f>
        <v/>
      </c>
      <c r="L802">
        <f>IF(INVENTARIO!Y802="","",INVENTARIO!Y802)</f>
        <v/>
      </c>
      <c r="M802">
        <f>IF(INVENTARIO!Z802="","",INVENTARIO!Z802)</f>
        <v/>
      </c>
      <c r="N802">
        <f>IF(INVENTARIO!AA802="","",INVENTARIO!AA802)</f>
        <v/>
      </c>
      <c r="O802">
        <f>IF(INVENTARIO!AB802="","",INVENTARIO!AB802)</f>
        <v/>
      </c>
      <c r="P802">
        <f>IF(INVENTARIO!AC802="","",INVENTARIO!AC802)</f>
        <v/>
      </c>
      <c r="Q802">
        <f>IF(AND(K802="",N802="",L802=""),"",IF(AND((K802="ALTA"),OR(LEFT(N802,2)="L0",LEFT(N802,2)="L1",L802="No Iniciado")),"CRÍTICO - Incumplimiento Normativo SEPS",IF(AND(OR(LEFT(N802,2)="L4",LEFT(N802,2)="L5"),AND(P802&lt;&gt;"",P802&lt;&gt;"N/A")),"CONFORME - Control Efectivo ISO 27001","OBSERVACIÓN - Revisar Controles")))</f>
        <v/>
      </c>
    </row>
    <row r="803">
      <c r="A803">
        <f>IF(INVENTARIO!A803="","",INVENTARIO!A803)</f>
        <v/>
      </c>
      <c r="B803">
        <f>IF(INVENTARIO!E803="","",INVENTARIO!E803)</f>
        <v/>
      </c>
      <c r="C803">
        <f>IF(INVENTARIO!F803="","",INVENTARIO!F803)</f>
        <v/>
      </c>
      <c r="D803">
        <f>IF(INVENTARIO!H803="","",INVENTARIO!H803)</f>
        <v/>
      </c>
      <c r="E803">
        <f>IF(INVENTARIO!I803="","",INVENTARIO!I803)</f>
        <v/>
      </c>
      <c r="F803">
        <f>IF(INVENTARIO!N803="","",INVENTARIO!N803)</f>
        <v/>
      </c>
      <c r="G803">
        <f>IF(INVENTARIO!P803="","",INVENTARIO!P803)</f>
        <v/>
      </c>
      <c r="H803">
        <f>IF(INVENTARIO!Q803="","",INVENTARIO!Q803)</f>
        <v/>
      </c>
      <c r="I803">
        <f>IF(INVENTARIO!R803="","",INVENTARIO!R803)</f>
        <v/>
      </c>
      <c r="J803">
        <f>IF(G803="PUBLICA(1)",1,IF(G803="USO INTERNO(2)",2,IF(G803="RESTRINGIDO(3)",3,0)))+IF(H803="BAJA(1)",1,IF(H803="MEDIA(2)",2,IF(H803="ALTA(3)",3,0)))+IF(I803="BAJA(1)",1,IF(I803="MEDIA(2)",2,IF(I803="ALTA(3)",3,0)))</f>
        <v/>
      </c>
      <c r="K803">
        <f>IF(J803="", "", IF(J803&gt;=8,"ALTA",IF(J803&gt;=6,"MEDIA","BAJA")))</f>
        <v/>
      </c>
      <c r="L803">
        <f>IF(INVENTARIO!Y803="","",INVENTARIO!Y803)</f>
        <v/>
      </c>
      <c r="M803">
        <f>IF(INVENTARIO!Z803="","",INVENTARIO!Z803)</f>
        <v/>
      </c>
      <c r="N803">
        <f>IF(INVENTARIO!AA803="","",INVENTARIO!AA803)</f>
        <v/>
      </c>
      <c r="O803">
        <f>IF(INVENTARIO!AB803="","",INVENTARIO!AB803)</f>
        <v/>
      </c>
      <c r="P803">
        <f>IF(INVENTARIO!AC803="","",INVENTARIO!AC803)</f>
        <v/>
      </c>
      <c r="Q803">
        <f>IF(AND(K803="",N803="",L803=""),"",IF(AND((K803="ALTA"),OR(LEFT(N803,2)="L0",LEFT(N803,2)="L1",L803="No Iniciado")),"CRÍTICO - Incumplimiento Normativo SEPS",IF(AND(OR(LEFT(N803,2)="L4",LEFT(N803,2)="L5"),AND(P803&lt;&gt;"",P803&lt;&gt;"N/A")),"CONFORME - Control Efectivo ISO 27001","OBSERVACIÓN - Revisar Controles")))</f>
        <v/>
      </c>
    </row>
    <row r="804">
      <c r="A804">
        <f>IF(INVENTARIO!A804="","",INVENTARIO!A804)</f>
        <v/>
      </c>
      <c r="B804">
        <f>IF(INVENTARIO!E804="","",INVENTARIO!E804)</f>
        <v/>
      </c>
      <c r="C804">
        <f>IF(INVENTARIO!F804="","",INVENTARIO!F804)</f>
        <v/>
      </c>
      <c r="D804">
        <f>IF(INVENTARIO!H804="","",INVENTARIO!H804)</f>
        <v/>
      </c>
      <c r="E804">
        <f>IF(INVENTARIO!I804="","",INVENTARIO!I804)</f>
        <v/>
      </c>
      <c r="F804">
        <f>IF(INVENTARIO!N804="","",INVENTARIO!N804)</f>
        <v/>
      </c>
      <c r="G804">
        <f>IF(INVENTARIO!P804="","",INVENTARIO!P804)</f>
        <v/>
      </c>
      <c r="H804">
        <f>IF(INVENTARIO!Q804="","",INVENTARIO!Q804)</f>
        <v/>
      </c>
      <c r="I804">
        <f>IF(INVENTARIO!R804="","",INVENTARIO!R804)</f>
        <v/>
      </c>
      <c r="J804">
        <f>IF(G804="PUBLICA(1)",1,IF(G804="USO INTERNO(2)",2,IF(G804="RESTRINGIDO(3)",3,0)))+IF(H804="BAJA(1)",1,IF(H804="MEDIA(2)",2,IF(H804="ALTA(3)",3,0)))+IF(I804="BAJA(1)",1,IF(I804="MEDIA(2)",2,IF(I804="ALTA(3)",3,0)))</f>
        <v/>
      </c>
      <c r="K804">
        <f>IF(J804="", "", IF(J804&gt;=8,"ALTA",IF(J804&gt;=6,"MEDIA","BAJA")))</f>
        <v/>
      </c>
      <c r="L804">
        <f>IF(INVENTARIO!Y804="","",INVENTARIO!Y804)</f>
        <v/>
      </c>
      <c r="M804">
        <f>IF(INVENTARIO!Z804="","",INVENTARIO!Z804)</f>
        <v/>
      </c>
      <c r="N804">
        <f>IF(INVENTARIO!AA804="","",INVENTARIO!AA804)</f>
        <v/>
      </c>
      <c r="O804">
        <f>IF(INVENTARIO!AB804="","",INVENTARIO!AB804)</f>
        <v/>
      </c>
      <c r="P804">
        <f>IF(INVENTARIO!AC804="","",INVENTARIO!AC804)</f>
        <v/>
      </c>
      <c r="Q804">
        <f>IF(AND(K804="",N804="",L804=""),"",IF(AND((K804="ALTA"),OR(LEFT(N804,2)="L0",LEFT(N804,2)="L1",L804="No Iniciado")),"CRÍTICO - Incumplimiento Normativo SEPS",IF(AND(OR(LEFT(N804,2)="L4",LEFT(N804,2)="L5"),AND(P804&lt;&gt;"",P804&lt;&gt;"N/A")),"CONFORME - Control Efectivo ISO 27001","OBSERVACIÓN - Revisar Controles")))</f>
        <v/>
      </c>
    </row>
    <row r="805">
      <c r="A805">
        <f>IF(INVENTARIO!A805="","",INVENTARIO!A805)</f>
        <v/>
      </c>
      <c r="B805">
        <f>IF(INVENTARIO!E805="","",INVENTARIO!E805)</f>
        <v/>
      </c>
      <c r="C805">
        <f>IF(INVENTARIO!F805="","",INVENTARIO!F805)</f>
        <v/>
      </c>
      <c r="D805">
        <f>IF(INVENTARIO!H805="","",INVENTARIO!H805)</f>
        <v/>
      </c>
      <c r="E805">
        <f>IF(INVENTARIO!I805="","",INVENTARIO!I805)</f>
        <v/>
      </c>
      <c r="F805">
        <f>IF(INVENTARIO!N805="","",INVENTARIO!N805)</f>
        <v/>
      </c>
      <c r="G805">
        <f>IF(INVENTARIO!P805="","",INVENTARIO!P805)</f>
        <v/>
      </c>
      <c r="H805">
        <f>IF(INVENTARIO!Q805="","",INVENTARIO!Q805)</f>
        <v/>
      </c>
      <c r="I805">
        <f>IF(INVENTARIO!R805="","",INVENTARIO!R805)</f>
        <v/>
      </c>
      <c r="J805">
        <f>IF(G805="PUBLICA(1)",1,IF(G805="USO INTERNO(2)",2,IF(G805="RESTRINGIDO(3)",3,0)))+IF(H805="BAJA(1)",1,IF(H805="MEDIA(2)",2,IF(H805="ALTA(3)",3,0)))+IF(I805="BAJA(1)",1,IF(I805="MEDIA(2)",2,IF(I805="ALTA(3)",3,0)))</f>
        <v/>
      </c>
      <c r="K805">
        <f>IF(J805="", "", IF(J805&gt;=8,"ALTA",IF(J805&gt;=6,"MEDIA","BAJA")))</f>
        <v/>
      </c>
      <c r="L805">
        <f>IF(INVENTARIO!Y805="","",INVENTARIO!Y805)</f>
        <v/>
      </c>
      <c r="M805">
        <f>IF(INVENTARIO!Z805="","",INVENTARIO!Z805)</f>
        <v/>
      </c>
      <c r="N805">
        <f>IF(INVENTARIO!AA805="","",INVENTARIO!AA805)</f>
        <v/>
      </c>
      <c r="O805">
        <f>IF(INVENTARIO!AB805="","",INVENTARIO!AB805)</f>
        <v/>
      </c>
      <c r="P805">
        <f>IF(INVENTARIO!AC805="","",INVENTARIO!AC805)</f>
        <v/>
      </c>
      <c r="Q805">
        <f>IF(AND(K805="",N805="",L805=""),"",IF(AND((K805="ALTA"),OR(LEFT(N805,2)="L0",LEFT(N805,2)="L1",L805="No Iniciado")),"CRÍTICO - Incumplimiento Normativo SEPS",IF(AND(OR(LEFT(N805,2)="L4",LEFT(N805,2)="L5"),AND(P805&lt;&gt;"",P805&lt;&gt;"N/A")),"CONFORME - Control Efectivo ISO 27001","OBSERVACIÓN - Revisar Controles")))</f>
        <v/>
      </c>
    </row>
    <row r="806">
      <c r="A806">
        <f>IF(INVENTARIO!A806="","",INVENTARIO!A806)</f>
        <v/>
      </c>
      <c r="B806">
        <f>IF(INVENTARIO!E806="","",INVENTARIO!E806)</f>
        <v/>
      </c>
      <c r="C806">
        <f>IF(INVENTARIO!F806="","",INVENTARIO!F806)</f>
        <v/>
      </c>
      <c r="D806">
        <f>IF(INVENTARIO!H806="","",INVENTARIO!H806)</f>
        <v/>
      </c>
      <c r="E806">
        <f>IF(INVENTARIO!I806="","",INVENTARIO!I806)</f>
        <v/>
      </c>
      <c r="F806">
        <f>IF(INVENTARIO!N806="","",INVENTARIO!N806)</f>
        <v/>
      </c>
      <c r="G806">
        <f>IF(INVENTARIO!P806="","",INVENTARIO!P806)</f>
        <v/>
      </c>
      <c r="H806">
        <f>IF(INVENTARIO!Q806="","",INVENTARIO!Q806)</f>
        <v/>
      </c>
      <c r="I806">
        <f>IF(INVENTARIO!R806="","",INVENTARIO!R806)</f>
        <v/>
      </c>
      <c r="J806">
        <f>IF(G806="PUBLICA(1)",1,IF(G806="USO INTERNO(2)",2,IF(G806="RESTRINGIDO(3)",3,0)))+IF(H806="BAJA(1)",1,IF(H806="MEDIA(2)",2,IF(H806="ALTA(3)",3,0)))+IF(I806="BAJA(1)",1,IF(I806="MEDIA(2)",2,IF(I806="ALTA(3)",3,0)))</f>
        <v/>
      </c>
      <c r="K806">
        <f>IF(J806="", "", IF(J806&gt;=8,"ALTA",IF(J806&gt;=6,"MEDIA","BAJA")))</f>
        <v/>
      </c>
      <c r="L806">
        <f>IF(INVENTARIO!Y806="","",INVENTARIO!Y806)</f>
        <v/>
      </c>
      <c r="M806">
        <f>IF(INVENTARIO!Z806="","",INVENTARIO!Z806)</f>
        <v/>
      </c>
      <c r="N806">
        <f>IF(INVENTARIO!AA806="","",INVENTARIO!AA806)</f>
        <v/>
      </c>
      <c r="O806">
        <f>IF(INVENTARIO!AB806="","",INVENTARIO!AB806)</f>
        <v/>
      </c>
      <c r="P806">
        <f>IF(INVENTARIO!AC806="","",INVENTARIO!AC806)</f>
        <v/>
      </c>
      <c r="Q806">
        <f>IF(AND(K806="",N806="",L806=""),"",IF(AND((K806="ALTA"),OR(LEFT(N806,2)="L0",LEFT(N806,2)="L1",L806="No Iniciado")),"CRÍTICO - Incumplimiento Normativo SEPS",IF(AND(OR(LEFT(N806,2)="L4",LEFT(N806,2)="L5"),AND(P806&lt;&gt;"",P806&lt;&gt;"N/A")),"CONFORME - Control Efectivo ISO 27001","OBSERVACIÓN - Revisar Controles")))</f>
        <v/>
      </c>
    </row>
    <row r="807">
      <c r="A807">
        <f>IF(INVENTARIO!A807="","",INVENTARIO!A807)</f>
        <v/>
      </c>
      <c r="B807">
        <f>IF(INVENTARIO!E807="","",INVENTARIO!E807)</f>
        <v/>
      </c>
      <c r="C807">
        <f>IF(INVENTARIO!F807="","",INVENTARIO!F807)</f>
        <v/>
      </c>
      <c r="D807">
        <f>IF(INVENTARIO!H807="","",INVENTARIO!H807)</f>
        <v/>
      </c>
      <c r="E807">
        <f>IF(INVENTARIO!I807="","",INVENTARIO!I807)</f>
        <v/>
      </c>
      <c r="F807">
        <f>IF(INVENTARIO!N807="","",INVENTARIO!N807)</f>
        <v/>
      </c>
      <c r="G807">
        <f>IF(INVENTARIO!P807="","",INVENTARIO!P807)</f>
        <v/>
      </c>
      <c r="H807">
        <f>IF(INVENTARIO!Q807="","",INVENTARIO!Q807)</f>
        <v/>
      </c>
      <c r="I807">
        <f>IF(INVENTARIO!R807="","",INVENTARIO!R807)</f>
        <v/>
      </c>
      <c r="J807">
        <f>IF(G807="PUBLICA(1)",1,IF(G807="USO INTERNO(2)",2,IF(G807="RESTRINGIDO(3)",3,0)))+IF(H807="BAJA(1)",1,IF(H807="MEDIA(2)",2,IF(H807="ALTA(3)",3,0)))+IF(I807="BAJA(1)",1,IF(I807="MEDIA(2)",2,IF(I807="ALTA(3)",3,0)))</f>
        <v/>
      </c>
      <c r="K807">
        <f>IF(J807="", "", IF(J807&gt;=8,"ALTA",IF(J807&gt;=6,"MEDIA","BAJA")))</f>
        <v/>
      </c>
      <c r="L807">
        <f>IF(INVENTARIO!Y807="","",INVENTARIO!Y807)</f>
        <v/>
      </c>
      <c r="M807">
        <f>IF(INVENTARIO!Z807="","",INVENTARIO!Z807)</f>
        <v/>
      </c>
      <c r="N807">
        <f>IF(INVENTARIO!AA807="","",INVENTARIO!AA807)</f>
        <v/>
      </c>
      <c r="O807">
        <f>IF(INVENTARIO!AB807="","",INVENTARIO!AB807)</f>
        <v/>
      </c>
      <c r="P807">
        <f>IF(INVENTARIO!AC807="","",INVENTARIO!AC807)</f>
        <v/>
      </c>
      <c r="Q807">
        <f>IF(AND(K807="",N807="",L807=""),"",IF(AND((K807="ALTA"),OR(LEFT(N807,2)="L0",LEFT(N807,2)="L1",L807="No Iniciado")),"CRÍTICO - Incumplimiento Normativo SEPS",IF(AND(OR(LEFT(N807,2)="L4",LEFT(N807,2)="L5"),AND(P807&lt;&gt;"",P807&lt;&gt;"N/A")),"CONFORME - Control Efectivo ISO 27001","OBSERVACIÓN - Revisar Controles")))</f>
        <v/>
      </c>
    </row>
    <row r="808">
      <c r="A808">
        <f>IF(INVENTARIO!A808="","",INVENTARIO!A808)</f>
        <v/>
      </c>
      <c r="B808">
        <f>IF(INVENTARIO!E808="","",INVENTARIO!E808)</f>
        <v/>
      </c>
      <c r="C808">
        <f>IF(INVENTARIO!F808="","",INVENTARIO!F808)</f>
        <v/>
      </c>
      <c r="D808">
        <f>IF(INVENTARIO!H808="","",INVENTARIO!H808)</f>
        <v/>
      </c>
      <c r="E808">
        <f>IF(INVENTARIO!I808="","",INVENTARIO!I808)</f>
        <v/>
      </c>
      <c r="F808">
        <f>IF(INVENTARIO!N808="","",INVENTARIO!N808)</f>
        <v/>
      </c>
      <c r="G808">
        <f>IF(INVENTARIO!P808="","",INVENTARIO!P808)</f>
        <v/>
      </c>
      <c r="H808">
        <f>IF(INVENTARIO!Q808="","",INVENTARIO!Q808)</f>
        <v/>
      </c>
      <c r="I808">
        <f>IF(INVENTARIO!R808="","",INVENTARIO!R808)</f>
        <v/>
      </c>
      <c r="J808">
        <f>IF(G808="PUBLICA(1)",1,IF(G808="USO INTERNO(2)",2,IF(G808="RESTRINGIDO(3)",3,0)))+IF(H808="BAJA(1)",1,IF(H808="MEDIA(2)",2,IF(H808="ALTA(3)",3,0)))+IF(I808="BAJA(1)",1,IF(I808="MEDIA(2)",2,IF(I808="ALTA(3)",3,0)))</f>
        <v/>
      </c>
      <c r="K808">
        <f>IF(J808="", "", IF(J808&gt;=8,"ALTA",IF(J808&gt;=6,"MEDIA","BAJA")))</f>
        <v/>
      </c>
      <c r="L808">
        <f>IF(INVENTARIO!Y808="","",INVENTARIO!Y808)</f>
        <v/>
      </c>
      <c r="M808">
        <f>IF(INVENTARIO!Z808="","",INVENTARIO!Z808)</f>
        <v/>
      </c>
      <c r="N808">
        <f>IF(INVENTARIO!AA808="","",INVENTARIO!AA808)</f>
        <v/>
      </c>
      <c r="O808">
        <f>IF(INVENTARIO!AB808="","",INVENTARIO!AB808)</f>
        <v/>
      </c>
      <c r="P808">
        <f>IF(INVENTARIO!AC808="","",INVENTARIO!AC808)</f>
        <v/>
      </c>
      <c r="Q808">
        <f>IF(AND(K808="",N808="",L808=""),"",IF(AND((K808="ALTA"),OR(LEFT(N808,2)="L0",LEFT(N808,2)="L1",L808="No Iniciado")),"CRÍTICO - Incumplimiento Normativo SEPS",IF(AND(OR(LEFT(N808,2)="L4",LEFT(N808,2)="L5"),AND(P808&lt;&gt;"",P808&lt;&gt;"N/A")),"CONFORME - Control Efectivo ISO 27001","OBSERVACIÓN - Revisar Controles")))</f>
        <v/>
      </c>
    </row>
    <row r="809">
      <c r="A809">
        <f>IF(INVENTARIO!A809="","",INVENTARIO!A809)</f>
        <v/>
      </c>
      <c r="B809">
        <f>IF(INVENTARIO!E809="","",INVENTARIO!E809)</f>
        <v/>
      </c>
      <c r="C809">
        <f>IF(INVENTARIO!F809="","",INVENTARIO!F809)</f>
        <v/>
      </c>
      <c r="D809">
        <f>IF(INVENTARIO!H809="","",INVENTARIO!H809)</f>
        <v/>
      </c>
      <c r="E809">
        <f>IF(INVENTARIO!I809="","",INVENTARIO!I809)</f>
        <v/>
      </c>
      <c r="F809">
        <f>IF(INVENTARIO!N809="","",INVENTARIO!N809)</f>
        <v/>
      </c>
      <c r="G809">
        <f>IF(INVENTARIO!P809="","",INVENTARIO!P809)</f>
        <v/>
      </c>
      <c r="H809">
        <f>IF(INVENTARIO!Q809="","",INVENTARIO!Q809)</f>
        <v/>
      </c>
      <c r="I809">
        <f>IF(INVENTARIO!R809="","",INVENTARIO!R809)</f>
        <v/>
      </c>
      <c r="J809">
        <f>IF(G809="PUBLICA(1)",1,IF(G809="USO INTERNO(2)",2,IF(G809="RESTRINGIDO(3)",3,0)))+IF(H809="BAJA(1)",1,IF(H809="MEDIA(2)",2,IF(H809="ALTA(3)",3,0)))+IF(I809="BAJA(1)",1,IF(I809="MEDIA(2)",2,IF(I809="ALTA(3)",3,0)))</f>
        <v/>
      </c>
      <c r="K809">
        <f>IF(J809="", "", IF(J809&gt;=8,"ALTA",IF(J809&gt;=6,"MEDIA","BAJA")))</f>
        <v/>
      </c>
      <c r="L809">
        <f>IF(INVENTARIO!Y809="","",INVENTARIO!Y809)</f>
        <v/>
      </c>
      <c r="M809">
        <f>IF(INVENTARIO!Z809="","",INVENTARIO!Z809)</f>
        <v/>
      </c>
      <c r="N809">
        <f>IF(INVENTARIO!AA809="","",INVENTARIO!AA809)</f>
        <v/>
      </c>
      <c r="O809">
        <f>IF(INVENTARIO!AB809="","",INVENTARIO!AB809)</f>
        <v/>
      </c>
      <c r="P809">
        <f>IF(INVENTARIO!AC809="","",INVENTARIO!AC809)</f>
        <v/>
      </c>
      <c r="Q809">
        <f>IF(AND(K809="",N809="",L809=""),"",IF(AND((K809="ALTA"),OR(LEFT(N809,2)="L0",LEFT(N809,2)="L1",L809="No Iniciado")),"CRÍTICO - Incumplimiento Normativo SEPS",IF(AND(OR(LEFT(N809,2)="L4",LEFT(N809,2)="L5"),AND(P809&lt;&gt;"",P809&lt;&gt;"N/A")),"CONFORME - Control Efectivo ISO 27001","OBSERVACIÓN - Revisar Controles")))</f>
        <v/>
      </c>
    </row>
    <row r="810">
      <c r="A810">
        <f>IF(INVENTARIO!A810="","",INVENTARIO!A810)</f>
        <v/>
      </c>
      <c r="B810">
        <f>IF(INVENTARIO!E810="","",INVENTARIO!E810)</f>
        <v/>
      </c>
      <c r="C810">
        <f>IF(INVENTARIO!F810="","",INVENTARIO!F810)</f>
        <v/>
      </c>
      <c r="D810">
        <f>IF(INVENTARIO!H810="","",INVENTARIO!H810)</f>
        <v/>
      </c>
      <c r="E810">
        <f>IF(INVENTARIO!I810="","",INVENTARIO!I810)</f>
        <v/>
      </c>
      <c r="F810">
        <f>IF(INVENTARIO!N810="","",INVENTARIO!N810)</f>
        <v/>
      </c>
      <c r="G810">
        <f>IF(INVENTARIO!P810="","",INVENTARIO!P810)</f>
        <v/>
      </c>
      <c r="H810">
        <f>IF(INVENTARIO!Q810="","",INVENTARIO!Q810)</f>
        <v/>
      </c>
      <c r="I810">
        <f>IF(INVENTARIO!R810="","",INVENTARIO!R810)</f>
        <v/>
      </c>
      <c r="J810">
        <f>IF(G810="PUBLICA(1)",1,IF(G810="USO INTERNO(2)",2,IF(G810="RESTRINGIDO(3)",3,0)))+IF(H810="BAJA(1)",1,IF(H810="MEDIA(2)",2,IF(H810="ALTA(3)",3,0)))+IF(I810="BAJA(1)",1,IF(I810="MEDIA(2)",2,IF(I810="ALTA(3)",3,0)))</f>
        <v/>
      </c>
      <c r="K810">
        <f>IF(J810="", "", IF(J810&gt;=8,"ALTA",IF(J810&gt;=6,"MEDIA","BAJA")))</f>
        <v/>
      </c>
      <c r="L810">
        <f>IF(INVENTARIO!Y810="","",INVENTARIO!Y810)</f>
        <v/>
      </c>
      <c r="M810">
        <f>IF(INVENTARIO!Z810="","",INVENTARIO!Z810)</f>
        <v/>
      </c>
      <c r="N810">
        <f>IF(INVENTARIO!AA810="","",INVENTARIO!AA810)</f>
        <v/>
      </c>
      <c r="O810">
        <f>IF(INVENTARIO!AB810="","",INVENTARIO!AB810)</f>
        <v/>
      </c>
      <c r="P810">
        <f>IF(INVENTARIO!AC810="","",INVENTARIO!AC810)</f>
        <v/>
      </c>
      <c r="Q810">
        <f>IF(AND(K810="",N810="",L810=""),"",IF(AND((K810="ALTA"),OR(LEFT(N810,2)="L0",LEFT(N810,2)="L1",L810="No Iniciado")),"CRÍTICO - Incumplimiento Normativo SEPS",IF(AND(OR(LEFT(N810,2)="L4",LEFT(N810,2)="L5"),AND(P810&lt;&gt;"",P810&lt;&gt;"N/A")),"CONFORME - Control Efectivo ISO 27001","OBSERVACIÓN - Revisar Controles")))</f>
        <v/>
      </c>
    </row>
    <row r="811">
      <c r="A811">
        <f>IF(INVENTARIO!A811="","",INVENTARIO!A811)</f>
        <v/>
      </c>
      <c r="B811">
        <f>IF(INVENTARIO!E811="","",INVENTARIO!E811)</f>
        <v/>
      </c>
      <c r="C811">
        <f>IF(INVENTARIO!F811="","",INVENTARIO!F811)</f>
        <v/>
      </c>
      <c r="D811">
        <f>IF(INVENTARIO!H811="","",INVENTARIO!H811)</f>
        <v/>
      </c>
      <c r="E811">
        <f>IF(INVENTARIO!I811="","",INVENTARIO!I811)</f>
        <v/>
      </c>
      <c r="F811">
        <f>IF(INVENTARIO!N811="","",INVENTARIO!N811)</f>
        <v/>
      </c>
      <c r="G811">
        <f>IF(INVENTARIO!P811="","",INVENTARIO!P811)</f>
        <v/>
      </c>
      <c r="H811">
        <f>IF(INVENTARIO!Q811="","",INVENTARIO!Q811)</f>
        <v/>
      </c>
      <c r="I811">
        <f>IF(INVENTARIO!R811="","",INVENTARIO!R811)</f>
        <v/>
      </c>
      <c r="J811">
        <f>IF(G811="PUBLICA(1)",1,IF(G811="USO INTERNO(2)",2,IF(G811="RESTRINGIDO(3)",3,0)))+IF(H811="BAJA(1)",1,IF(H811="MEDIA(2)",2,IF(H811="ALTA(3)",3,0)))+IF(I811="BAJA(1)",1,IF(I811="MEDIA(2)",2,IF(I811="ALTA(3)",3,0)))</f>
        <v/>
      </c>
      <c r="K811">
        <f>IF(J811="", "", IF(J811&gt;=8,"ALTA",IF(J811&gt;=6,"MEDIA","BAJA")))</f>
        <v/>
      </c>
      <c r="L811">
        <f>IF(INVENTARIO!Y811="","",INVENTARIO!Y811)</f>
        <v/>
      </c>
      <c r="M811">
        <f>IF(INVENTARIO!Z811="","",INVENTARIO!Z811)</f>
        <v/>
      </c>
      <c r="N811">
        <f>IF(INVENTARIO!AA811="","",INVENTARIO!AA811)</f>
        <v/>
      </c>
      <c r="O811">
        <f>IF(INVENTARIO!AB811="","",INVENTARIO!AB811)</f>
        <v/>
      </c>
      <c r="P811">
        <f>IF(INVENTARIO!AC811="","",INVENTARIO!AC811)</f>
        <v/>
      </c>
      <c r="Q811">
        <f>IF(AND(K811="",N811="",L811=""),"",IF(AND((K811="ALTA"),OR(LEFT(N811,2)="L0",LEFT(N811,2)="L1",L811="No Iniciado")),"CRÍTICO - Incumplimiento Normativo SEPS",IF(AND(OR(LEFT(N811,2)="L4",LEFT(N811,2)="L5"),AND(P811&lt;&gt;"",P811&lt;&gt;"N/A")),"CONFORME - Control Efectivo ISO 27001","OBSERVACIÓN - Revisar Controles")))</f>
        <v/>
      </c>
    </row>
    <row r="812">
      <c r="A812">
        <f>IF(INVENTARIO!A812="","",INVENTARIO!A812)</f>
        <v/>
      </c>
      <c r="B812">
        <f>IF(INVENTARIO!E812="","",INVENTARIO!E812)</f>
        <v/>
      </c>
      <c r="C812">
        <f>IF(INVENTARIO!F812="","",INVENTARIO!F812)</f>
        <v/>
      </c>
      <c r="D812">
        <f>IF(INVENTARIO!H812="","",INVENTARIO!H812)</f>
        <v/>
      </c>
      <c r="E812">
        <f>IF(INVENTARIO!I812="","",INVENTARIO!I812)</f>
        <v/>
      </c>
      <c r="F812">
        <f>IF(INVENTARIO!N812="","",INVENTARIO!N812)</f>
        <v/>
      </c>
      <c r="G812">
        <f>IF(INVENTARIO!P812="","",INVENTARIO!P812)</f>
        <v/>
      </c>
      <c r="H812">
        <f>IF(INVENTARIO!Q812="","",INVENTARIO!Q812)</f>
        <v/>
      </c>
      <c r="I812">
        <f>IF(INVENTARIO!R812="","",INVENTARIO!R812)</f>
        <v/>
      </c>
      <c r="J812">
        <f>IF(G812="PUBLICA(1)",1,IF(G812="USO INTERNO(2)",2,IF(G812="RESTRINGIDO(3)",3,0)))+IF(H812="BAJA(1)",1,IF(H812="MEDIA(2)",2,IF(H812="ALTA(3)",3,0)))+IF(I812="BAJA(1)",1,IF(I812="MEDIA(2)",2,IF(I812="ALTA(3)",3,0)))</f>
        <v/>
      </c>
      <c r="K812">
        <f>IF(J812="", "", IF(J812&gt;=8,"ALTA",IF(J812&gt;=6,"MEDIA","BAJA")))</f>
        <v/>
      </c>
      <c r="L812">
        <f>IF(INVENTARIO!Y812="","",INVENTARIO!Y812)</f>
        <v/>
      </c>
      <c r="M812">
        <f>IF(INVENTARIO!Z812="","",INVENTARIO!Z812)</f>
        <v/>
      </c>
      <c r="N812">
        <f>IF(INVENTARIO!AA812="","",INVENTARIO!AA812)</f>
        <v/>
      </c>
      <c r="O812">
        <f>IF(INVENTARIO!AB812="","",INVENTARIO!AB812)</f>
        <v/>
      </c>
      <c r="P812">
        <f>IF(INVENTARIO!AC812="","",INVENTARIO!AC812)</f>
        <v/>
      </c>
      <c r="Q812">
        <f>IF(AND(K812="",N812="",L812=""),"",IF(AND((K812="ALTA"),OR(LEFT(N812,2)="L0",LEFT(N812,2)="L1",L812="No Iniciado")),"CRÍTICO - Incumplimiento Normativo SEPS",IF(AND(OR(LEFT(N812,2)="L4",LEFT(N812,2)="L5"),AND(P812&lt;&gt;"",P812&lt;&gt;"N/A")),"CONFORME - Control Efectivo ISO 27001","OBSERVACIÓN - Revisar Controles")))</f>
        <v/>
      </c>
    </row>
    <row r="813">
      <c r="A813">
        <f>IF(INVENTARIO!A813="","",INVENTARIO!A813)</f>
        <v/>
      </c>
      <c r="B813">
        <f>IF(INVENTARIO!E813="","",INVENTARIO!E813)</f>
        <v/>
      </c>
      <c r="C813">
        <f>IF(INVENTARIO!F813="","",INVENTARIO!F813)</f>
        <v/>
      </c>
      <c r="D813">
        <f>IF(INVENTARIO!H813="","",INVENTARIO!H813)</f>
        <v/>
      </c>
      <c r="E813">
        <f>IF(INVENTARIO!I813="","",INVENTARIO!I813)</f>
        <v/>
      </c>
      <c r="F813">
        <f>IF(INVENTARIO!N813="","",INVENTARIO!N813)</f>
        <v/>
      </c>
      <c r="G813">
        <f>IF(INVENTARIO!P813="","",INVENTARIO!P813)</f>
        <v/>
      </c>
      <c r="H813">
        <f>IF(INVENTARIO!Q813="","",INVENTARIO!Q813)</f>
        <v/>
      </c>
      <c r="I813">
        <f>IF(INVENTARIO!R813="","",INVENTARIO!R813)</f>
        <v/>
      </c>
      <c r="J813">
        <f>IF(G813="PUBLICA(1)",1,IF(G813="USO INTERNO(2)",2,IF(G813="RESTRINGIDO(3)",3,0)))+IF(H813="BAJA(1)",1,IF(H813="MEDIA(2)",2,IF(H813="ALTA(3)",3,0)))+IF(I813="BAJA(1)",1,IF(I813="MEDIA(2)",2,IF(I813="ALTA(3)",3,0)))</f>
        <v/>
      </c>
      <c r="K813">
        <f>IF(J813="", "", IF(J813&gt;=8,"ALTA",IF(J813&gt;=6,"MEDIA","BAJA")))</f>
        <v/>
      </c>
      <c r="L813">
        <f>IF(INVENTARIO!Y813="","",INVENTARIO!Y813)</f>
        <v/>
      </c>
      <c r="M813">
        <f>IF(INVENTARIO!Z813="","",INVENTARIO!Z813)</f>
        <v/>
      </c>
      <c r="N813">
        <f>IF(INVENTARIO!AA813="","",INVENTARIO!AA813)</f>
        <v/>
      </c>
      <c r="O813">
        <f>IF(INVENTARIO!AB813="","",INVENTARIO!AB813)</f>
        <v/>
      </c>
      <c r="P813">
        <f>IF(INVENTARIO!AC813="","",INVENTARIO!AC813)</f>
        <v/>
      </c>
      <c r="Q813">
        <f>IF(AND(K813="",N813="",L813=""),"",IF(AND((K813="ALTA"),OR(LEFT(N813,2)="L0",LEFT(N813,2)="L1",L813="No Iniciado")),"CRÍTICO - Incumplimiento Normativo SEPS",IF(AND(OR(LEFT(N813,2)="L4",LEFT(N813,2)="L5"),AND(P813&lt;&gt;"",P813&lt;&gt;"N/A")),"CONFORME - Control Efectivo ISO 27001","OBSERVACIÓN - Revisar Controles")))</f>
        <v/>
      </c>
    </row>
    <row r="814">
      <c r="A814">
        <f>IF(INVENTARIO!A814="","",INVENTARIO!A814)</f>
        <v/>
      </c>
      <c r="B814">
        <f>IF(INVENTARIO!E814="","",INVENTARIO!E814)</f>
        <v/>
      </c>
      <c r="C814">
        <f>IF(INVENTARIO!F814="","",INVENTARIO!F814)</f>
        <v/>
      </c>
      <c r="D814">
        <f>IF(INVENTARIO!H814="","",INVENTARIO!H814)</f>
        <v/>
      </c>
      <c r="E814">
        <f>IF(INVENTARIO!I814="","",INVENTARIO!I814)</f>
        <v/>
      </c>
      <c r="F814">
        <f>IF(INVENTARIO!N814="","",INVENTARIO!N814)</f>
        <v/>
      </c>
      <c r="G814">
        <f>IF(INVENTARIO!P814="","",INVENTARIO!P814)</f>
        <v/>
      </c>
      <c r="H814">
        <f>IF(INVENTARIO!Q814="","",INVENTARIO!Q814)</f>
        <v/>
      </c>
      <c r="I814">
        <f>IF(INVENTARIO!R814="","",INVENTARIO!R814)</f>
        <v/>
      </c>
      <c r="J814">
        <f>IF(G814="PUBLICA(1)",1,IF(G814="USO INTERNO(2)",2,IF(G814="RESTRINGIDO(3)",3,0)))+IF(H814="BAJA(1)",1,IF(H814="MEDIA(2)",2,IF(H814="ALTA(3)",3,0)))+IF(I814="BAJA(1)",1,IF(I814="MEDIA(2)",2,IF(I814="ALTA(3)",3,0)))</f>
        <v/>
      </c>
      <c r="K814">
        <f>IF(J814="", "", IF(J814&gt;=8,"ALTA",IF(J814&gt;=6,"MEDIA","BAJA")))</f>
        <v/>
      </c>
      <c r="L814">
        <f>IF(INVENTARIO!Y814="","",INVENTARIO!Y814)</f>
        <v/>
      </c>
      <c r="M814">
        <f>IF(INVENTARIO!Z814="","",INVENTARIO!Z814)</f>
        <v/>
      </c>
      <c r="N814">
        <f>IF(INVENTARIO!AA814="","",INVENTARIO!AA814)</f>
        <v/>
      </c>
      <c r="O814">
        <f>IF(INVENTARIO!AB814="","",INVENTARIO!AB814)</f>
        <v/>
      </c>
      <c r="P814">
        <f>IF(INVENTARIO!AC814="","",INVENTARIO!AC814)</f>
        <v/>
      </c>
      <c r="Q814">
        <f>IF(AND(K814="",N814="",L814=""),"",IF(AND((K814="ALTA"),OR(LEFT(N814,2)="L0",LEFT(N814,2)="L1",L814="No Iniciado")),"CRÍTICO - Incumplimiento Normativo SEPS",IF(AND(OR(LEFT(N814,2)="L4",LEFT(N814,2)="L5"),AND(P814&lt;&gt;"",P814&lt;&gt;"N/A")),"CONFORME - Control Efectivo ISO 27001","OBSERVACIÓN - Revisar Controles")))</f>
        <v/>
      </c>
    </row>
    <row r="815">
      <c r="A815">
        <f>IF(INVENTARIO!A815="","",INVENTARIO!A815)</f>
        <v/>
      </c>
      <c r="B815">
        <f>IF(INVENTARIO!E815="","",INVENTARIO!E815)</f>
        <v/>
      </c>
      <c r="C815">
        <f>IF(INVENTARIO!F815="","",INVENTARIO!F815)</f>
        <v/>
      </c>
      <c r="D815">
        <f>IF(INVENTARIO!H815="","",INVENTARIO!H815)</f>
        <v/>
      </c>
      <c r="E815">
        <f>IF(INVENTARIO!I815="","",INVENTARIO!I815)</f>
        <v/>
      </c>
      <c r="F815">
        <f>IF(INVENTARIO!N815="","",INVENTARIO!N815)</f>
        <v/>
      </c>
      <c r="G815">
        <f>IF(INVENTARIO!P815="","",INVENTARIO!P815)</f>
        <v/>
      </c>
      <c r="H815">
        <f>IF(INVENTARIO!Q815="","",INVENTARIO!Q815)</f>
        <v/>
      </c>
      <c r="I815">
        <f>IF(INVENTARIO!R815="","",INVENTARIO!R815)</f>
        <v/>
      </c>
      <c r="J815">
        <f>IF(G815="PUBLICA(1)",1,IF(G815="USO INTERNO(2)",2,IF(G815="RESTRINGIDO(3)",3,0)))+IF(H815="BAJA(1)",1,IF(H815="MEDIA(2)",2,IF(H815="ALTA(3)",3,0)))+IF(I815="BAJA(1)",1,IF(I815="MEDIA(2)",2,IF(I815="ALTA(3)",3,0)))</f>
        <v/>
      </c>
      <c r="K815">
        <f>IF(J815="", "", IF(J815&gt;=8,"ALTA",IF(J815&gt;=6,"MEDIA","BAJA")))</f>
        <v/>
      </c>
      <c r="L815">
        <f>IF(INVENTARIO!Y815="","",INVENTARIO!Y815)</f>
        <v/>
      </c>
      <c r="M815">
        <f>IF(INVENTARIO!Z815="","",INVENTARIO!Z815)</f>
        <v/>
      </c>
      <c r="N815">
        <f>IF(INVENTARIO!AA815="","",INVENTARIO!AA815)</f>
        <v/>
      </c>
      <c r="O815">
        <f>IF(INVENTARIO!AB815="","",INVENTARIO!AB815)</f>
        <v/>
      </c>
      <c r="P815">
        <f>IF(INVENTARIO!AC815="","",INVENTARIO!AC815)</f>
        <v/>
      </c>
      <c r="Q815">
        <f>IF(AND(K815="",N815="",L815=""),"",IF(AND((K815="ALTA"),OR(LEFT(N815,2)="L0",LEFT(N815,2)="L1",L815="No Iniciado")),"CRÍTICO - Incumplimiento Normativo SEPS",IF(AND(OR(LEFT(N815,2)="L4",LEFT(N815,2)="L5"),AND(P815&lt;&gt;"",P815&lt;&gt;"N/A")),"CONFORME - Control Efectivo ISO 27001","OBSERVACIÓN - Revisar Controles")))</f>
        <v/>
      </c>
    </row>
    <row r="816">
      <c r="A816">
        <f>IF(INVENTARIO!A816="","",INVENTARIO!A816)</f>
        <v/>
      </c>
      <c r="B816">
        <f>IF(INVENTARIO!E816="","",INVENTARIO!E816)</f>
        <v/>
      </c>
      <c r="C816">
        <f>IF(INVENTARIO!F816="","",INVENTARIO!F816)</f>
        <v/>
      </c>
      <c r="D816">
        <f>IF(INVENTARIO!H816="","",INVENTARIO!H816)</f>
        <v/>
      </c>
      <c r="E816">
        <f>IF(INVENTARIO!I816="","",INVENTARIO!I816)</f>
        <v/>
      </c>
      <c r="F816">
        <f>IF(INVENTARIO!N816="","",INVENTARIO!N816)</f>
        <v/>
      </c>
      <c r="G816">
        <f>IF(INVENTARIO!P816="","",INVENTARIO!P816)</f>
        <v/>
      </c>
      <c r="H816">
        <f>IF(INVENTARIO!Q816="","",INVENTARIO!Q816)</f>
        <v/>
      </c>
      <c r="I816">
        <f>IF(INVENTARIO!R816="","",INVENTARIO!R816)</f>
        <v/>
      </c>
      <c r="J816">
        <f>IF(G816="PUBLICA(1)",1,IF(G816="USO INTERNO(2)",2,IF(G816="RESTRINGIDO(3)",3,0)))+IF(H816="BAJA(1)",1,IF(H816="MEDIA(2)",2,IF(H816="ALTA(3)",3,0)))+IF(I816="BAJA(1)",1,IF(I816="MEDIA(2)",2,IF(I816="ALTA(3)",3,0)))</f>
        <v/>
      </c>
      <c r="K816">
        <f>IF(J816="", "", IF(J816&gt;=8,"ALTA",IF(J816&gt;=6,"MEDIA","BAJA")))</f>
        <v/>
      </c>
      <c r="L816">
        <f>IF(INVENTARIO!Y816="","",INVENTARIO!Y816)</f>
        <v/>
      </c>
      <c r="M816">
        <f>IF(INVENTARIO!Z816="","",INVENTARIO!Z816)</f>
        <v/>
      </c>
      <c r="N816">
        <f>IF(INVENTARIO!AA816="","",INVENTARIO!AA816)</f>
        <v/>
      </c>
      <c r="O816">
        <f>IF(INVENTARIO!AB816="","",INVENTARIO!AB816)</f>
        <v/>
      </c>
      <c r="P816">
        <f>IF(INVENTARIO!AC816="","",INVENTARIO!AC816)</f>
        <v/>
      </c>
      <c r="Q816">
        <f>IF(AND(K816="",N816="",L816=""),"",IF(AND((K816="ALTA"),OR(LEFT(N816,2)="L0",LEFT(N816,2)="L1",L816="No Iniciado")),"CRÍTICO - Incumplimiento Normativo SEPS",IF(AND(OR(LEFT(N816,2)="L4",LEFT(N816,2)="L5"),AND(P816&lt;&gt;"",P816&lt;&gt;"N/A")),"CONFORME - Control Efectivo ISO 27001","OBSERVACIÓN - Revisar Controles")))</f>
        <v/>
      </c>
    </row>
    <row r="817">
      <c r="A817">
        <f>IF(INVENTARIO!A817="","",INVENTARIO!A817)</f>
        <v/>
      </c>
      <c r="B817">
        <f>IF(INVENTARIO!E817="","",INVENTARIO!E817)</f>
        <v/>
      </c>
      <c r="C817">
        <f>IF(INVENTARIO!F817="","",INVENTARIO!F817)</f>
        <v/>
      </c>
      <c r="D817">
        <f>IF(INVENTARIO!H817="","",INVENTARIO!H817)</f>
        <v/>
      </c>
      <c r="E817">
        <f>IF(INVENTARIO!I817="","",INVENTARIO!I817)</f>
        <v/>
      </c>
      <c r="F817">
        <f>IF(INVENTARIO!N817="","",INVENTARIO!N817)</f>
        <v/>
      </c>
      <c r="G817">
        <f>IF(INVENTARIO!P817="","",INVENTARIO!P817)</f>
        <v/>
      </c>
      <c r="H817">
        <f>IF(INVENTARIO!Q817="","",INVENTARIO!Q817)</f>
        <v/>
      </c>
      <c r="I817">
        <f>IF(INVENTARIO!R817="","",INVENTARIO!R817)</f>
        <v/>
      </c>
      <c r="J817">
        <f>IF(G817="PUBLICA(1)",1,IF(G817="USO INTERNO(2)",2,IF(G817="RESTRINGIDO(3)",3,0)))+IF(H817="BAJA(1)",1,IF(H817="MEDIA(2)",2,IF(H817="ALTA(3)",3,0)))+IF(I817="BAJA(1)",1,IF(I817="MEDIA(2)",2,IF(I817="ALTA(3)",3,0)))</f>
        <v/>
      </c>
      <c r="K817">
        <f>IF(J817="", "", IF(J817&gt;=8,"ALTA",IF(J817&gt;=6,"MEDIA","BAJA")))</f>
        <v/>
      </c>
      <c r="L817">
        <f>IF(INVENTARIO!Y817="","",INVENTARIO!Y817)</f>
        <v/>
      </c>
      <c r="M817">
        <f>IF(INVENTARIO!Z817="","",INVENTARIO!Z817)</f>
        <v/>
      </c>
      <c r="N817">
        <f>IF(INVENTARIO!AA817="","",INVENTARIO!AA817)</f>
        <v/>
      </c>
      <c r="O817">
        <f>IF(INVENTARIO!AB817="","",INVENTARIO!AB817)</f>
        <v/>
      </c>
      <c r="P817">
        <f>IF(INVENTARIO!AC817="","",INVENTARIO!AC817)</f>
        <v/>
      </c>
      <c r="Q817">
        <f>IF(AND(K817="",N817="",L817=""),"",IF(AND((K817="ALTA"),OR(LEFT(N817,2)="L0",LEFT(N817,2)="L1",L817="No Iniciado")),"CRÍTICO - Incumplimiento Normativo SEPS",IF(AND(OR(LEFT(N817,2)="L4",LEFT(N817,2)="L5"),AND(P817&lt;&gt;"",P817&lt;&gt;"N/A")),"CONFORME - Control Efectivo ISO 27001","OBSERVACIÓN - Revisar Controles")))</f>
        <v/>
      </c>
    </row>
    <row r="818">
      <c r="A818">
        <f>IF(INVENTARIO!A818="","",INVENTARIO!A818)</f>
        <v/>
      </c>
      <c r="B818">
        <f>IF(INVENTARIO!E818="","",INVENTARIO!E818)</f>
        <v/>
      </c>
      <c r="C818">
        <f>IF(INVENTARIO!F818="","",INVENTARIO!F818)</f>
        <v/>
      </c>
      <c r="D818">
        <f>IF(INVENTARIO!H818="","",INVENTARIO!H818)</f>
        <v/>
      </c>
      <c r="E818">
        <f>IF(INVENTARIO!I818="","",INVENTARIO!I818)</f>
        <v/>
      </c>
      <c r="F818">
        <f>IF(INVENTARIO!N818="","",INVENTARIO!N818)</f>
        <v/>
      </c>
      <c r="G818">
        <f>IF(INVENTARIO!P818="","",INVENTARIO!P818)</f>
        <v/>
      </c>
      <c r="H818">
        <f>IF(INVENTARIO!Q818="","",INVENTARIO!Q818)</f>
        <v/>
      </c>
      <c r="I818">
        <f>IF(INVENTARIO!R818="","",INVENTARIO!R818)</f>
        <v/>
      </c>
      <c r="J818">
        <f>IF(G818="PUBLICA(1)",1,IF(G818="USO INTERNO(2)",2,IF(G818="RESTRINGIDO(3)",3,0)))+IF(H818="BAJA(1)",1,IF(H818="MEDIA(2)",2,IF(H818="ALTA(3)",3,0)))+IF(I818="BAJA(1)",1,IF(I818="MEDIA(2)",2,IF(I818="ALTA(3)",3,0)))</f>
        <v/>
      </c>
      <c r="K818">
        <f>IF(J818="", "", IF(J818&gt;=8,"ALTA",IF(J818&gt;=6,"MEDIA","BAJA")))</f>
        <v/>
      </c>
      <c r="L818">
        <f>IF(INVENTARIO!Y818="","",INVENTARIO!Y818)</f>
        <v/>
      </c>
      <c r="M818">
        <f>IF(INVENTARIO!Z818="","",INVENTARIO!Z818)</f>
        <v/>
      </c>
      <c r="N818">
        <f>IF(INVENTARIO!AA818="","",INVENTARIO!AA818)</f>
        <v/>
      </c>
      <c r="O818">
        <f>IF(INVENTARIO!AB818="","",INVENTARIO!AB818)</f>
        <v/>
      </c>
      <c r="P818">
        <f>IF(INVENTARIO!AC818="","",INVENTARIO!AC818)</f>
        <v/>
      </c>
      <c r="Q818">
        <f>IF(AND(K818="",N818="",L818=""),"",IF(AND((K818="ALTA"),OR(LEFT(N818,2)="L0",LEFT(N818,2)="L1",L818="No Iniciado")),"CRÍTICO - Incumplimiento Normativo SEPS",IF(AND(OR(LEFT(N818,2)="L4",LEFT(N818,2)="L5"),AND(P818&lt;&gt;"",P818&lt;&gt;"N/A")),"CONFORME - Control Efectivo ISO 27001","OBSERVACIÓN - Revisar Controles")))</f>
        <v/>
      </c>
    </row>
    <row r="819">
      <c r="A819">
        <f>IF(INVENTARIO!A819="","",INVENTARIO!A819)</f>
        <v/>
      </c>
      <c r="B819">
        <f>IF(INVENTARIO!E819="","",INVENTARIO!E819)</f>
        <v/>
      </c>
      <c r="C819">
        <f>IF(INVENTARIO!F819="","",INVENTARIO!F819)</f>
        <v/>
      </c>
      <c r="D819">
        <f>IF(INVENTARIO!H819="","",INVENTARIO!H819)</f>
        <v/>
      </c>
      <c r="E819">
        <f>IF(INVENTARIO!I819="","",INVENTARIO!I819)</f>
        <v/>
      </c>
      <c r="F819">
        <f>IF(INVENTARIO!N819="","",INVENTARIO!N819)</f>
        <v/>
      </c>
      <c r="G819">
        <f>IF(INVENTARIO!P819="","",INVENTARIO!P819)</f>
        <v/>
      </c>
      <c r="H819">
        <f>IF(INVENTARIO!Q819="","",INVENTARIO!Q819)</f>
        <v/>
      </c>
      <c r="I819">
        <f>IF(INVENTARIO!R819="","",INVENTARIO!R819)</f>
        <v/>
      </c>
      <c r="J819">
        <f>IF(G819="PUBLICA(1)",1,IF(G819="USO INTERNO(2)",2,IF(G819="RESTRINGIDO(3)",3,0)))+IF(H819="BAJA(1)",1,IF(H819="MEDIA(2)",2,IF(H819="ALTA(3)",3,0)))+IF(I819="BAJA(1)",1,IF(I819="MEDIA(2)",2,IF(I819="ALTA(3)",3,0)))</f>
        <v/>
      </c>
      <c r="K819">
        <f>IF(J819="", "", IF(J819&gt;=8,"ALTA",IF(J819&gt;=6,"MEDIA","BAJA")))</f>
        <v/>
      </c>
      <c r="L819">
        <f>IF(INVENTARIO!Y819="","",INVENTARIO!Y819)</f>
        <v/>
      </c>
      <c r="M819">
        <f>IF(INVENTARIO!Z819="","",INVENTARIO!Z819)</f>
        <v/>
      </c>
      <c r="N819">
        <f>IF(INVENTARIO!AA819="","",INVENTARIO!AA819)</f>
        <v/>
      </c>
      <c r="O819">
        <f>IF(INVENTARIO!AB819="","",INVENTARIO!AB819)</f>
        <v/>
      </c>
      <c r="P819">
        <f>IF(INVENTARIO!AC819="","",INVENTARIO!AC819)</f>
        <v/>
      </c>
      <c r="Q819">
        <f>IF(AND(K819="",N819="",L819=""),"",IF(AND((K819="ALTA"),OR(LEFT(N819,2)="L0",LEFT(N819,2)="L1",L819="No Iniciado")),"CRÍTICO - Incumplimiento Normativo SEPS",IF(AND(OR(LEFT(N819,2)="L4",LEFT(N819,2)="L5"),AND(P819&lt;&gt;"",P819&lt;&gt;"N/A")),"CONFORME - Control Efectivo ISO 27001","OBSERVACIÓN - Revisar Controles")))</f>
        <v/>
      </c>
    </row>
    <row r="820">
      <c r="A820">
        <f>IF(INVENTARIO!A820="","",INVENTARIO!A820)</f>
        <v/>
      </c>
      <c r="B820">
        <f>IF(INVENTARIO!E820="","",INVENTARIO!E820)</f>
        <v/>
      </c>
      <c r="C820">
        <f>IF(INVENTARIO!F820="","",INVENTARIO!F820)</f>
        <v/>
      </c>
      <c r="D820">
        <f>IF(INVENTARIO!H820="","",INVENTARIO!H820)</f>
        <v/>
      </c>
      <c r="E820">
        <f>IF(INVENTARIO!I820="","",INVENTARIO!I820)</f>
        <v/>
      </c>
      <c r="F820">
        <f>IF(INVENTARIO!N820="","",INVENTARIO!N820)</f>
        <v/>
      </c>
      <c r="G820">
        <f>IF(INVENTARIO!P820="","",INVENTARIO!P820)</f>
        <v/>
      </c>
      <c r="H820">
        <f>IF(INVENTARIO!Q820="","",INVENTARIO!Q820)</f>
        <v/>
      </c>
      <c r="I820">
        <f>IF(INVENTARIO!R820="","",INVENTARIO!R820)</f>
        <v/>
      </c>
      <c r="J820">
        <f>IF(G820="PUBLICA(1)",1,IF(G820="USO INTERNO(2)",2,IF(G820="RESTRINGIDO(3)",3,0)))+IF(H820="BAJA(1)",1,IF(H820="MEDIA(2)",2,IF(H820="ALTA(3)",3,0)))+IF(I820="BAJA(1)",1,IF(I820="MEDIA(2)",2,IF(I820="ALTA(3)",3,0)))</f>
        <v/>
      </c>
      <c r="K820">
        <f>IF(J820="", "", IF(J820&gt;=8,"ALTA",IF(J820&gt;=6,"MEDIA","BAJA")))</f>
        <v/>
      </c>
      <c r="L820">
        <f>IF(INVENTARIO!Y820="","",INVENTARIO!Y820)</f>
        <v/>
      </c>
      <c r="M820">
        <f>IF(INVENTARIO!Z820="","",INVENTARIO!Z820)</f>
        <v/>
      </c>
      <c r="N820">
        <f>IF(INVENTARIO!AA820="","",INVENTARIO!AA820)</f>
        <v/>
      </c>
      <c r="O820">
        <f>IF(INVENTARIO!AB820="","",INVENTARIO!AB820)</f>
        <v/>
      </c>
      <c r="P820">
        <f>IF(INVENTARIO!AC820="","",INVENTARIO!AC820)</f>
        <v/>
      </c>
      <c r="Q820">
        <f>IF(AND(K820="",N820="",L820=""),"",IF(AND((K820="ALTA"),OR(LEFT(N820,2)="L0",LEFT(N820,2)="L1",L820="No Iniciado")),"CRÍTICO - Incumplimiento Normativo SEPS",IF(AND(OR(LEFT(N820,2)="L4",LEFT(N820,2)="L5"),AND(P820&lt;&gt;"",P820&lt;&gt;"N/A")),"CONFORME - Control Efectivo ISO 27001","OBSERVACIÓN - Revisar Controles")))</f>
        <v/>
      </c>
    </row>
    <row r="821">
      <c r="A821">
        <f>IF(INVENTARIO!A821="","",INVENTARIO!A821)</f>
        <v/>
      </c>
      <c r="B821">
        <f>IF(INVENTARIO!E821="","",INVENTARIO!E821)</f>
        <v/>
      </c>
      <c r="C821">
        <f>IF(INVENTARIO!F821="","",INVENTARIO!F821)</f>
        <v/>
      </c>
      <c r="D821">
        <f>IF(INVENTARIO!H821="","",INVENTARIO!H821)</f>
        <v/>
      </c>
      <c r="E821">
        <f>IF(INVENTARIO!I821="","",INVENTARIO!I821)</f>
        <v/>
      </c>
      <c r="F821">
        <f>IF(INVENTARIO!N821="","",INVENTARIO!N821)</f>
        <v/>
      </c>
      <c r="G821">
        <f>IF(INVENTARIO!P821="","",INVENTARIO!P821)</f>
        <v/>
      </c>
      <c r="H821">
        <f>IF(INVENTARIO!Q821="","",INVENTARIO!Q821)</f>
        <v/>
      </c>
      <c r="I821">
        <f>IF(INVENTARIO!R821="","",INVENTARIO!R821)</f>
        <v/>
      </c>
      <c r="J821">
        <f>IF(G821="PUBLICA(1)",1,IF(G821="USO INTERNO(2)",2,IF(G821="RESTRINGIDO(3)",3,0)))+IF(H821="BAJA(1)",1,IF(H821="MEDIA(2)",2,IF(H821="ALTA(3)",3,0)))+IF(I821="BAJA(1)",1,IF(I821="MEDIA(2)",2,IF(I821="ALTA(3)",3,0)))</f>
        <v/>
      </c>
      <c r="K821">
        <f>IF(J821="", "", IF(J821&gt;=8,"ALTA",IF(J821&gt;=6,"MEDIA","BAJA")))</f>
        <v/>
      </c>
      <c r="L821">
        <f>IF(INVENTARIO!Y821="","",INVENTARIO!Y821)</f>
        <v/>
      </c>
      <c r="M821">
        <f>IF(INVENTARIO!Z821="","",INVENTARIO!Z821)</f>
        <v/>
      </c>
      <c r="N821">
        <f>IF(INVENTARIO!AA821="","",INVENTARIO!AA821)</f>
        <v/>
      </c>
      <c r="O821">
        <f>IF(INVENTARIO!AB821="","",INVENTARIO!AB821)</f>
        <v/>
      </c>
      <c r="P821">
        <f>IF(INVENTARIO!AC821="","",INVENTARIO!AC821)</f>
        <v/>
      </c>
      <c r="Q821">
        <f>IF(AND(K821="",N821="",L821=""),"",IF(AND((K821="ALTA"),OR(LEFT(N821,2)="L0",LEFT(N821,2)="L1",L821="No Iniciado")),"CRÍTICO - Incumplimiento Normativo SEPS",IF(AND(OR(LEFT(N821,2)="L4",LEFT(N821,2)="L5"),AND(P821&lt;&gt;"",P821&lt;&gt;"N/A")),"CONFORME - Control Efectivo ISO 27001","OBSERVACIÓN - Revisar Controles")))</f>
        <v/>
      </c>
    </row>
    <row r="822">
      <c r="A822">
        <f>IF(INVENTARIO!A822="","",INVENTARIO!A822)</f>
        <v/>
      </c>
      <c r="B822">
        <f>IF(INVENTARIO!E822="","",INVENTARIO!E822)</f>
        <v/>
      </c>
      <c r="C822">
        <f>IF(INVENTARIO!F822="","",INVENTARIO!F822)</f>
        <v/>
      </c>
      <c r="D822">
        <f>IF(INVENTARIO!H822="","",INVENTARIO!H822)</f>
        <v/>
      </c>
      <c r="E822">
        <f>IF(INVENTARIO!I822="","",INVENTARIO!I822)</f>
        <v/>
      </c>
      <c r="F822">
        <f>IF(INVENTARIO!N822="","",INVENTARIO!N822)</f>
        <v/>
      </c>
      <c r="G822">
        <f>IF(INVENTARIO!P822="","",INVENTARIO!P822)</f>
        <v/>
      </c>
      <c r="H822">
        <f>IF(INVENTARIO!Q822="","",INVENTARIO!Q822)</f>
        <v/>
      </c>
      <c r="I822">
        <f>IF(INVENTARIO!R822="","",INVENTARIO!R822)</f>
        <v/>
      </c>
      <c r="J822">
        <f>IF(G822="PUBLICA(1)",1,IF(G822="USO INTERNO(2)",2,IF(G822="RESTRINGIDO(3)",3,0)))+IF(H822="BAJA(1)",1,IF(H822="MEDIA(2)",2,IF(H822="ALTA(3)",3,0)))+IF(I822="BAJA(1)",1,IF(I822="MEDIA(2)",2,IF(I822="ALTA(3)",3,0)))</f>
        <v/>
      </c>
      <c r="K822">
        <f>IF(J822="", "", IF(J822&gt;=8,"ALTA",IF(J822&gt;=6,"MEDIA","BAJA")))</f>
        <v/>
      </c>
      <c r="L822">
        <f>IF(INVENTARIO!Y822="","",INVENTARIO!Y822)</f>
        <v/>
      </c>
      <c r="M822">
        <f>IF(INVENTARIO!Z822="","",INVENTARIO!Z822)</f>
        <v/>
      </c>
      <c r="N822">
        <f>IF(INVENTARIO!AA822="","",INVENTARIO!AA822)</f>
        <v/>
      </c>
      <c r="O822">
        <f>IF(INVENTARIO!AB822="","",INVENTARIO!AB822)</f>
        <v/>
      </c>
      <c r="P822">
        <f>IF(INVENTARIO!AC822="","",INVENTARIO!AC822)</f>
        <v/>
      </c>
      <c r="Q822">
        <f>IF(AND(K822="",N822="",L822=""),"",IF(AND((K822="ALTA"),OR(LEFT(N822,2)="L0",LEFT(N822,2)="L1",L822="No Iniciado")),"CRÍTICO - Incumplimiento Normativo SEPS",IF(AND(OR(LEFT(N822,2)="L4",LEFT(N822,2)="L5"),AND(P822&lt;&gt;"",P822&lt;&gt;"N/A")),"CONFORME - Control Efectivo ISO 27001","OBSERVACIÓN - Revisar Controles")))</f>
        <v/>
      </c>
    </row>
    <row r="823">
      <c r="A823">
        <f>IF(INVENTARIO!A823="","",INVENTARIO!A823)</f>
        <v/>
      </c>
      <c r="B823">
        <f>IF(INVENTARIO!E823="","",INVENTARIO!E823)</f>
        <v/>
      </c>
      <c r="C823">
        <f>IF(INVENTARIO!F823="","",INVENTARIO!F823)</f>
        <v/>
      </c>
      <c r="D823">
        <f>IF(INVENTARIO!H823="","",INVENTARIO!H823)</f>
        <v/>
      </c>
      <c r="E823">
        <f>IF(INVENTARIO!I823="","",INVENTARIO!I823)</f>
        <v/>
      </c>
      <c r="F823">
        <f>IF(INVENTARIO!N823="","",INVENTARIO!N823)</f>
        <v/>
      </c>
      <c r="G823">
        <f>IF(INVENTARIO!P823="","",INVENTARIO!P823)</f>
        <v/>
      </c>
      <c r="H823">
        <f>IF(INVENTARIO!Q823="","",INVENTARIO!Q823)</f>
        <v/>
      </c>
      <c r="I823">
        <f>IF(INVENTARIO!R823="","",INVENTARIO!R823)</f>
        <v/>
      </c>
      <c r="J823">
        <f>IF(G823="PUBLICA(1)",1,IF(G823="USO INTERNO(2)",2,IF(G823="RESTRINGIDO(3)",3,0)))+IF(H823="BAJA(1)",1,IF(H823="MEDIA(2)",2,IF(H823="ALTA(3)",3,0)))+IF(I823="BAJA(1)",1,IF(I823="MEDIA(2)",2,IF(I823="ALTA(3)",3,0)))</f>
        <v/>
      </c>
      <c r="K823">
        <f>IF(J823="", "", IF(J823&gt;=8,"ALTA",IF(J823&gt;=6,"MEDIA","BAJA")))</f>
        <v/>
      </c>
      <c r="L823">
        <f>IF(INVENTARIO!Y823="","",INVENTARIO!Y823)</f>
        <v/>
      </c>
      <c r="M823">
        <f>IF(INVENTARIO!Z823="","",INVENTARIO!Z823)</f>
        <v/>
      </c>
      <c r="N823">
        <f>IF(INVENTARIO!AA823="","",INVENTARIO!AA823)</f>
        <v/>
      </c>
      <c r="O823">
        <f>IF(INVENTARIO!AB823="","",INVENTARIO!AB823)</f>
        <v/>
      </c>
      <c r="P823">
        <f>IF(INVENTARIO!AC823="","",INVENTARIO!AC823)</f>
        <v/>
      </c>
      <c r="Q823">
        <f>IF(AND(K823="",N823="",L823=""),"",IF(AND((K823="ALTA"),OR(LEFT(N823,2)="L0",LEFT(N823,2)="L1",L823="No Iniciado")),"CRÍTICO - Incumplimiento Normativo SEPS",IF(AND(OR(LEFT(N823,2)="L4",LEFT(N823,2)="L5"),AND(P823&lt;&gt;"",P823&lt;&gt;"N/A")),"CONFORME - Control Efectivo ISO 27001","OBSERVACIÓN - Revisar Controles")))</f>
        <v/>
      </c>
    </row>
    <row r="824">
      <c r="A824">
        <f>IF(INVENTARIO!A824="","",INVENTARIO!A824)</f>
        <v/>
      </c>
      <c r="B824">
        <f>IF(INVENTARIO!E824="","",INVENTARIO!E824)</f>
        <v/>
      </c>
      <c r="C824">
        <f>IF(INVENTARIO!F824="","",INVENTARIO!F824)</f>
        <v/>
      </c>
      <c r="D824">
        <f>IF(INVENTARIO!H824="","",INVENTARIO!H824)</f>
        <v/>
      </c>
      <c r="E824">
        <f>IF(INVENTARIO!I824="","",INVENTARIO!I824)</f>
        <v/>
      </c>
      <c r="F824">
        <f>IF(INVENTARIO!N824="","",INVENTARIO!N824)</f>
        <v/>
      </c>
      <c r="G824">
        <f>IF(INVENTARIO!P824="","",INVENTARIO!P824)</f>
        <v/>
      </c>
      <c r="H824">
        <f>IF(INVENTARIO!Q824="","",INVENTARIO!Q824)</f>
        <v/>
      </c>
      <c r="I824">
        <f>IF(INVENTARIO!R824="","",INVENTARIO!R824)</f>
        <v/>
      </c>
      <c r="J824">
        <f>IF(G824="PUBLICA(1)",1,IF(G824="USO INTERNO(2)",2,IF(G824="RESTRINGIDO(3)",3,0)))+IF(H824="BAJA(1)",1,IF(H824="MEDIA(2)",2,IF(H824="ALTA(3)",3,0)))+IF(I824="BAJA(1)",1,IF(I824="MEDIA(2)",2,IF(I824="ALTA(3)",3,0)))</f>
        <v/>
      </c>
      <c r="K824">
        <f>IF(J824="", "", IF(J824&gt;=8,"ALTA",IF(J824&gt;=6,"MEDIA","BAJA")))</f>
        <v/>
      </c>
      <c r="L824">
        <f>IF(INVENTARIO!Y824="","",INVENTARIO!Y824)</f>
        <v/>
      </c>
      <c r="M824">
        <f>IF(INVENTARIO!Z824="","",INVENTARIO!Z824)</f>
        <v/>
      </c>
      <c r="N824">
        <f>IF(INVENTARIO!AA824="","",INVENTARIO!AA824)</f>
        <v/>
      </c>
      <c r="O824">
        <f>IF(INVENTARIO!AB824="","",INVENTARIO!AB824)</f>
        <v/>
      </c>
      <c r="P824">
        <f>IF(INVENTARIO!AC824="","",INVENTARIO!AC824)</f>
        <v/>
      </c>
      <c r="Q824">
        <f>IF(AND(K824="",N824="",L824=""),"",IF(AND((K824="ALTA"),OR(LEFT(N824,2)="L0",LEFT(N824,2)="L1",L824="No Iniciado")),"CRÍTICO - Incumplimiento Normativo SEPS",IF(AND(OR(LEFT(N824,2)="L4",LEFT(N824,2)="L5"),AND(P824&lt;&gt;"",P824&lt;&gt;"N/A")),"CONFORME - Control Efectivo ISO 27001","OBSERVACIÓN - Revisar Controles")))</f>
        <v/>
      </c>
    </row>
    <row r="825">
      <c r="A825">
        <f>IF(INVENTARIO!A825="","",INVENTARIO!A825)</f>
        <v/>
      </c>
      <c r="B825">
        <f>IF(INVENTARIO!E825="","",INVENTARIO!E825)</f>
        <v/>
      </c>
      <c r="C825">
        <f>IF(INVENTARIO!F825="","",INVENTARIO!F825)</f>
        <v/>
      </c>
      <c r="D825">
        <f>IF(INVENTARIO!H825="","",INVENTARIO!H825)</f>
        <v/>
      </c>
      <c r="E825">
        <f>IF(INVENTARIO!I825="","",INVENTARIO!I825)</f>
        <v/>
      </c>
      <c r="F825">
        <f>IF(INVENTARIO!N825="","",INVENTARIO!N825)</f>
        <v/>
      </c>
      <c r="G825">
        <f>IF(INVENTARIO!P825="","",INVENTARIO!P825)</f>
        <v/>
      </c>
      <c r="H825">
        <f>IF(INVENTARIO!Q825="","",INVENTARIO!Q825)</f>
        <v/>
      </c>
      <c r="I825">
        <f>IF(INVENTARIO!R825="","",INVENTARIO!R825)</f>
        <v/>
      </c>
      <c r="J825">
        <f>IF(G825="PUBLICA(1)",1,IF(G825="USO INTERNO(2)",2,IF(G825="RESTRINGIDO(3)",3,0)))+IF(H825="BAJA(1)",1,IF(H825="MEDIA(2)",2,IF(H825="ALTA(3)",3,0)))+IF(I825="BAJA(1)",1,IF(I825="MEDIA(2)",2,IF(I825="ALTA(3)",3,0)))</f>
        <v/>
      </c>
      <c r="K825">
        <f>IF(J825="", "", IF(J825&gt;=8,"ALTA",IF(J825&gt;=6,"MEDIA","BAJA")))</f>
        <v/>
      </c>
      <c r="L825">
        <f>IF(INVENTARIO!Y825="","",INVENTARIO!Y825)</f>
        <v/>
      </c>
      <c r="M825">
        <f>IF(INVENTARIO!Z825="","",INVENTARIO!Z825)</f>
        <v/>
      </c>
      <c r="N825">
        <f>IF(INVENTARIO!AA825="","",INVENTARIO!AA825)</f>
        <v/>
      </c>
      <c r="O825">
        <f>IF(INVENTARIO!AB825="","",INVENTARIO!AB825)</f>
        <v/>
      </c>
      <c r="P825">
        <f>IF(INVENTARIO!AC825="","",INVENTARIO!AC825)</f>
        <v/>
      </c>
      <c r="Q825">
        <f>IF(AND(K825="",N825="",L825=""),"",IF(AND((K825="ALTA"),OR(LEFT(N825,2)="L0",LEFT(N825,2)="L1",L825="No Iniciado")),"CRÍTICO - Incumplimiento Normativo SEPS",IF(AND(OR(LEFT(N825,2)="L4",LEFT(N825,2)="L5"),AND(P825&lt;&gt;"",P825&lt;&gt;"N/A")),"CONFORME - Control Efectivo ISO 27001","OBSERVACIÓN - Revisar Controles")))</f>
        <v/>
      </c>
    </row>
    <row r="826">
      <c r="A826">
        <f>IF(INVENTARIO!A826="","",INVENTARIO!A826)</f>
        <v/>
      </c>
      <c r="B826">
        <f>IF(INVENTARIO!E826="","",INVENTARIO!E826)</f>
        <v/>
      </c>
      <c r="C826">
        <f>IF(INVENTARIO!F826="","",INVENTARIO!F826)</f>
        <v/>
      </c>
      <c r="D826">
        <f>IF(INVENTARIO!H826="","",INVENTARIO!H826)</f>
        <v/>
      </c>
      <c r="E826">
        <f>IF(INVENTARIO!I826="","",INVENTARIO!I826)</f>
        <v/>
      </c>
      <c r="F826">
        <f>IF(INVENTARIO!N826="","",INVENTARIO!N826)</f>
        <v/>
      </c>
      <c r="G826">
        <f>IF(INVENTARIO!P826="","",INVENTARIO!P826)</f>
        <v/>
      </c>
      <c r="H826">
        <f>IF(INVENTARIO!Q826="","",INVENTARIO!Q826)</f>
        <v/>
      </c>
      <c r="I826">
        <f>IF(INVENTARIO!R826="","",INVENTARIO!R826)</f>
        <v/>
      </c>
      <c r="J826">
        <f>IF(G826="PUBLICA(1)",1,IF(G826="USO INTERNO(2)",2,IF(G826="RESTRINGIDO(3)",3,0)))+IF(H826="BAJA(1)",1,IF(H826="MEDIA(2)",2,IF(H826="ALTA(3)",3,0)))+IF(I826="BAJA(1)",1,IF(I826="MEDIA(2)",2,IF(I826="ALTA(3)",3,0)))</f>
        <v/>
      </c>
      <c r="K826">
        <f>IF(J826="", "", IF(J826&gt;=8,"ALTA",IF(J826&gt;=6,"MEDIA","BAJA")))</f>
        <v/>
      </c>
      <c r="L826">
        <f>IF(INVENTARIO!Y826="","",INVENTARIO!Y826)</f>
        <v/>
      </c>
      <c r="M826">
        <f>IF(INVENTARIO!Z826="","",INVENTARIO!Z826)</f>
        <v/>
      </c>
      <c r="N826">
        <f>IF(INVENTARIO!AA826="","",INVENTARIO!AA826)</f>
        <v/>
      </c>
      <c r="O826">
        <f>IF(INVENTARIO!AB826="","",INVENTARIO!AB826)</f>
        <v/>
      </c>
      <c r="P826">
        <f>IF(INVENTARIO!AC826="","",INVENTARIO!AC826)</f>
        <v/>
      </c>
      <c r="Q826">
        <f>IF(AND(K826="",N826="",L826=""),"",IF(AND((K826="ALTA"),OR(LEFT(N826,2)="L0",LEFT(N826,2)="L1",L826="No Iniciado")),"CRÍTICO - Incumplimiento Normativo SEPS",IF(AND(OR(LEFT(N826,2)="L4",LEFT(N826,2)="L5"),AND(P826&lt;&gt;"",P826&lt;&gt;"N/A")),"CONFORME - Control Efectivo ISO 27001","OBSERVACIÓN - Revisar Controles")))</f>
        <v/>
      </c>
    </row>
    <row r="827">
      <c r="A827">
        <f>IF(INVENTARIO!A827="","",INVENTARIO!A827)</f>
        <v/>
      </c>
      <c r="B827">
        <f>IF(INVENTARIO!E827="","",INVENTARIO!E827)</f>
        <v/>
      </c>
      <c r="C827">
        <f>IF(INVENTARIO!F827="","",INVENTARIO!F827)</f>
        <v/>
      </c>
      <c r="D827">
        <f>IF(INVENTARIO!H827="","",INVENTARIO!H827)</f>
        <v/>
      </c>
      <c r="E827">
        <f>IF(INVENTARIO!I827="","",INVENTARIO!I827)</f>
        <v/>
      </c>
      <c r="F827">
        <f>IF(INVENTARIO!N827="","",INVENTARIO!N827)</f>
        <v/>
      </c>
      <c r="G827">
        <f>IF(INVENTARIO!P827="","",INVENTARIO!P827)</f>
        <v/>
      </c>
      <c r="H827">
        <f>IF(INVENTARIO!Q827="","",INVENTARIO!Q827)</f>
        <v/>
      </c>
      <c r="I827">
        <f>IF(INVENTARIO!R827="","",INVENTARIO!R827)</f>
        <v/>
      </c>
      <c r="J827">
        <f>IF(G827="PUBLICA(1)",1,IF(G827="USO INTERNO(2)",2,IF(G827="RESTRINGIDO(3)",3,0)))+IF(H827="BAJA(1)",1,IF(H827="MEDIA(2)",2,IF(H827="ALTA(3)",3,0)))+IF(I827="BAJA(1)",1,IF(I827="MEDIA(2)",2,IF(I827="ALTA(3)",3,0)))</f>
        <v/>
      </c>
      <c r="K827">
        <f>IF(J827="", "", IF(J827&gt;=8,"ALTA",IF(J827&gt;=6,"MEDIA","BAJA")))</f>
        <v/>
      </c>
      <c r="L827">
        <f>IF(INVENTARIO!Y827="","",INVENTARIO!Y827)</f>
        <v/>
      </c>
      <c r="M827">
        <f>IF(INVENTARIO!Z827="","",INVENTARIO!Z827)</f>
        <v/>
      </c>
      <c r="N827">
        <f>IF(INVENTARIO!AA827="","",INVENTARIO!AA827)</f>
        <v/>
      </c>
      <c r="O827">
        <f>IF(INVENTARIO!AB827="","",INVENTARIO!AB827)</f>
        <v/>
      </c>
      <c r="P827">
        <f>IF(INVENTARIO!AC827="","",INVENTARIO!AC827)</f>
        <v/>
      </c>
      <c r="Q827">
        <f>IF(AND(K827="",N827="",L827=""),"",IF(AND((K827="ALTA"),OR(LEFT(N827,2)="L0",LEFT(N827,2)="L1",L827="No Iniciado")),"CRÍTICO - Incumplimiento Normativo SEPS",IF(AND(OR(LEFT(N827,2)="L4",LEFT(N827,2)="L5"),AND(P827&lt;&gt;"",P827&lt;&gt;"N/A")),"CONFORME - Control Efectivo ISO 27001","OBSERVACIÓN - Revisar Controles")))</f>
        <v/>
      </c>
    </row>
    <row r="828">
      <c r="A828">
        <f>IF(INVENTARIO!A828="","",INVENTARIO!A828)</f>
        <v/>
      </c>
      <c r="B828">
        <f>IF(INVENTARIO!E828="","",INVENTARIO!E828)</f>
        <v/>
      </c>
      <c r="C828">
        <f>IF(INVENTARIO!F828="","",INVENTARIO!F828)</f>
        <v/>
      </c>
      <c r="D828">
        <f>IF(INVENTARIO!H828="","",INVENTARIO!H828)</f>
        <v/>
      </c>
      <c r="E828">
        <f>IF(INVENTARIO!I828="","",INVENTARIO!I828)</f>
        <v/>
      </c>
      <c r="F828">
        <f>IF(INVENTARIO!N828="","",INVENTARIO!N828)</f>
        <v/>
      </c>
      <c r="G828">
        <f>IF(INVENTARIO!P828="","",INVENTARIO!P828)</f>
        <v/>
      </c>
      <c r="H828">
        <f>IF(INVENTARIO!Q828="","",INVENTARIO!Q828)</f>
        <v/>
      </c>
      <c r="I828">
        <f>IF(INVENTARIO!R828="","",INVENTARIO!R828)</f>
        <v/>
      </c>
      <c r="J828">
        <f>IF(G828="PUBLICA(1)",1,IF(G828="USO INTERNO(2)",2,IF(G828="RESTRINGIDO(3)",3,0)))+IF(H828="BAJA(1)",1,IF(H828="MEDIA(2)",2,IF(H828="ALTA(3)",3,0)))+IF(I828="BAJA(1)",1,IF(I828="MEDIA(2)",2,IF(I828="ALTA(3)",3,0)))</f>
        <v/>
      </c>
      <c r="K828">
        <f>IF(J828="", "", IF(J828&gt;=8,"ALTA",IF(J828&gt;=6,"MEDIA","BAJA")))</f>
        <v/>
      </c>
      <c r="L828">
        <f>IF(INVENTARIO!Y828="","",INVENTARIO!Y828)</f>
        <v/>
      </c>
      <c r="M828">
        <f>IF(INVENTARIO!Z828="","",INVENTARIO!Z828)</f>
        <v/>
      </c>
      <c r="N828">
        <f>IF(INVENTARIO!AA828="","",INVENTARIO!AA828)</f>
        <v/>
      </c>
      <c r="O828">
        <f>IF(INVENTARIO!AB828="","",INVENTARIO!AB828)</f>
        <v/>
      </c>
      <c r="P828">
        <f>IF(INVENTARIO!AC828="","",INVENTARIO!AC828)</f>
        <v/>
      </c>
      <c r="Q828">
        <f>IF(AND(K828="",N828="",L828=""),"",IF(AND((K828="ALTA"),OR(LEFT(N828,2)="L0",LEFT(N828,2)="L1",L828="No Iniciado")),"CRÍTICO - Incumplimiento Normativo SEPS",IF(AND(OR(LEFT(N828,2)="L4",LEFT(N828,2)="L5"),AND(P828&lt;&gt;"",P828&lt;&gt;"N/A")),"CONFORME - Control Efectivo ISO 27001","OBSERVACIÓN - Revisar Controles")))</f>
        <v/>
      </c>
    </row>
    <row r="829">
      <c r="A829">
        <f>IF(INVENTARIO!A829="","",INVENTARIO!A829)</f>
        <v/>
      </c>
      <c r="B829">
        <f>IF(INVENTARIO!E829="","",INVENTARIO!E829)</f>
        <v/>
      </c>
      <c r="C829">
        <f>IF(INVENTARIO!F829="","",INVENTARIO!F829)</f>
        <v/>
      </c>
      <c r="D829">
        <f>IF(INVENTARIO!H829="","",INVENTARIO!H829)</f>
        <v/>
      </c>
      <c r="E829">
        <f>IF(INVENTARIO!I829="","",INVENTARIO!I829)</f>
        <v/>
      </c>
      <c r="F829">
        <f>IF(INVENTARIO!N829="","",INVENTARIO!N829)</f>
        <v/>
      </c>
      <c r="G829">
        <f>IF(INVENTARIO!P829="","",INVENTARIO!P829)</f>
        <v/>
      </c>
      <c r="H829">
        <f>IF(INVENTARIO!Q829="","",INVENTARIO!Q829)</f>
        <v/>
      </c>
      <c r="I829">
        <f>IF(INVENTARIO!R829="","",INVENTARIO!R829)</f>
        <v/>
      </c>
      <c r="J829">
        <f>IF(G829="PUBLICA(1)",1,IF(G829="USO INTERNO(2)",2,IF(G829="RESTRINGIDO(3)",3,0)))+IF(H829="BAJA(1)",1,IF(H829="MEDIA(2)",2,IF(H829="ALTA(3)",3,0)))+IF(I829="BAJA(1)",1,IF(I829="MEDIA(2)",2,IF(I829="ALTA(3)",3,0)))</f>
        <v/>
      </c>
      <c r="K829">
        <f>IF(J829="", "", IF(J829&gt;=8,"ALTA",IF(J829&gt;=6,"MEDIA","BAJA")))</f>
        <v/>
      </c>
      <c r="L829">
        <f>IF(INVENTARIO!Y829="","",INVENTARIO!Y829)</f>
        <v/>
      </c>
      <c r="M829">
        <f>IF(INVENTARIO!Z829="","",INVENTARIO!Z829)</f>
        <v/>
      </c>
      <c r="N829">
        <f>IF(INVENTARIO!AA829="","",INVENTARIO!AA829)</f>
        <v/>
      </c>
      <c r="O829">
        <f>IF(INVENTARIO!AB829="","",INVENTARIO!AB829)</f>
        <v/>
      </c>
      <c r="P829">
        <f>IF(INVENTARIO!AC829="","",INVENTARIO!AC829)</f>
        <v/>
      </c>
      <c r="Q829">
        <f>IF(AND(K829="",N829="",L829=""),"",IF(AND((K829="ALTA"),OR(LEFT(N829,2)="L0",LEFT(N829,2)="L1",L829="No Iniciado")),"CRÍTICO - Incumplimiento Normativo SEPS",IF(AND(OR(LEFT(N829,2)="L4",LEFT(N829,2)="L5"),AND(P829&lt;&gt;"",P829&lt;&gt;"N/A")),"CONFORME - Control Efectivo ISO 27001","OBSERVACIÓN - Revisar Controles")))</f>
        <v/>
      </c>
    </row>
    <row r="830">
      <c r="A830">
        <f>IF(INVENTARIO!A830="","",INVENTARIO!A830)</f>
        <v/>
      </c>
      <c r="B830">
        <f>IF(INVENTARIO!E830="","",INVENTARIO!E830)</f>
        <v/>
      </c>
      <c r="C830">
        <f>IF(INVENTARIO!F830="","",INVENTARIO!F830)</f>
        <v/>
      </c>
      <c r="D830">
        <f>IF(INVENTARIO!H830="","",INVENTARIO!H830)</f>
        <v/>
      </c>
      <c r="E830">
        <f>IF(INVENTARIO!I830="","",INVENTARIO!I830)</f>
        <v/>
      </c>
      <c r="F830">
        <f>IF(INVENTARIO!N830="","",INVENTARIO!N830)</f>
        <v/>
      </c>
      <c r="G830">
        <f>IF(INVENTARIO!P830="","",INVENTARIO!P830)</f>
        <v/>
      </c>
      <c r="H830">
        <f>IF(INVENTARIO!Q830="","",INVENTARIO!Q830)</f>
        <v/>
      </c>
      <c r="I830">
        <f>IF(INVENTARIO!R830="","",INVENTARIO!R830)</f>
        <v/>
      </c>
      <c r="J830">
        <f>IF(G830="PUBLICA(1)",1,IF(G830="USO INTERNO(2)",2,IF(G830="RESTRINGIDO(3)",3,0)))+IF(H830="BAJA(1)",1,IF(H830="MEDIA(2)",2,IF(H830="ALTA(3)",3,0)))+IF(I830="BAJA(1)",1,IF(I830="MEDIA(2)",2,IF(I830="ALTA(3)",3,0)))</f>
        <v/>
      </c>
      <c r="K830">
        <f>IF(J830="", "", IF(J830&gt;=8,"ALTA",IF(J830&gt;=6,"MEDIA","BAJA")))</f>
        <v/>
      </c>
      <c r="L830">
        <f>IF(INVENTARIO!Y830="","",INVENTARIO!Y830)</f>
        <v/>
      </c>
      <c r="M830">
        <f>IF(INVENTARIO!Z830="","",INVENTARIO!Z830)</f>
        <v/>
      </c>
      <c r="N830">
        <f>IF(INVENTARIO!AA830="","",INVENTARIO!AA830)</f>
        <v/>
      </c>
      <c r="O830">
        <f>IF(INVENTARIO!AB830="","",INVENTARIO!AB830)</f>
        <v/>
      </c>
      <c r="P830">
        <f>IF(INVENTARIO!AC830="","",INVENTARIO!AC830)</f>
        <v/>
      </c>
      <c r="Q830">
        <f>IF(AND(K830="",N830="",L830=""),"",IF(AND((K830="ALTA"),OR(LEFT(N830,2)="L0",LEFT(N830,2)="L1",L830="No Iniciado")),"CRÍTICO - Incumplimiento Normativo SEPS",IF(AND(OR(LEFT(N830,2)="L4",LEFT(N830,2)="L5"),AND(P830&lt;&gt;"",P830&lt;&gt;"N/A")),"CONFORME - Control Efectivo ISO 27001","OBSERVACIÓN - Revisar Controles")))</f>
        <v/>
      </c>
    </row>
    <row r="831">
      <c r="A831">
        <f>IF(INVENTARIO!A831="","",INVENTARIO!A831)</f>
        <v/>
      </c>
      <c r="B831">
        <f>IF(INVENTARIO!E831="","",INVENTARIO!E831)</f>
        <v/>
      </c>
      <c r="C831">
        <f>IF(INVENTARIO!F831="","",INVENTARIO!F831)</f>
        <v/>
      </c>
      <c r="D831">
        <f>IF(INVENTARIO!H831="","",INVENTARIO!H831)</f>
        <v/>
      </c>
      <c r="E831">
        <f>IF(INVENTARIO!I831="","",INVENTARIO!I831)</f>
        <v/>
      </c>
      <c r="F831">
        <f>IF(INVENTARIO!N831="","",INVENTARIO!N831)</f>
        <v/>
      </c>
      <c r="G831">
        <f>IF(INVENTARIO!P831="","",INVENTARIO!P831)</f>
        <v/>
      </c>
      <c r="H831">
        <f>IF(INVENTARIO!Q831="","",INVENTARIO!Q831)</f>
        <v/>
      </c>
      <c r="I831">
        <f>IF(INVENTARIO!R831="","",INVENTARIO!R831)</f>
        <v/>
      </c>
      <c r="J831">
        <f>IF(G831="PUBLICA(1)",1,IF(G831="USO INTERNO(2)",2,IF(G831="RESTRINGIDO(3)",3,0)))+IF(H831="BAJA(1)",1,IF(H831="MEDIA(2)",2,IF(H831="ALTA(3)",3,0)))+IF(I831="BAJA(1)",1,IF(I831="MEDIA(2)",2,IF(I831="ALTA(3)",3,0)))</f>
        <v/>
      </c>
      <c r="K831">
        <f>IF(J831="", "", IF(J831&gt;=8,"ALTA",IF(J831&gt;=6,"MEDIA","BAJA")))</f>
        <v/>
      </c>
      <c r="L831">
        <f>IF(INVENTARIO!Y831="","",INVENTARIO!Y831)</f>
        <v/>
      </c>
      <c r="M831">
        <f>IF(INVENTARIO!Z831="","",INVENTARIO!Z831)</f>
        <v/>
      </c>
      <c r="N831">
        <f>IF(INVENTARIO!AA831="","",INVENTARIO!AA831)</f>
        <v/>
      </c>
      <c r="O831">
        <f>IF(INVENTARIO!AB831="","",INVENTARIO!AB831)</f>
        <v/>
      </c>
      <c r="P831">
        <f>IF(INVENTARIO!AC831="","",INVENTARIO!AC831)</f>
        <v/>
      </c>
      <c r="Q831">
        <f>IF(AND(K831="",N831="",L831=""),"",IF(AND((K831="ALTA"),OR(LEFT(N831,2)="L0",LEFT(N831,2)="L1",L831="No Iniciado")),"CRÍTICO - Incumplimiento Normativo SEPS",IF(AND(OR(LEFT(N831,2)="L4",LEFT(N831,2)="L5"),AND(P831&lt;&gt;"",P831&lt;&gt;"N/A")),"CONFORME - Control Efectivo ISO 27001","OBSERVACIÓN - Revisar Controles")))</f>
        <v/>
      </c>
    </row>
    <row r="832">
      <c r="A832">
        <f>IF(INVENTARIO!A832="","",INVENTARIO!A832)</f>
        <v/>
      </c>
      <c r="B832">
        <f>IF(INVENTARIO!E832="","",INVENTARIO!E832)</f>
        <v/>
      </c>
      <c r="C832">
        <f>IF(INVENTARIO!F832="","",INVENTARIO!F832)</f>
        <v/>
      </c>
      <c r="D832">
        <f>IF(INVENTARIO!H832="","",INVENTARIO!H832)</f>
        <v/>
      </c>
      <c r="E832">
        <f>IF(INVENTARIO!I832="","",INVENTARIO!I832)</f>
        <v/>
      </c>
      <c r="F832">
        <f>IF(INVENTARIO!N832="","",INVENTARIO!N832)</f>
        <v/>
      </c>
      <c r="G832">
        <f>IF(INVENTARIO!P832="","",INVENTARIO!P832)</f>
        <v/>
      </c>
      <c r="H832">
        <f>IF(INVENTARIO!Q832="","",INVENTARIO!Q832)</f>
        <v/>
      </c>
      <c r="I832">
        <f>IF(INVENTARIO!R832="","",INVENTARIO!R832)</f>
        <v/>
      </c>
      <c r="J832">
        <f>IF(G832="PUBLICA(1)",1,IF(G832="USO INTERNO(2)",2,IF(G832="RESTRINGIDO(3)",3,0)))+IF(H832="BAJA(1)",1,IF(H832="MEDIA(2)",2,IF(H832="ALTA(3)",3,0)))+IF(I832="BAJA(1)",1,IF(I832="MEDIA(2)",2,IF(I832="ALTA(3)",3,0)))</f>
        <v/>
      </c>
      <c r="K832">
        <f>IF(J832="", "", IF(J832&gt;=8,"ALTA",IF(J832&gt;=6,"MEDIA","BAJA")))</f>
        <v/>
      </c>
      <c r="L832">
        <f>IF(INVENTARIO!Y832="","",INVENTARIO!Y832)</f>
        <v/>
      </c>
      <c r="M832">
        <f>IF(INVENTARIO!Z832="","",INVENTARIO!Z832)</f>
        <v/>
      </c>
      <c r="N832">
        <f>IF(INVENTARIO!AA832="","",INVENTARIO!AA832)</f>
        <v/>
      </c>
      <c r="O832">
        <f>IF(INVENTARIO!AB832="","",INVENTARIO!AB832)</f>
        <v/>
      </c>
      <c r="P832">
        <f>IF(INVENTARIO!AC832="","",INVENTARIO!AC832)</f>
        <v/>
      </c>
      <c r="Q832">
        <f>IF(AND(K832="",N832="",L832=""),"",IF(AND((K832="ALTA"),OR(LEFT(N832,2)="L0",LEFT(N832,2)="L1",L832="No Iniciado")),"CRÍTICO - Incumplimiento Normativo SEPS",IF(AND(OR(LEFT(N832,2)="L4",LEFT(N832,2)="L5"),AND(P832&lt;&gt;"",P832&lt;&gt;"N/A")),"CONFORME - Control Efectivo ISO 27001","OBSERVACIÓN - Revisar Controles")))</f>
        <v/>
      </c>
    </row>
    <row r="833">
      <c r="A833">
        <f>IF(INVENTARIO!A833="","",INVENTARIO!A833)</f>
        <v/>
      </c>
      <c r="B833">
        <f>IF(INVENTARIO!E833="","",INVENTARIO!E833)</f>
        <v/>
      </c>
      <c r="C833">
        <f>IF(INVENTARIO!F833="","",INVENTARIO!F833)</f>
        <v/>
      </c>
      <c r="D833">
        <f>IF(INVENTARIO!H833="","",INVENTARIO!H833)</f>
        <v/>
      </c>
      <c r="E833">
        <f>IF(INVENTARIO!I833="","",INVENTARIO!I833)</f>
        <v/>
      </c>
      <c r="F833">
        <f>IF(INVENTARIO!N833="","",INVENTARIO!N833)</f>
        <v/>
      </c>
      <c r="G833">
        <f>IF(INVENTARIO!P833="","",INVENTARIO!P833)</f>
        <v/>
      </c>
      <c r="H833">
        <f>IF(INVENTARIO!Q833="","",INVENTARIO!Q833)</f>
        <v/>
      </c>
      <c r="I833">
        <f>IF(INVENTARIO!R833="","",INVENTARIO!R833)</f>
        <v/>
      </c>
      <c r="J833">
        <f>IF(G833="PUBLICA(1)",1,IF(G833="USO INTERNO(2)",2,IF(G833="RESTRINGIDO(3)",3,0)))+IF(H833="BAJA(1)",1,IF(H833="MEDIA(2)",2,IF(H833="ALTA(3)",3,0)))+IF(I833="BAJA(1)",1,IF(I833="MEDIA(2)",2,IF(I833="ALTA(3)",3,0)))</f>
        <v/>
      </c>
      <c r="K833">
        <f>IF(J833="", "", IF(J833&gt;=8,"ALTA",IF(J833&gt;=6,"MEDIA","BAJA")))</f>
        <v/>
      </c>
      <c r="L833">
        <f>IF(INVENTARIO!Y833="","",INVENTARIO!Y833)</f>
        <v/>
      </c>
      <c r="M833">
        <f>IF(INVENTARIO!Z833="","",INVENTARIO!Z833)</f>
        <v/>
      </c>
      <c r="N833">
        <f>IF(INVENTARIO!AA833="","",INVENTARIO!AA833)</f>
        <v/>
      </c>
      <c r="O833">
        <f>IF(INVENTARIO!AB833="","",INVENTARIO!AB833)</f>
        <v/>
      </c>
      <c r="P833">
        <f>IF(INVENTARIO!AC833="","",INVENTARIO!AC833)</f>
        <v/>
      </c>
      <c r="Q833">
        <f>IF(AND(K833="",N833="",L833=""),"",IF(AND((K833="ALTA"),OR(LEFT(N833,2)="L0",LEFT(N833,2)="L1",L833="No Iniciado")),"CRÍTICO - Incumplimiento Normativo SEPS",IF(AND(OR(LEFT(N833,2)="L4",LEFT(N833,2)="L5"),AND(P833&lt;&gt;"",P833&lt;&gt;"N/A")),"CONFORME - Control Efectivo ISO 27001","OBSERVACIÓN - Revisar Controles")))</f>
        <v/>
      </c>
    </row>
    <row r="834">
      <c r="A834">
        <f>IF(INVENTARIO!A834="","",INVENTARIO!A834)</f>
        <v/>
      </c>
      <c r="B834">
        <f>IF(INVENTARIO!E834="","",INVENTARIO!E834)</f>
        <v/>
      </c>
      <c r="C834">
        <f>IF(INVENTARIO!F834="","",INVENTARIO!F834)</f>
        <v/>
      </c>
      <c r="D834">
        <f>IF(INVENTARIO!H834="","",INVENTARIO!H834)</f>
        <v/>
      </c>
      <c r="E834">
        <f>IF(INVENTARIO!I834="","",INVENTARIO!I834)</f>
        <v/>
      </c>
      <c r="F834">
        <f>IF(INVENTARIO!N834="","",INVENTARIO!N834)</f>
        <v/>
      </c>
      <c r="G834">
        <f>IF(INVENTARIO!P834="","",INVENTARIO!P834)</f>
        <v/>
      </c>
      <c r="H834">
        <f>IF(INVENTARIO!Q834="","",INVENTARIO!Q834)</f>
        <v/>
      </c>
      <c r="I834">
        <f>IF(INVENTARIO!R834="","",INVENTARIO!R834)</f>
        <v/>
      </c>
      <c r="J834">
        <f>IF(G834="PUBLICA(1)",1,IF(G834="USO INTERNO(2)",2,IF(G834="RESTRINGIDO(3)",3,0)))+IF(H834="BAJA(1)",1,IF(H834="MEDIA(2)",2,IF(H834="ALTA(3)",3,0)))+IF(I834="BAJA(1)",1,IF(I834="MEDIA(2)",2,IF(I834="ALTA(3)",3,0)))</f>
        <v/>
      </c>
      <c r="K834">
        <f>IF(J834="", "", IF(J834&gt;=8,"ALTA",IF(J834&gt;=6,"MEDIA","BAJA")))</f>
        <v/>
      </c>
      <c r="L834">
        <f>IF(INVENTARIO!Y834="","",INVENTARIO!Y834)</f>
        <v/>
      </c>
      <c r="M834">
        <f>IF(INVENTARIO!Z834="","",INVENTARIO!Z834)</f>
        <v/>
      </c>
      <c r="N834">
        <f>IF(INVENTARIO!AA834="","",INVENTARIO!AA834)</f>
        <v/>
      </c>
      <c r="O834">
        <f>IF(INVENTARIO!AB834="","",INVENTARIO!AB834)</f>
        <v/>
      </c>
      <c r="P834">
        <f>IF(INVENTARIO!AC834="","",INVENTARIO!AC834)</f>
        <v/>
      </c>
      <c r="Q834">
        <f>IF(AND(K834="",N834="",L834=""),"",IF(AND((K834="ALTA"),OR(LEFT(N834,2)="L0",LEFT(N834,2)="L1",L834="No Iniciado")),"CRÍTICO - Incumplimiento Normativo SEPS",IF(AND(OR(LEFT(N834,2)="L4",LEFT(N834,2)="L5"),AND(P834&lt;&gt;"",P834&lt;&gt;"N/A")),"CONFORME - Control Efectivo ISO 27001","OBSERVACIÓN - Revisar Controles")))</f>
        <v/>
      </c>
    </row>
    <row r="835">
      <c r="A835">
        <f>IF(INVENTARIO!A835="","",INVENTARIO!A835)</f>
        <v/>
      </c>
      <c r="B835">
        <f>IF(INVENTARIO!E835="","",INVENTARIO!E835)</f>
        <v/>
      </c>
      <c r="C835">
        <f>IF(INVENTARIO!F835="","",INVENTARIO!F835)</f>
        <v/>
      </c>
      <c r="D835">
        <f>IF(INVENTARIO!H835="","",INVENTARIO!H835)</f>
        <v/>
      </c>
      <c r="E835">
        <f>IF(INVENTARIO!I835="","",INVENTARIO!I835)</f>
        <v/>
      </c>
      <c r="F835">
        <f>IF(INVENTARIO!N835="","",INVENTARIO!N835)</f>
        <v/>
      </c>
      <c r="G835">
        <f>IF(INVENTARIO!P835="","",INVENTARIO!P835)</f>
        <v/>
      </c>
      <c r="H835">
        <f>IF(INVENTARIO!Q835="","",INVENTARIO!Q835)</f>
        <v/>
      </c>
      <c r="I835">
        <f>IF(INVENTARIO!R835="","",INVENTARIO!R835)</f>
        <v/>
      </c>
      <c r="J835">
        <f>IF(G835="PUBLICA(1)",1,IF(G835="USO INTERNO(2)",2,IF(G835="RESTRINGIDO(3)",3,0)))+IF(H835="BAJA(1)",1,IF(H835="MEDIA(2)",2,IF(H835="ALTA(3)",3,0)))+IF(I835="BAJA(1)",1,IF(I835="MEDIA(2)",2,IF(I835="ALTA(3)",3,0)))</f>
        <v/>
      </c>
      <c r="K835">
        <f>IF(J835="", "", IF(J835&gt;=8,"ALTA",IF(J835&gt;=6,"MEDIA","BAJA")))</f>
        <v/>
      </c>
      <c r="L835">
        <f>IF(INVENTARIO!Y835="","",INVENTARIO!Y835)</f>
        <v/>
      </c>
      <c r="M835">
        <f>IF(INVENTARIO!Z835="","",INVENTARIO!Z835)</f>
        <v/>
      </c>
      <c r="N835">
        <f>IF(INVENTARIO!AA835="","",INVENTARIO!AA835)</f>
        <v/>
      </c>
      <c r="O835">
        <f>IF(INVENTARIO!AB835="","",INVENTARIO!AB835)</f>
        <v/>
      </c>
      <c r="P835">
        <f>IF(INVENTARIO!AC835="","",INVENTARIO!AC835)</f>
        <v/>
      </c>
      <c r="Q835">
        <f>IF(AND(K835="",N835="",L835=""),"",IF(AND((K835="ALTA"),OR(LEFT(N835,2)="L0",LEFT(N835,2)="L1",L835="No Iniciado")),"CRÍTICO - Incumplimiento Normativo SEPS",IF(AND(OR(LEFT(N835,2)="L4",LEFT(N835,2)="L5"),AND(P835&lt;&gt;"",P835&lt;&gt;"N/A")),"CONFORME - Control Efectivo ISO 27001","OBSERVACIÓN - Revisar Controles")))</f>
        <v/>
      </c>
    </row>
    <row r="836">
      <c r="A836">
        <f>IF(INVENTARIO!A836="","",INVENTARIO!A836)</f>
        <v/>
      </c>
      <c r="B836">
        <f>IF(INVENTARIO!E836="","",INVENTARIO!E836)</f>
        <v/>
      </c>
      <c r="C836">
        <f>IF(INVENTARIO!F836="","",INVENTARIO!F836)</f>
        <v/>
      </c>
      <c r="D836">
        <f>IF(INVENTARIO!H836="","",INVENTARIO!H836)</f>
        <v/>
      </c>
      <c r="E836">
        <f>IF(INVENTARIO!I836="","",INVENTARIO!I836)</f>
        <v/>
      </c>
      <c r="F836">
        <f>IF(INVENTARIO!N836="","",INVENTARIO!N836)</f>
        <v/>
      </c>
      <c r="G836">
        <f>IF(INVENTARIO!P836="","",INVENTARIO!P836)</f>
        <v/>
      </c>
      <c r="H836">
        <f>IF(INVENTARIO!Q836="","",INVENTARIO!Q836)</f>
        <v/>
      </c>
      <c r="I836">
        <f>IF(INVENTARIO!R836="","",INVENTARIO!R836)</f>
        <v/>
      </c>
      <c r="J836">
        <f>IF(G836="PUBLICA(1)",1,IF(G836="USO INTERNO(2)",2,IF(G836="RESTRINGIDO(3)",3,0)))+IF(H836="BAJA(1)",1,IF(H836="MEDIA(2)",2,IF(H836="ALTA(3)",3,0)))+IF(I836="BAJA(1)",1,IF(I836="MEDIA(2)",2,IF(I836="ALTA(3)",3,0)))</f>
        <v/>
      </c>
      <c r="K836">
        <f>IF(J836="", "", IF(J836&gt;=8,"ALTA",IF(J836&gt;=6,"MEDIA","BAJA")))</f>
        <v/>
      </c>
      <c r="L836">
        <f>IF(INVENTARIO!Y836="","",INVENTARIO!Y836)</f>
        <v/>
      </c>
      <c r="M836">
        <f>IF(INVENTARIO!Z836="","",INVENTARIO!Z836)</f>
        <v/>
      </c>
      <c r="N836">
        <f>IF(INVENTARIO!AA836="","",INVENTARIO!AA836)</f>
        <v/>
      </c>
      <c r="O836">
        <f>IF(INVENTARIO!AB836="","",INVENTARIO!AB836)</f>
        <v/>
      </c>
      <c r="P836">
        <f>IF(INVENTARIO!AC836="","",INVENTARIO!AC836)</f>
        <v/>
      </c>
      <c r="Q836">
        <f>IF(AND(K836="",N836="",L836=""),"",IF(AND((K836="ALTA"),OR(LEFT(N836,2)="L0",LEFT(N836,2)="L1",L836="No Iniciado")),"CRÍTICO - Incumplimiento Normativo SEPS",IF(AND(OR(LEFT(N836,2)="L4",LEFT(N836,2)="L5"),AND(P836&lt;&gt;"",P836&lt;&gt;"N/A")),"CONFORME - Control Efectivo ISO 27001","OBSERVACIÓN - Revisar Controles")))</f>
        <v/>
      </c>
    </row>
    <row r="837">
      <c r="A837">
        <f>IF(INVENTARIO!A837="","",INVENTARIO!A837)</f>
        <v/>
      </c>
      <c r="B837">
        <f>IF(INVENTARIO!E837="","",INVENTARIO!E837)</f>
        <v/>
      </c>
      <c r="C837">
        <f>IF(INVENTARIO!F837="","",INVENTARIO!F837)</f>
        <v/>
      </c>
      <c r="D837">
        <f>IF(INVENTARIO!H837="","",INVENTARIO!H837)</f>
        <v/>
      </c>
      <c r="E837">
        <f>IF(INVENTARIO!I837="","",INVENTARIO!I837)</f>
        <v/>
      </c>
      <c r="F837">
        <f>IF(INVENTARIO!N837="","",INVENTARIO!N837)</f>
        <v/>
      </c>
      <c r="G837">
        <f>IF(INVENTARIO!P837="","",INVENTARIO!P837)</f>
        <v/>
      </c>
      <c r="H837">
        <f>IF(INVENTARIO!Q837="","",INVENTARIO!Q837)</f>
        <v/>
      </c>
      <c r="I837">
        <f>IF(INVENTARIO!R837="","",INVENTARIO!R837)</f>
        <v/>
      </c>
      <c r="J837">
        <f>IF(G837="PUBLICA(1)",1,IF(G837="USO INTERNO(2)",2,IF(G837="RESTRINGIDO(3)",3,0)))+IF(H837="BAJA(1)",1,IF(H837="MEDIA(2)",2,IF(H837="ALTA(3)",3,0)))+IF(I837="BAJA(1)",1,IF(I837="MEDIA(2)",2,IF(I837="ALTA(3)",3,0)))</f>
        <v/>
      </c>
      <c r="K837">
        <f>IF(J837="", "", IF(J837&gt;=8,"ALTA",IF(J837&gt;=6,"MEDIA","BAJA")))</f>
        <v/>
      </c>
      <c r="L837">
        <f>IF(INVENTARIO!Y837="","",INVENTARIO!Y837)</f>
        <v/>
      </c>
      <c r="M837">
        <f>IF(INVENTARIO!Z837="","",INVENTARIO!Z837)</f>
        <v/>
      </c>
      <c r="N837">
        <f>IF(INVENTARIO!AA837="","",INVENTARIO!AA837)</f>
        <v/>
      </c>
      <c r="O837">
        <f>IF(INVENTARIO!AB837="","",INVENTARIO!AB837)</f>
        <v/>
      </c>
      <c r="P837">
        <f>IF(INVENTARIO!AC837="","",INVENTARIO!AC837)</f>
        <v/>
      </c>
      <c r="Q837">
        <f>IF(AND(K837="",N837="",L837=""),"",IF(AND((K837="ALTA"),OR(LEFT(N837,2)="L0",LEFT(N837,2)="L1",L837="No Iniciado")),"CRÍTICO - Incumplimiento Normativo SEPS",IF(AND(OR(LEFT(N837,2)="L4",LEFT(N837,2)="L5"),AND(P837&lt;&gt;"",P837&lt;&gt;"N/A")),"CONFORME - Control Efectivo ISO 27001","OBSERVACIÓN - Revisar Controles")))</f>
        <v/>
      </c>
    </row>
    <row r="838">
      <c r="A838">
        <f>IF(INVENTARIO!A838="","",INVENTARIO!A838)</f>
        <v/>
      </c>
      <c r="B838">
        <f>IF(INVENTARIO!E838="","",INVENTARIO!E838)</f>
        <v/>
      </c>
      <c r="C838">
        <f>IF(INVENTARIO!F838="","",INVENTARIO!F838)</f>
        <v/>
      </c>
      <c r="D838">
        <f>IF(INVENTARIO!H838="","",INVENTARIO!H838)</f>
        <v/>
      </c>
      <c r="E838">
        <f>IF(INVENTARIO!I838="","",INVENTARIO!I838)</f>
        <v/>
      </c>
      <c r="F838">
        <f>IF(INVENTARIO!N838="","",INVENTARIO!N838)</f>
        <v/>
      </c>
      <c r="G838">
        <f>IF(INVENTARIO!P838="","",INVENTARIO!P838)</f>
        <v/>
      </c>
      <c r="H838">
        <f>IF(INVENTARIO!Q838="","",INVENTARIO!Q838)</f>
        <v/>
      </c>
      <c r="I838">
        <f>IF(INVENTARIO!R838="","",INVENTARIO!R838)</f>
        <v/>
      </c>
      <c r="J838">
        <f>IF(G838="PUBLICA(1)",1,IF(G838="USO INTERNO(2)",2,IF(G838="RESTRINGIDO(3)",3,0)))+IF(H838="BAJA(1)",1,IF(H838="MEDIA(2)",2,IF(H838="ALTA(3)",3,0)))+IF(I838="BAJA(1)",1,IF(I838="MEDIA(2)",2,IF(I838="ALTA(3)",3,0)))</f>
        <v/>
      </c>
      <c r="K838">
        <f>IF(J838="", "", IF(J838&gt;=8,"ALTA",IF(J838&gt;=6,"MEDIA","BAJA")))</f>
        <v/>
      </c>
      <c r="L838">
        <f>IF(INVENTARIO!Y838="","",INVENTARIO!Y838)</f>
        <v/>
      </c>
      <c r="M838">
        <f>IF(INVENTARIO!Z838="","",INVENTARIO!Z838)</f>
        <v/>
      </c>
      <c r="N838">
        <f>IF(INVENTARIO!AA838="","",INVENTARIO!AA838)</f>
        <v/>
      </c>
      <c r="O838">
        <f>IF(INVENTARIO!AB838="","",INVENTARIO!AB838)</f>
        <v/>
      </c>
      <c r="P838">
        <f>IF(INVENTARIO!AC838="","",INVENTARIO!AC838)</f>
        <v/>
      </c>
      <c r="Q838">
        <f>IF(AND(K838="",N838="",L838=""),"",IF(AND((K838="ALTA"),OR(LEFT(N838,2)="L0",LEFT(N838,2)="L1",L838="No Iniciado")),"CRÍTICO - Incumplimiento Normativo SEPS",IF(AND(OR(LEFT(N838,2)="L4",LEFT(N838,2)="L5"),AND(P838&lt;&gt;"",P838&lt;&gt;"N/A")),"CONFORME - Control Efectivo ISO 27001","OBSERVACIÓN - Revisar Controles")))</f>
        <v/>
      </c>
    </row>
    <row r="839">
      <c r="A839">
        <f>IF(INVENTARIO!A839="","",INVENTARIO!A839)</f>
        <v/>
      </c>
      <c r="B839">
        <f>IF(INVENTARIO!E839="","",INVENTARIO!E839)</f>
        <v/>
      </c>
      <c r="C839">
        <f>IF(INVENTARIO!F839="","",INVENTARIO!F839)</f>
        <v/>
      </c>
      <c r="D839">
        <f>IF(INVENTARIO!H839="","",INVENTARIO!H839)</f>
        <v/>
      </c>
      <c r="E839">
        <f>IF(INVENTARIO!I839="","",INVENTARIO!I839)</f>
        <v/>
      </c>
      <c r="F839">
        <f>IF(INVENTARIO!N839="","",INVENTARIO!N839)</f>
        <v/>
      </c>
      <c r="G839">
        <f>IF(INVENTARIO!P839="","",INVENTARIO!P839)</f>
        <v/>
      </c>
      <c r="H839">
        <f>IF(INVENTARIO!Q839="","",INVENTARIO!Q839)</f>
        <v/>
      </c>
      <c r="I839">
        <f>IF(INVENTARIO!R839="","",INVENTARIO!R839)</f>
        <v/>
      </c>
      <c r="J839">
        <f>IF(G839="PUBLICA(1)",1,IF(G839="USO INTERNO(2)",2,IF(G839="RESTRINGIDO(3)",3,0)))+IF(H839="BAJA(1)",1,IF(H839="MEDIA(2)",2,IF(H839="ALTA(3)",3,0)))+IF(I839="BAJA(1)",1,IF(I839="MEDIA(2)",2,IF(I839="ALTA(3)",3,0)))</f>
        <v/>
      </c>
      <c r="K839">
        <f>IF(J839="", "", IF(J839&gt;=8,"ALTA",IF(J839&gt;=6,"MEDIA","BAJA")))</f>
        <v/>
      </c>
      <c r="L839">
        <f>IF(INVENTARIO!Y839="","",INVENTARIO!Y839)</f>
        <v/>
      </c>
      <c r="M839">
        <f>IF(INVENTARIO!Z839="","",INVENTARIO!Z839)</f>
        <v/>
      </c>
      <c r="N839">
        <f>IF(INVENTARIO!AA839="","",INVENTARIO!AA839)</f>
        <v/>
      </c>
      <c r="O839">
        <f>IF(INVENTARIO!AB839="","",INVENTARIO!AB839)</f>
        <v/>
      </c>
      <c r="P839">
        <f>IF(INVENTARIO!AC839="","",INVENTARIO!AC839)</f>
        <v/>
      </c>
      <c r="Q839">
        <f>IF(AND(K839="",N839="",L839=""),"",IF(AND((K839="ALTA"),OR(LEFT(N839,2)="L0",LEFT(N839,2)="L1",L839="No Iniciado")),"CRÍTICO - Incumplimiento Normativo SEPS",IF(AND(OR(LEFT(N839,2)="L4",LEFT(N839,2)="L5"),AND(P839&lt;&gt;"",P839&lt;&gt;"N/A")),"CONFORME - Control Efectivo ISO 27001","OBSERVACIÓN - Revisar Controles")))</f>
        <v/>
      </c>
    </row>
    <row r="840">
      <c r="A840">
        <f>IF(INVENTARIO!A840="","",INVENTARIO!A840)</f>
        <v/>
      </c>
      <c r="B840">
        <f>IF(INVENTARIO!E840="","",INVENTARIO!E840)</f>
        <v/>
      </c>
      <c r="C840">
        <f>IF(INVENTARIO!F840="","",INVENTARIO!F840)</f>
        <v/>
      </c>
      <c r="D840">
        <f>IF(INVENTARIO!H840="","",INVENTARIO!H840)</f>
        <v/>
      </c>
      <c r="E840">
        <f>IF(INVENTARIO!I840="","",INVENTARIO!I840)</f>
        <v/>
      </c>
      <c r="F840">
        <f>IF(INVENTARIO!N840="","",INVENTARIO!N840)</f>
        <v/>
      </c>
      <c r="G840">
        <f>IF(INVENTARIO!P840="","",INVENTARIO!P840)</f>
        <v/>
      </c>
      <c r="H840">
        <f>IF(INVENTARIO!Q840="","",INVENTARIO!Q840)</f>
        <v/>
      </c>
      <c r="I840">
        <f>IF(INVENTARIO!R840="","",INVENTARIO!R840)</f>
        <v/>
      </c>
      <c r="J840">
        <f>IF(G840="PUBLICA(1)",1,IF(G840="USO INTERNO(2)",2,IF(G840="RESTRINGIDO(3)",3,0)))+IF(H840="BAJA(1)",1,IF(H840="MEDIA(2)",2,IF(H840="ALTA(3)",3,0)))+IF(I840="BAJA(1)",1,IF(I840="MEDIA(2)",2,IF(I840="ALTA(3)",3,0)))</f>
        <v/>
      </c>
      <c r="K840">
        <f>IF(J840="", "", IF(J840&gt;=8,"ALTA",IF(J840&gt;=6,"MEDIA","BAJA")))</f>
        <v/>
      </c>
      <c r="L840">
        <f>IF(INVENTARIO!Y840="","",INVENTARIO!Y840)</f>
        <v/>
      </c>
      <c r="M840">
        <f>IF(INVENTARIO!Z840="","",INVENTARIO!Z840)</f>
        <v/>
      </c>
      <c r="N840">
        <f>IF(INVENTARIO!AA840="","",INVENTARIO!AA840)</f>
        <v/>
      </c>
      <c r="O840">
        <f>IF(INVENTARIO!AB840="","",INVENTARIO!AB840)</f>
        <v/>
      </c>
      <c r="P840">
        <f>IF(INVENTARIO!AC840="","",INVENTARIO!AC840)</f>
        <v/>
      </c>
      <c r="Q840">
        <f>IF(AND(K840="",N840="",L840=""),"",IF(AND((K840="ALTA"),OR(LEFT(N840,2)="L0",LEFT(N840,2)="L1",L840="No Iniciado")),"CRÍTICO - Incumplimiento Normativo SEPS",IF(AND(OR(LEFT(N840,2)="L4",LEFT(N840,2)="L5"),AND(P840&lt;&gt;"",P840&lt;&gt;"N/A")),"CONFORME - Control Efectivo ISO 27001","OBSERVACIÓN - Revisar Controles")))</f>
        <v/>
      </c>
    </row>
    <row r="841">
      <c r="A841">
        <f>IF(INVENTARIO!A841="","",INVENTARIO!A841)</f>
        <v/>
      </c>
      <c r="B841">
        <f>IF(INVENTARIO!E841="","",INVENTARIO!E841)</f>
        <v/>
      </c>
      <c r="C841">
        <f>IF(INVENTARIO!F841="","",INVENTARIO!F841)</f>
        <v/>
      </c>
      <c r="D841">
        <f>IF(INVENTARIO!H841="","",INVENTARIO!H841)</f>
        <v/>
      </c>
      <c r="E841">
        <f>IF(INVENTARIO!I841="","",INVENTARIO!I841)</f>
        <v/>
      </c>
      <c r="F841">
        <f>IF(INVENTARIO!N841="","",INVENTARIO!N841)</f>
        <v/>
      </c>
      <c r="G841">
        <f>IF(INVENTARIO!P841="","",INVENTARIO!P841)</f>
        <v/>
      </c>
      <c r="H841">
        <f>IF(INVENTARIO!Q841="","",INVENTARIO!Q841)</f>
        <v/>
      </c>
      <c r="I841">
        <f>IF(INVENTARIO!R841="","",INVENTARIO!R841)</f>
        <v/>
      </c>
      <c r="J841">
        <f>IF(G841="PUBLICA(1)",1,IF(G841="USO INTERNO(2)",2,IF(G841="RESTRINGIDO(3)",3,0)))+IF(H841="BAJA(1)",1,IF(H841="MEDIA(2)",2,IF(H841="ALTA(3)",3,0)))+IF(I841="BAJA(1)",1,IF(I841="MEDIA(2)",2,IF(I841="ALTA(3)",3,0)))</f>
        <v/>
      </c>
      <c r="K841">
        <f>IF(J841="", "", IF(J841&gt;=8,"ALTA",IF(J841&gt;=6,"MEDIA","BAJA")))</f>
        <v/>
      </c>
      <c r="L841">
        <f>IF(INVENTARIO!Y841="","",INVENTARIO!Y841)</f>
        <v/>
      </c>
      <c r="M841">
        <f>IF(INVENTARIO!Z841="","",INVENTARIO!Z841)</f>
        <v/>
      </c>
      <c r="N841">
        <f>IF(INVENTARIO!AA841="","",INVENTARIO!AA841)</f>
        <v/>
      </c>
      <c r="O841">
        <f>IF(INVENTARIO!AB841="","",INVENTARIO!AB841)</f>
        <v/>
      </c>
      <c r="P841">
        <f>IF(INVENTARIO!AC841="","",INVENTARIO!AC841)</f>
        <v/>
      </c>
      <c r="Q841">
        <f>IF(AND(K841="",N841="",L841=""),"",IF(AND((K841="ALTA"),OR(LEFT(N841,2)="L0",LEFT(N841,2)="L1",L841="No Iniciado")),"CRÍTICO - Incumplimiento Normativo SEPS",IF(AND(OR(LEFT(N841,2)="L4",LEFT(N841,2)="L5"),AND(P841&lt;&gt;"",P841&lt;&gt;"N/A")),"CONFORME - Control Efectivo ISO 27001","OBSERVACIÓN - Revisar Controles")))</f>
        <v/>
      </c>
    </row>
    <row r="842">
      <c r="A842">
        <f>IF(INVENTARIO!A842="","",INVENTARIO!A842)</f>
        <v/>
      </c>
      <c r="B842">
        <f>IF(INVENTARIO!E842="","",INVENTARIO!E842)</f>
        <v/>
      </c>
      <c r="C842">
        <f>IF(INVENTARIO!F842="","",INVENTARIO!F842)</f>
        <v/>
      </c>
      <c r="D842">
        <f>IF(INVENTARIO!H842="","",INVENTARIO!H842)</f>
        <v/>
      </c>
      <c r="E842">
        <f>IF(INVENTARIO!I842="","",INVENTARIO!I842)</f>
        <v/>
      </c>
      <c r="F842">
        <f>IF(INVENTARIO!N842="","",INVENTARIO!N842)</f>
        <v/>
      </c>
      <c r="G842">
        <f>IF(INVENTARIO!P842="","",INVENTARIO!P842)</f>
        <v/>
      </c>
      <c r="H842">
        <f>IF(INVENTARIO!Q842="","",INVENTARIO!Q842)</f>
        <v/>
      </c>
      <c r="I842">
        <f>IF(INVENTARIO!R842="","",INVENTARIO!R842)</f>
        <v/>
      </c>
      <c r="J842">
        <f>IF(G842="PUBLICA(1)",1,IF(G842="USO INTERNO(2)",2,IF(G842="RESTRINGIDO(3)",3,0)))+IF(H842="BAJA(1)",1,IF(H842="MEDIA(2)",2,IF(H842="ALTA(3)",3,0)))+IF(I842="BAJA(1)",1,IF(I842="MEDIA(2)",2,IF(I842="ALTA(3)",3,0)))</f>
        <v/>
      </c>
      <c r="K842">
        <f>IF(J842="", "", IF(J842&gt;=8,"ALTA",IF(J842&gt;=6,"MEDIA","BAJA")))</f>
        <v/>
      </c>
      <c r="L842">
        <f>IF(INVENTARIO!Y842="","",INVENTARIO!Y842)</f>
        <v/>
      </c>
      <c r="M842">
        <f>IF(INVENTARIO!Z842="","",INVENTARIO!Z842)</f>
        <v/>
      </c>
      <c r="N842">
        <f>IF(INVENTARIO!AA842="","",INVENTARIO!AA842)</f>
        <v/>
      </c>
      <c r="O842">
        <f>IF(INVENTARIO!AB842="","",INVENTARIO!AB842)</f>
        <v/>
      </c>
      <c r="P842">
        <f>IF(INVENTARIO!AC842="","",INVENTARIO!AC842)</f>
        <v/>
      </c>
      <c r="Q842">
        <f>IF(AND(K842="",N842="",L842=""),"",IF(AND((K842="ALTA"),OR(LEFT(N842,2)="L0",LEFT(N842,2)="L1",L842="No Iniciado")),"CRÍTICO - Incumplimiento Normativo SEPS",IF(AND(OR(LEFT(N842,2)="L4",LEFT(N842,2)="L5"),AND(P842&lt;&gt;"",P842&lt;&gt;"N/A")),"CONFORME - Control Efectivo ISO 27001","OBSERVACIÓN - Revisar Controles")))</f>
        <v/>
      </c>
    </row>
    <row r="843">
      <c r="A843">
        <f>IF(INVENTARIO!A843="","",INVENTARIO!A843)</f>
        <v/>
      </c>
      <c r="B843">
        <f>IF(INVENTARIO!E843="","",INVENTARIO!E843)</f>
        <v/>
      </c>
      <c r="C843">
        <f>IF(INVENTARIO!F843="","",INVENTARIO!F843)</f>
        <v/>
      </c>
      <c r="D843">
        <f>IF(INVENTARIO!H843="","",INVENTARIO!H843)</f>
        <v/>
      </c>
      <c r="E843">
        <f>IF(INVENTARIO!I843="","",INVENTARIO!I843)</f>
        <v/>
      </c>
      <c r="F843">
        <f>IF(INVENTARIO!N843="","",INVENTARIO!N843)</f>
        <v/>
      </c>
      <c r="G843">
        <f>IF(INVENTARIO!P843="","",INVENTARIO!P843)</f>
        <v/>
      </c>
      <c r="H843">
        <f>IF(INVENTARIO!Q843="","",INVENTARIO!Q843)</f>
        <v/>
      </c>
      <c r="I843">
        <f>IF(INVENTARIO!R843="","",INVENTARIO!R843)</f>
        <v/>
      </c>
      <c r="J843">
        <f>IF(G843="PUBLICA(1)",1,IF(G843="USO INTERNO(2)",2,IF(G843="RESTRINGIDO(3)",3,0)))+IF(H843="BAJA(1)",1,IF(H843="MEDIA(2)",2,IF(H843="ALTA(3)",3,0)))+IF(I843="BAJA(1)",1,IF(I843="MEDIA(2)",2,IF(I843="ALTA(3)",3,0)))</f>
        <v/>
      </c>
      <c r="K843">
        <f>IF(J843="", "", IF(J843&gt;=8,"ALTA",IF(J843&gt;=6,"MEDIA","BAJA")))</f>
        <v/>
      </c>
      <c r="L843">
        <f>IF(INVENTARIO!Y843="","",INVENTARIO!Y843)</f>
        <v/>
      </c>
      <c r="M843">
        <f>IF(INVENTARIO!Z843="","",INVENTARIO!Z843)</f>
        <v/>
      </c>
      <c r="N843">
        <f>IF(INVENTARIO!AA843="","",INVENTARIO!AA843)</f>
        <v/>
      </c>
      <c r="O843">
        <f>IF(INVENTARIO!AB843="","",INVENTARIO!AB843)</f>
        <v/>
      </c>
      <c r="P843">
        <f>IF(INVENTARIO!AC843="","",INVENTARIO!AC843)</f>
        <v/>
      </c>
      <c r="Q843">
        <f>IF(AND(K843="",N843="",L843=""),"",IF(AND((K843="ALTA"),OR(LEFT(N843,2)="L0",LEFT(N843,2)="L1",L843="No Iniciado")),"CRÍTICO - Incumplimiento Normativo SEPS",IF(AND(OR(LEFT(N843,2)="L4",LEFT(N843,2)="L5"),AND(P843&lt;&gt;"",P843&lt;&gt;"N/A")),"CONFORME - Control Efectivo ISO 27001","OBSERVACIÓN - Revisar Controles")))</f>
        <v/>
      </c>
    </row>
    <row r="844">
      <c r="A844">
        <f>IF(INVENTARIO!A844="","",INVENTARIO!A844)</f>
        <v/>
      </c>
      <c r="B844">
        <f>IF(INVENTARIO!E844="","",INVENTARIO!E844)</f>
        <v/>
      </c>
      <c r="C844">
        <f>IF(INVENTARIO!F844="","",INVENTARIO!F844)</f>
        <v/>
      </c>
      <c r="D844">
        <f>IF(INVENTARIO!H844="","",INVENTARIO!H844)</f>
        <v/>
      </c>
      <c r="E844">
        <f>IF(INVENTARIO!I844="","",INVENTARIO!I844)</f>
        <v/>
      </c>
      <c r="F844">
        <f>IF(INVENTARIO!N844="","",INVENTARIO!N844)</f>
        <v/>
      </c>
      <c r="G844">
        <f>IF(INVENTARIO!P844="","",INVENTARIO!P844)</f>
        <v/>
      </c>
      <c r="H844">
        <f>IF(INVENTARIO!Q844="","",INVENTARIO!Q844)</f>
        <v/>
      </c>
      <c r="I844">
        <f>IF(INVENTARIO!R844="","",INVENTARIO!R844)</f>
        <v/>
      </c>
      <c r="J844">
        <f>IF(G844="PUBLICA(1)",1,IF(G844="USO INTERNO(2)",2,IF(G844="RESTRINGIDO(3)",3,0)))+IF(H844="BAJA(1)",1,IF(H844="MEDIA(2)",2,IF(H844="ALTA(3)",3,0)))+IF(I844="BAJA(1)",1,IF(I844="MEDIA(2)",2,IF(I844="ALTA(3)",3,0)))</f>
        <v/>
      </c>
      <c r="K844">
        <f>IF(J844="", "", IF(J844&gt;=8,"ALTA",IF(J844&gt;=6,"MEDIA","BAJA")))</f>
        <v/>
      </c>
      <c r="L844">
        <f>IF(INVENTARIO!Y844="","",INVENTARIO!Y844)</f>
        <v/>
      </c>
      <c r="M844">
        <f>IF(INVENTARIO!Z844="","",INVENTARIO!Z844)</f>
        <v/>
      </c>
      <c r="N844">
        <f>IF(INVENTARIO!AA844="","",INVENTARIO!AA844)</f>
        <v/>
      </c>
      <c r="O844">
        <f>IF(INVENTARIO!AB844="","",INVENTARIO!AB844)</f>
        <v/>
      </c>
      <c r="P844">
        <f>IF(INVENTARIO!AC844="","",INVENTARIO!AC844)</f>
        <v/>
      </c>
      <c r="Q844">
        <f>IF(AND(K844="",N844="",L844=""),"",IF(AND((K844="ALTA"),OR(LEFT(N844,2)="L0",LEFT(N844,2)="L1",L844="No Iniciado")),"CRÍTICO - Incumplimiento Normativo SEPS",IF(AND(OR(LEFT(N844,2)="L4",LEFT(N844,2)="L5"),AND(P844&lt;&gt;"",P844&lt;&gt;"N/A")),"CONFORME - Control Efectivo ISO 27001","OBSERVACIÓN - Revisar Controles")))</f>
        <v/>
      </c>
    </row>
    <row r="845">
      <c r="A845">
        <f>IF(INVENTARIO!A845="","",INVENTARIO!A845)</f>
        <v/>
      </c>
      <c r="B845">
        <f>IF(INVENTARIO!E845="","",INVENTARIO!E845)</f>
        <v/>
      </c>
      <c r="C845">
        <f>IF(INVENTARIO!F845="","",INVENTARIO!F845)</f>
        <v/>
      </c>
      <c r="D845">
        <f>IF(INVENTARIO!H845="","",INVENTARIO!H845)</f>
        <v/>
      </c>
      <c r="E845">
        <f>IF(INVENTARIO!I845="","",INVENTARIO!I845)</f>
        <v/>
      </c>
      <c r="F845">
        <f>IF(INVENTARIO!N845="","",INVENTARIO!N845)</f>
        <v/>
      </c>
      <c r="G845">
        <f>IF(INVENTARIO!P845="","",INVENTARIO!P845)</f>
        <v/>
      </c>
      <c r="H845">
        <f>IF(INVENTARIO!Q845="","",INVENTARIO!Q845)</f>
        <v/>
      </c>
      <c r="I845">
        <f>IF(INVENTARIO!R845="","",INVENTARIO!R845)</f>
        <v/>
      </c>
      <c r="J845">
        <f>IF(G845="PUBLICA(1)",1,IF(G845="USO INTERNO(2)",2,IF(G845="RESTRINGIDO(3)",3,0)))+IF(H845="BAJA(1)",1,IF(H845="MEDIA(2)",2,IF(H845="ALTA(3)",3,0)))+IF(I845="BAJA(1)",1,IF(I845="MEDIA(2)",2,IF(I845="ALTA(3)",3,0)))</f>
        <v/>
      </c>
      <c r="K845">
        <f>IF(J845="", "", IF(J845&gt;=8,"ALTA",IF(J845&gt;=6,"MEDIA","BAJA")))</f>
        <v/>
      </c>
      <c r="L845">
        <f>IF(INVENTARIO!Y845="","",INVENTARIO!Y845)</f>
        <v/>
      </c>
      <c r="M845">
        <f>IF(INVENTARIO!Z845="","",INVENTARIO!Z845)</f>
        <v/>
      </c>
      <c r="N845">
        <f>IF(INVENTARIO!AA845="","",INVENTARIO!AA845)</f>
        <v/>
      </c>
      <c r="O845">
        <f>IF(INVENTARIO!AB845="","",INVENTARIO!AB845)</f>
        <v/>
      </c>
      <c r="P845">
        <f>IF(INVENTARIO!AC845="","",INVENTARIO!AC845)</f>
        <v/>
      </c>
      <c r="Q845">
        <f>IF(AND(K845="",N845="",L845=""),"",IF(AND((K845="ALTA"),OR(LEFT(N845,2)="L0",LEFT(N845,2)="L1",L845="No Iniciado")),"CRÍTICO - Incumplimiento Normativo SEPS",IF(AND(OR(LEFT(N845,2)="L4",LEFT(N845,2)="L5"),AND(P845&lt;&gt;"",P845&lt;&gt;"N/A")),"CONFORME - Control Efectivo ISO 27001","OBSERVACIÓN - Revisar Controles")))</f>
        <v/>
      </c>
    </row>
    <row r="846">
      <c r="A846">
        <f>IF(INVENTARIO!A846="","",INVENTARIO!A846)</f>
        <v/>
      </c>
      <c r="B846">
        <f>IF(INVENTARIO!E846="","",INVENTARIO!E846)</f>
        <v/>
      </c>
      <c r="C846">
        <f>IF(INVENTARIO!F846="","",INVENTARIO!F846)</f>
        <v/>
      </c>
      <c r="D846">
        <f>IF(INVENTARIO!H846="","",INVENTARIO!H846)</f>
        <v/>
      </c>
      <c r="E846">
        <f>IF(INVENTARIO!I846="","",INVENTARIO!I846)</f>
        <v/>
      </c>
      <c r="F846">
        <f>IF(INVENTARIO!N846="","",INVENTARIO!N846)</f>
        <v/>
      </c>
      <c r="G846">
        <f>IF(INVENTARIO!P846="","",INVENTARIO!P846)</f>
        <v/>
      </c>
      <c r="H846">
        <f>IF(INVENTARIO!Q846="","",INVENTARIO!Q846)</f>
        <v/>
      </c>
      <c r="I846">
        <f>IF(INVENTARIO!R846="","",INVENTARIO!R846)</f>
        <v/>
      </c>
      <c r="J846">
        <f>IF(G846="PUBLICA(1)",1,IF(G846="USO INTERNO(2)",2,IF(G846="RESTRINGIDO(3)",3,0)))+IF(H846="BAJA(1)",1,IF(H846="MEDIA(2)",2,IF(H846="ALTA(3)",3,0)))+IF(I846="BAJA(1)",1,IF(I846="MEDIA(2)",2,IF(I846="ALTA(3)",3,0)))</f>
        <v/>
      </c>
      <c r="K846">
        <f>IF(J846="", "", IF(J846&gt;=8,"ALTA",IF(J846&gt;=6,"MEDIA","BAJA")))</f>
        <v/>
      </c>
      <c r="L846">
        <f>IF(INVENTARIO!Y846="","",INVENTARIO!Y846)</f>
        <v/>
      </c>
      <c r="M846">
        <f>IF(INVENTARIO!Z846="","",INVENTARIO!Z846)</f>
        <v/>
      </c>
      <c r="N846">
        <f>IF(INVENTARIO!AA846="","",INVENTARIO!AA846)</f>
        <v/>
      </c>
      <c r="O846">
        <f>IF(INVENTARIO!AB846="","",INVENTARIO!AB846)</f>
        <v/>
      </c>
      <c r="P846">
        <f>IF(INVENTARIO!AC846="","",INVENTARIO!AC846)</f>
        <v/>
      </c>
      <c r="Q846">
        <f>IF(AND(K846="",N846="",L846=""),"",IF(AND((K846="ALTA"),OR(LEFT(N846,2)="L0",LEFT(N846,2)="L1",L846="No Iniciado")),"CRÍTICO - Incumplimiento Normativo SEPS",IF(AND(OR(LEFT(N846,2)="L4",LEFT(N846,2)="L5"),AND(P846&lt;&gt;"",P846&lt;&gt;"N/A")),"CONFORME - Control Efectivo ISO 27001","OBSERVACIÓN - Revisar Controles")))</f>
        <v/>
      </c>
    </row>
    <row r="847">
      <c r="A847">
        <f>IF(INVENTARIO!A847="","",INVENTARIO!A847)</f>
        <v/>
      </c>
      <c r="B847">
        <f>IF(INVENTARIO!E847="","",INVENTARIO!E847)</f>
        <v/>
      </c>
      <c r="C847">
        <f>IF(INVENTARIO!F847="","",INVENTARIO!F847)</f>
        <v/>
      </c>
      <c r="D847">
        <f>IF(INVENTARIO!H847="","",INVENTARIO!H847)</f>
        <v/>
      </c>
      <c r="E847">
        <f>IF(INVENTARIO!I847="","",INVENTARIO!I847)</f>
        <v/>
      </c>
      <c r="F847">
        <f>IF(INVENTARIO!N847="","",INVENTARIO!N847)</f>
        <v/>
      </c>
      <c r="G847">
        <f>IF(INVENTARIO!P847="","",INVENTARIO!P847)</f>
        <v/>
      </c>
      <c r="H847">
        <f>IF(INVENTARIO!Q847="","",INVENTARIO!Q847)</f>
        <v/>
      </c>
      <c r="I847">
        <f>IF(INVENTARIO!R847="","",INVENTARIO!R847)</f>
        <v/>
      </c>
      <c r="J847">
        <f>IF(G847="PUBLICA(1)",1,IF(G847="USO INTERNO(2)",2,IF(G847="RESTRINGIDO(3)",3,0)))+IF(H847="BAJA(1)",1,IF(H847="MEDIA(2)",2,IF(H847="ALTA(3)",3,0)))+IF(I847="BAJA(1)",1,IF(I847="MEDIA(2)",2,IF(I847="ALTA(3)",3,0)))</f>
        <v/>
      </c>
      <c r="K847">
        <f>IF(J847="", "", IF(J847&gt;=8,"ALTA",IF(J847&gt;=6,"MEDIA","BAJA")))</f>
        <v/>
      </c>
      <c r="L847">
        <f>IF(INVENTARIO!Y847="","",INVENTARIO!Y847)</f>
        <v/>
      </c>
      <c r="M847">
        <f>IF(INVENTARIO!Z847="","",INVENTARIO!Z847)</f>
        <v/>
      </c>
      <c r="N847">
        <f>IF(INVENTARIO!AA847="","",INVENTARIO!AA847)</f>
        <v/>
      </c>
      <c r="O847">
        <f>IF(INVENTARIO!AB847="","",INVENTARIO!AB847)</f>
        <v/>
      </c>
      <c r="P847">
        <f>IF(INVENTARIO!AC847="","",INVENTARIO!AC847)</f>
        <v/>
      </c>
      <c r="Q847">
        <f>IF(AND(K847="",N847="",L847=""),"",IF(AND((K847="ALTA"),OR(LEFT(N847,2)="L0",LEFT(N847,2)="L1",L847="No Iniciado")),"CRÍTICO - Incumplimiento Normativo SEPS",IF(AND(OR(LEFT(N847,2)="L4",LEFT(N847,2)="L5"),AND(P847&lt;&gt;"",P847&lt;&gt;"N/A")),"CONFORME - Control Efectivo ISO 27001","OBSERVACIÓN - Revisar Controles")))</f>
        <v/>
      </c>
    </row>
    <row r="848">
      <c r="A848">
        <f>IF(INVENTARIO!A848="","",INVENTARIO!A848)</f>
        <v/>
      </c>
      <c r="B848">
        <f>IF(INVENTARIO!E848="","",INVENTARIO!E848)</f>
        <v/>
      </c>
      <c r="C848">
        <f>IF(INVENTARIO!F848="","",INVENTARIO!F848)</f>
        <v/>
      </c>
      <c r="D848">
        <f>IF(INVENTARIO!H848="","",INVENTARIO!H848)</f>
        <v/>
      </c>
      <c r="E848">
        <f>IF(INVENTARIO!I848="","",INVENTARIO!I848)</f>
        <v/>
      </c>
      <c r="F848">
        <f>IF(INVENTARIO!N848="","",INVENTARIO!N848)</f>
        <v/>
      </c>
      <c r="G848">
        <f>IF(INVENTARIO!P848="","",INVENTARIO!P848)</f>
        <v/>
      </c>
      <c r="H848">
        <f>IF(INVENTARIO!Q848="","",INVENTARIO!Q848)</f>
        <v/>
      </c>
      <c r="I848">
        <f>IF(INVENTARIO!R848="","",INVENTARIO!R848)</f>
        <v/>
      </c>
      <c r="J848">
        <f>IF(G848="PUBLICA(1)",1,IF(G848="USO INTERNO(2)",2,IF(G848="RESTRINGIDO(3)",3,0)))+IF(H848="BAJA(1)",1,IF(H848="MEDIA(2)",2,IF(H848="ALTA(3)",3,0)))+IF(I848="BAJA(1)",1,IF(I848="MEDIA(2)",2,IF(I848="ALTA(3)",3,0)))</f>
        <v/>
      </c>
      <c r="K848">
        <f>IF(J848="", "", IF(J848&gt;=8,"ALTA",IF(J848&gt;=6,"MEDIA","BAJA")))</f>
        <v/>
      </c>
      <c r="L848">
        <f>IF(INVENTARIO!Y848="","",INVENTARIO!Y848)</f>
        <v/>
      </c>
      <c r="M848">
        <f>IF(INVENTARIO!Z848="","",INVENTARIO!Z848)</f>
        <v/>
      </c>
      <c r="N848">
        <f>IF(INVENTARIO!AA848="","",INVENTARIO!AA848)</f>
        <v/>
      </c>
      <c r="O848">
        <f>IF(INVENTARIO!AB848="","",INVENTARIO!AB848)</f>
        <v/>
      </c>
      <c r="P848">
        <f>IF(INVENTARIO!AC848="","",INVENTARIO!AC848)</f>
        <v/>
      </c>
      <c r="Q848">
        <f>IF(AND(K848="",N848="",L848=""),"",IF(AND((K848="ALTA"),OR(LEFT(N848,2)="L0",LEFT(N848,2)="L1",L848="No Iniciado")),"CRÍTICO - Incumplimiento Normativo SEPS",IF(AND(OR(LEFT(N848,2)="L4",LEFT(N848,2)="L5"),AND(P848&lt;&gt;"",P848&lt;&gt;"N/A")),"CONFORME - Control Efectivo ISO 27001","OBSERVACIÓN - Revisar Controles")))</f>
        <v/>
      </c>
    </row>
    <row r="849">
      <c r="A849">
        <f>IF(INVENTARIO!A849="","",INVENTARIO!A849)</f>
        <v/>
      </c>
      <c r="B849">
        <f>IF(INVENTARIO!E849="","",INVENTARIO!E849)</f>
        <v/>
      </c>
      <c r="C849">
        <f>IF(INVENTARIO!F849="","",INVENTARIO!F849)</f>
        <v/>
      </c>
      <c r="D849">
        <f>IF(INVENTARIO!H849="","",INVENTARIO!H849)</f>
        <v/>
      </c>
      <c r="E849">
        <f>IF(INVENTARIO!I849="","",INVENTARIO!I849)</f>
        <v/>
      </c>
      <c r="F849">
        <f>IF(INVENTARIO!N849="","",INVENTARIO!N849)</f>
        <v/>
      </c>
      <c r="G849">
        <f>IF(INVENTARIO!P849="","",INVENTARIO!P849)</f>
        <v/>
      </c>
      <c r="H849">
        <f>IF(INVENTARIO!Q849="","",INVENTARIO!Q849)</f>
        <v/>
      </c>
      <c r="I849">
        <f>IF(INVENTARIO!R849="","",INVENTARIO!R849)</f>
        <v/>
      </c>
      <c r="J849">
        <f>IF(G849="PUBLICA(1)",1,IF(G849="USO INTERNO(2)",2,IF(G849="RESTRINGIDO(3)",3,0)))+IF(H849="BAJA(1)",1,IF(H849="MEDIA(2)",2,IF(H849="ALTA(3)",3,0)))+IF(I849="BAJA(1)",1,IF(I849="MEDIA(2)",2,IF(I849="ALTA(3)",3,0)))</f>
        <v/>
      </c>
      <c r="K849">
        <f>IF(J849="", "", IF(J849&gt;=8,"ALTA",IF(J849&gt;=6,"MEDIA","BAJA")))</f>
        <v/>
      </c>
      <c r="L849">
        <f>IF(INVENTARIO!Y849="","",INVENTARIO!Y849)</f>
        <v/>
      </c>
      <c r="M849">
        <f>IF(INVENTARIO!Z849="","",INVENTARIO!Z849)</f>
        <v/>
      </c>
      <c r="N849">
        <f>IF(INVENTARIO!AA849="","",INVENTARIO!AA849)</f>
        <v/>
      </c>
      <c r="O849">
        <f>IF(INVENTARIO!AB849="","",INVENTARIO!AB849)</f>
        <v/>
      </c>
      <c r="P849">
        <f>IF(INVENTARIO!AC849="","",INVENTARIO!AC849)</f>
        <v/>
      </c>
      <c r="Q849">
        <f>IF(AND(K849="",N849="",L849=""),"",IF(AND((K849="ALTA"),OR(LEFT(N849,2)="L0",LEFT(N849,2)="L1",L849="No Iniciado")),"CRÍTICO - Incumplimiento Normativo SEPS",IF(AND(OR(LEFT(N849,2)="L4",LEFT(N849,2)="L5"),AND(P849&lt;&gt;"",P849&lt;&gt;"N/A")),"CONFORME - Control Efectivo ISO 27001","OBSERVACIÓN - Revisar Controles")))</f>
        <v/>
      </c>
    </row>
    <row r="850">
      <c r="A850">
        <f>IF(INVENTARIO!A850="","",INVENTARIO!A850)</f>
        <v/>
      </c>
      <c r="B850">
        <f>IF(INVENTARIO!E850="","",INVENTARIO!E850)</f>
        <v/>
      </c>
      <c r="C850">
        <f>IF(INVENTARIO!F850="","",INVENTARIO!F850)</f>
        <v/>
      </c>
      <c r="D850">
        <f>IF(INVENTARIO!H850="","",INVENTARIO!H850)</f>
        <v/>
      </c>
      <c r="E850">
        <f>IF(INVENTARIO!I850="","",INVENTARIO!I850)</f>
        <v/>
      </c>
      <c r="F850">
        <f>IF(INVENTARIO!N850="","",INVENTARIO!N850)</f>
        <v/>
      </c>
      <c r="G850">
        <f>IF(INVENTARIO!P850="","",INVENTARIO!P850)</f>
        <v/>
      </c>
      <c r="H850">
        <f>IF(INVENTARIO!Q850="","",INVENTARIO!Q850)</f>
        <v/>
      </c>
      <c r="I850">
        <f>IF(INVENTARIO!R850="","",INVENTARIO!R850)</f>
        <v/>
      </c>
      <c r="J850">
        <f>IF(G850="PUBLICA(1)",1,IF(G850="USO INTERNO(2)",2,IF(G850="RESTRINGIDO(3)",3,0)))+IF(H850="BAJA(1)",1,IF(H850="MEDIA(2)",2,IF(H850="ALTA(3)",3,0)))+IF(I850="BAJA(1)",1,IF(I850="MEDIA(2)",2,IF(I850="ALTA(3)",3,0)))</f>
        <v/>
      </c>
      <c r="K850">
        <f>IF(J850="", "", IF(J850&gt;=8,"ALTA",IF(J850&gt;=6,"MEDIA","BAJA")))</f>
        <v/>
      </c>
      <c r="L850">
        <f>IF(INVENTARIO!Y850="","",INVENTARIO!Y850)</f>
        <v/>
      </c>
      <c r="M850">
        <f>IF(INVENTARIO!Z850="","",INVENTARIO!Z850)</f>
        <v/>
      </c>
      <c r="N850">
        <f>IF(INVENTARIO!AA850="","",INVENTARIO!AA850)</f>
        <v/>
      </c>
      <c r="O850">
        <f>IF(INVENTARIO!AB850="","",INVENTARIO!AB850)</f>
        <v/>
      </c>
      <c r="P850">
        <f>IF(INVENTARIO!AC850="","",INVENTARIO!AC850)</f>
        <v/>
      </c>
      <c r="Q850">
        <f>IF(AND(K850="",N850="",L850=""),"",IF(AND((K850="ALTA"),OR(LEFT(N850,2)="L0",LEFT(N850,2)="L1",L850="No Iniciado")),"CRÍTICO - Incumplimiento Normativo SEPS",IF(AND(OR(LEFT(N850,2)="L4",LEFT(N850,2)="L5"),AND(P850&lt;&gt;"",P850&lt;&gt;"N/A")),"CONFORME - Control Efectivo ISO 27001","OBSERVACIÓN - Revisar Controles")))</f>
        <v/>
      </c>
    </row>
    <row r="851">
      <c r="A851">
        <f>IF(INVENTARIO!A851="","",INVENTARIO!A851)</f>
        <v/>
      </c>
      <c r="B851">
        <f>IF(INVENTARIO!E851="","",INVENTARIO!E851)</f>
        <v/>
      </c>
      <c r="C851">
        <f>IF(INVENTARIO!F851="","",INVENTARIO!F851)</f>
        <v/>
      </c>
      <c r="D851">
        <f>IF(INVENTARIO!H851="","",INVENTARIO!H851)</f>
        <v/>
      </c>
      <c r="E851">
        <f>IF(INVENTARIO!I851="","",INVENTARIO!I851)</f>
        <v/>
      </c>
      <c r="F851">
        <f>IF(INVENTARIO!N851="","",INVENTARIO!N851)</f>
        <v/>
      </c>
      <c r="G851">
        <f>IF(INVENTARIO!P851="","",INVENTARIO!P851)</f>
        <v/>
      </c>
      <c r="H851">
        <f>IF(INVENTARIO!Q851="","",INVENTARIO!Q851)</f>
        <v/>
      </c>
      <c r="I851">
        <f>IF(INVENTARIO!R851="","",INVENTARIO!R851)</f>
        <v/>
      </c>
      <c r="J851">
        <f>IF(G851="PUBLICA(1)",1,IF(G851="USO INTERNO(2)",2,IF(G851="RESTRINGIDO(3)",3,0)))+IF(H851="BAJA(1)",1,IF(H851="MEDIA(2)",2,IF(H851="ALTA(3)",3,0)))+IF(I851="BAJA(1)",1,IF(I851="MEDIA(2)",2,IF(I851="ALTA(3)",3,0)))</f>
        <v/>
      </c>
      <c r="K851">
        <f>IF(J851="", "", IF(J851&gt;=8,"ALTA",IF(J851&gt;=6,"MEDIA","BAJA")))</f>
        <v/>
      </c>
      <c r="L851">
        <f>IF(INVENTARIO!Y851="","",INVENTARIO!Y851)</f>
        <v/>
      </c>
      <c r="M851">
        <f>IF(INVENTARIO!Z851="","",INVENTARIO!Z851)</f>
        <v/>
      </c>
      <c r="N851">
        <f>IF(INVENTARIO!AA851="","",INVENTARIO!AA851)</f>
        <v/>
      </c>
      <c r="O851">
        <f>IF(INVENTARIO!AB851="","",INVENTARIO!AB851)</f>
        <v/>
      </c>
      <c r="P851">
        <f>IF(INVENTARIO!AC851="","",INVENTARIO!AC851)</f>
        <v/>
      </c>
      <c r="Q851">
        <f>IF(AND(K851="",N851="",L851=""),"",IF(AND((K851="ALTA"),OR(LEFT(N851,2)="L0",LEFT(N851,2)="L1",L851="No Iniciado")),"CRÍTICO - Incumplimiento Normativo SEPS",IF(AND(OR(LEFT(N851,2)="L4",LEFT(N851,2)="L5"),AND(P851&lt;&gt;"",P851&lt;&gt;"N/A")),"CONFORME - Control Efectivo ISO 27001","OBSERVACIÓN - Revisar Controles")))</f>
        <v/>
      </c>
    </row>
    <row r="852">
      <c r="A852">
        <f>IF(INVENTARIO!A852="","",INVENTARIO!A852)</f>
        <v/>
      </c>
      <c r="B852">
        <f>IF(INVENTARIO!E852="","",INVENTARIO!E852)</f>
        <v/>
      </c>
      <c r="C852">
        <f>IF(INVENTARIO!F852="","",INVENTARIO!F852)</f>
        <v/>
      </c>
      <c r="D852">
        <f>IF(INVENTARIO!H852="","",INVENTARIO!H852)</f>
        <v/>
      </c>
      <c r="E852">
        <f>IF(INVENTARIO!I852="","",INVENTARIO!I852)</f>
        <v/>
      </c>
      <c r="F852">
        <f>IF(INVENTARIO!N852="","",INVENTARIO!N852)</f>
        <v/>
      </c>
      <c r="G852">
        <f>IF(INVENTARIO!P852="","",INVENTARIO!P852)</f>
        <v/>
      </c>
      <c r="H852">
        <f>IF(INVENTARIO!Q852="","",INVENTARIO!Q852)</f>
        <v/>
      </c>
      <c r="I852">
        <f>IF(INVENTARIO!R852="","",INVENTARIO!R852)</f>
        <v/>
      </c>
      <c r="J852">
        <f>IF(G852="PUBLICA(1)",1,IF(G852="USO INTERNO(2)",2,IF(G852="RESTRINGIDO(3)",3,0)))+IF(H852="BAJA(1)",1,IF(H852="MEDIA(2)",2,IF(H852="ALTA(3)",3,0)))+IF(I852="BAJA(1)",1,IF(I852="MEDIA(2)",2,IF(I852="ALTA(3)",3,0)))</f>
        <v/>
      </c>
      <c r="K852">
        <f>IF(J852="", "", IF(J852&gt;=8,"ALTA",IF(J852&gt;=6,"MEDIA","BAJA")))</f>
        <v/>
      </c>
      <c r="L852">
        <f>IF(INVENTARIO!Y852="","",INVENTARIO!Y852)</f>
        <v/>
      </c>
      <c r="M852">
        <f>IF(INVENTARIO!Z852="","",INVENTARIO!Z852)</f>
        <v/>
      </c>
      <c r="N852">
        <f>IF(INVENTARIO!AA852="","",INVENTARIO!AA852)</f>
        <v/>
      </c>
      <c r="O852">
        <f>IF(INVENTARIO!AB852="","",INVENTARIO!AB852)</f>
        <v/>
      </c>
      <c r="P852">
        <f>IF(INVENTARIO!AC852="","",INVENTARIO!AC852)</f>
        <v/>
      </c>
      <c r="Q852">
        <f>IF(AND(K852="",N852="",L852=""),"",IF(AND((K852="ALTA"),OR(LEFT(N852,2)="L0",LEFT(N852,2)="L1",L852="No Iniciado")),"CRÍTICO - Incumplimiento Normativo SEPS",IF(AND(OR(LEFT(N852,2)="L4",LEFT(N852,2)="L5"),AND(P852&lt;&gt;"",P852&lt;&gt;"N/A")),"CONFORME - Control Efectivo ISO 27001","OBSERVACIÓN - Revisar Controles")))</f>
        <v/>
      </c>
    </row>
    <row r="853">
      <c r="A853">
        <f>IF(INVENTARIO!A853="","",INVENTARIO!A853)</f>
        <v/>
      </c>
      <c r="B853">
        <f>IF(INVENTARIO!E853="","",INVENTARIO!E853)</f>
        <v/>
      </c>
      <c r="C853">
        <f>IF(INVENTARIO!F853="","",INVENTARIO!F853)</f>
        <v/>
      </c>
      <c r="D853">
        <f>IF(INVENTARIO!H853="","",INVENTARIO!H853)</f>
        <v/>
      </c>
      <c r="E853">
        <f>IF(INVENTARIO!I853="","",INVENTARIO!I853)</f>
        <v/>
      </c>
      <c r="F853">
        <f>IF(INVENTARIO!N853="","",INVENTARIO!N853)</f>
        <v/>
      </c>
      <c r="G853">
        <f>IF(INVENTARIO!P853="","",INVENTARIO!P853)</f>
        <v/>
      </c>
      <c r="H853">
        <f>IF(INVENTARIO!Q853="","",INVENTARIO!Q853)</f>
        <v/>
      </c>
      <c r="I853">
        <f>IF(INVENTARIO!R853="","",INVENTARIO!R853)</f>
        <v/>
      </c>
      <c r="J853">
        <f>IF(G853="PUBLICA(1)",1,IF(G853="USO INTERNO(2)",2,IF(G853="RESTRINGIDO(3)",3,0)))+IF(H853="BAJA(1)",1,IF(H853="MEDIA(2)",2,IF(H853="ALTA(3)",3,0)))+IF(I853="BAJA(1)",1,IF(I853="MEDIA(2)",2,IF(I853="ALTA(3)",3,0)))</f>
        <v/>
      </c>
      <c r="K853">
        <f>IF(J853="", "", IF(J853&gt;=8,"ALTA",IF(J853&gt;=6,"MEDIA","BAJA")))</f>
        <v/>
      </c>
      <c r="L853">
        <f>IF(INVENTARIO!Y853="","",INVENTARIO!Y853)</f>
        <v/>
      </c>
      <c r="M853">
        <f>IF(INVENTARIO!Z853="","",INVENTARIO!Z853)</f>
        <v/>
      </c>
      <c r="N853">
        <f>IF(INVENTARIO!AA853="","",INVENTARIO!AA853)</f>
        <v/>
      </c>
      <c r="O853">
        <f>IF(INVENTARIO!AB853="","",INVENTARIO!AB853)</f>
        <v/>
      </c>
      <c r="P853">
        <f>IF(INVENTARIO!AC853="","",INVENTARIO!AC853)</f>
        <v/>
      </c>
      <c r="Q853">
        <f>IF(AND(K853="",N853="",L853=""),"",IF(AND((K853="ALTA"),OR(LEFT(N853,2)="L0",LEFT(N853,2)="L1",L853="No Iniciado")),"CRÍTICO - Incumplimiento Normativo SEPS",IF(AND(OR(LEFT(N853,2)="L4",LEFT(N853,2)="L5"),AND(P853&lt;&gt;"",P853&lt;&gt;"N/A")),"CONFORME - Control Efectivo ISO 27001","OBSERVACIÓN - Revisar Controles")))</f>
        <v/>
      </c>
    </row>
    <row r="854">
      <c r="A854">
        <f>IF(INVENTARIO!A854="","",INVENTARIO!A854)</f>
        <v/>
      </c>
      <c r="B854">
        <f>IF(INVENTARIO!E854="","",INVENTARIO!E854)</f>
        <v/>
      </c>
      <c r="C854">
        <f>IF(INVENTARIO!F854="","",INVENTARIO!F854)</f>
        <v/>
      </c>
      <c r="D854">
        <f>IF(INVENTARIO!H854="","",INVENTARIO!H854)</f>
        <v/>
      </c>
      <c r="E854">
        <f>IF(INVENTARIO!I854="","",INVENTARIO!I854)</f>
        <v/>
      </c>
      <c r="F854">
        <f>IF(INVENTARIO!N854="","",INVENTARIO!N854)</f>
        <v/>
      </c>
      <c r="G854">
        <f>IF(INVENTARIO!P854="","",INVENTARIO!P854)</f>
        <v/>
      </c>
      <c r="H854">
        <f>IF(INVENTARIO!Q854="","",INVENTARIO!Q854)</f>
        <v/>
      </c>
      <c r="I854">
        <f>IF(INVENTARIO!R854="","",INVENTARIO!R854)</f>
        <v/>
      </c>
      <c r="J854">
        <f>IF(G854="PUBLICA(1)",1,IF(G854="USO INTERNO(2)",2,IF(G854="RESTRINGIDO(3)",3,0)))+IF(H854="BAJA(1)",1,IF(H854="MEDIA(2)",2,IF(H854="ALTA(3)",3,0)))+IF(I854="BAJA(1)",1,IF(I854="MEDIA(2)",2,IF(I854="ALTA(3)",3,0)))</f>
        <v/>
      </c>
      <c r="K854">
        <f>IF(J854="", "", IF(J854&gt;=8,"ALTA",IF(J854&gt;=6,"MEDIA","BAJA")))</f>
        <v/>
      </c>
      <c r="L854">
        <f>IF(INVENTARIO!Y854="","",INVENTARIO!Y854)</f>
        <v/>
      </c>
      <c r="M854">
        <f>IF(INVENTARIO!Z854="","",INVENTARIO!Z854)</f>
        <v/>
      </c>
      <c r="N854">
        <f>IF(INVENTARIO!AA854="","",INVENTARIO!AA854)</f>
        <v/>
      </c>
      <c r="O854">
        <f>IF(INVENTARIO!AB854="","",INVENTARIO!AB854)</f>
        <v/>
      </c>
      <c r="P854">
        <f>IF(INVENTARIO!AC854="","",INVENTARIO!AC854)</f>
        <v/>
      </c>
      <c r="Q854">
        <f>IF(AND(K854="",N854="",L854=""),"",IF(AND((K854="ALTA"),OR(LEFT(N854,2)="L0",LEFT(N854,2)="L1",L854="No Iniciado")),"CRÍTICO - Incumplimiento Normativo SEPS",IF(AND(OR(LEFT(N854,2)="L4",LEFT(N854,2)="L5"),AND(P854&lt;&gt;"",P854&lt;&gt;"N/A")),"CONFORME - Control Efectivo ISO 27001","OBSERVACIÓN - Revisar Controles")))</f>
        <v/>
      </c>
    </row>
    <row r="855">
      <c r="A855">
        <f>IF(INVENTARIO!A855="","",INVENTARIO!A855)</f>
        <v/>
      </c>
      <c r="B855">
        <f>IF(INVENTARIO!E855="","",INVENTARIO!E855)</f>
        <v/>
      </c>
      <c r="C855">
        <f>IF(INVENTARIO!F855="","",INVENTARIO!F855)</f>
        <v/>
      </c>
      <c r="D855">
        <f>IF(INVENTARIO!H855="","",INVENTARIO!H855)</f>
        <v/>
      </c>
      <c r="E855">
        <f>IF(INVENTARIO!I855="","",INVENTARIO!I855)</f>
        <v/>
      </c>
      <c r="F855">
        <f>IF(INVENTARIO!N855="","",INVENTARIO!N855)</f>
        <v/>
      </c>
      <c r="G855">
        <f>IF(INVENTARIO!P855="","",INVENTARIO!P855)</f>
        <v/>
      </c>
      <c r="H855">
        <f>IF(INVENTARIO!Q855="","",INVENTARIO!Q855)</f>
        <v/>
      </c>
      <c r="I855">
        <f>IF(INVENTARIO!R855="","",INVENTARIO!R855)</f>
        <v/>
      </c>
      <c r="J855">
        <f>IF(G855="PUBLICA(1)",1,IF(G855="USO INTERNO(2)",2,IF(G855="RESTRINGIDO(3)",3,0)))+IF(H855="BAJA(1)",1,IF(H855="MEDIA(2)",2,IF(H855="ALTA(3)",3,0)))+IF(I855="BAJA(1)",1,IF(I855="MEDIA(2)",2,IF(I855="ALTA(3)",3,0)))</f>
        <v/>
      </c>
      <c r="K855">
        <f>IF(J855="", "", IF(J855&gt;=8,"ALTA",IF(J855&gt;=6,"MEDIA","BAJA")))</f>
        <v/>
      </c>
      <c r="L855">
        <f>IF(INVENTARIO!Y855="","",INVENTARIO!Y855)</f>
        <v/>
      </c>
      <c r="M855">
        <f>IF(INVENTARIO!Z855="","",INVENTARIO!Z855)</f>
        <v/>
      </c>
      <c r="N855">
        <f>IF(INVENTARIO!AA855="","",INVENTARIO!AA855)</f>
        <v/>
      </c>
      <c r="O855">
        <f>IF(INVENTARIO!AB855="","",INVENTARIO!AB855)</f>
        <v/>
      </c>
      <c r="P855">
        <f>IF(INVENTARIO!AC855="","",INVENTARIO!AC855)</f>
        <v/>
      </c>
      <c r="Q855">
        <f>IF(AND(K855="",N855="",L855=""),"",IF(AND((K855="ALTA"),OR(LEFT(N855,2)="L0",LEFT(N855,2)="L1",L855="No Iniciado")),"CRÍTICO - Incumplimiento Normativo SEPS",IF(AND(OR(LEFT(N855,2)="L4",LEFT(N855,2)="L5"),AND(P855&lt;&gt;"",P855&lt;&gt;"N/A")),"CONFORME - Control Efectivo ISO 27001","OBSERVACIÓN - Revisar Controles")))</f>
        <v/>
      </c>
    </row>
    <row r="856">
      <c r="A856">
        <f>IF(INVENTARIO!A856="","",INVENTARIO!A856)</f>
        <v/>
      </c>
      <c r="B856">
        <f>IF(INVENTARIO!E856="","",INVENTARIO!E856)</f>
        <v/>
      </c>
      <c r="C856">
        <f>IF(INVENTARIO!F856="","",INVENTARIO!F856)</f>
        <v/>
      </c>
      <c r="D856">
        <f>IF(INVENTARIO!H856="","",INVENTARIO!H856)</f>
        <v/>
      </c>
      <c r="E856">
        <f>IF(INVENTARIO!I856="","",INVENTARIO!I856)</f>
        <v/>
      </c>
      <c r="F856">
        <f>IF(INVENTARIO!N856="","",INVENTARIO!N856)</f>
        <v/>
      </c>
      <c r="G856">
        <f>IF(INVENTARIO!P856="","",INVENTARIO!P856)</f>
        <v/>
      </c>
      <c r="H856">
        <f>IF(INVENTARIO!Q856="","",INVENTARIO!Q856)</f>
        <v/>
      </c>
      <c r="I856">
        <f>IF(INVENTARIO!R856="","",INVENTARIO!R856)</f>
        <v/>
      </c>
      <c r="J856">
        <f>IF(G856="PUBLICA(1)",1,IF(G856="USO INTERNO(2)",2,IF(G856="RESTRINGIDO(3)",3,0)))+IF(H856="BAJA(1)",1,IF(H856="MEDIA(2)",2,IF(H856="ALTA(3)",3,0)))+IF(I856="BAJA(1)",1,IF(I856="MEDIA(2)",2,IF(I856="ALTA(3)",3,0)))</f>
        <v/>
      </c>
      <c r="K856">
        <f>IF(J856="", "", IF(J856&gt;=8,"ALTA",IF(J856&gt;=6,"MEDIA","BAJA")))</f>
        <v/>
      </c>
      <c r="L856">
        <f>IF(INVENTARIO!Y856="","",INVENTARIO!Y856)</f>
        <v/>
      </c>
      <c r="M856">
        <f>IF(INVENTARIO!Z856="","",INVENTARIO!Z856)</f>
        <v/>
      </c>
      <c r="N856">
        <f>IF(INVENTARIO!AA856="","",INVENTARIO!AA856)</f>
        <v/>
      </c>
      <c r="O856">
        <f>IF(INVENTARIO!AB856="","",INVENTARIO!AB856)</f>
        <v/>
      </c>
      <c r="P856">
        <f>IF(INVENTARIO!AC856="","",INVENTARIO!AC856)</f>
        <v/>
      </c>
      <c r="Q856">
        <f>IF(AND(K856="",N856="",L856=""),"",IF(AND((K856="ALTA"),OR(LEFT(N856,2)="L0",LEFT(N856,2)="L1",L856="No Iniciado")),"CRÍTICO - Incumplimiento Normativo SEPS",IF(AND(OR(LEFT(N856,2)="L4",LEFT(N856,2)="L5"),AND(P856&lt;&gt;"",P856&lt;&gt;"N/A")),"CONFORME - Control Efectivo ISO 27001","OBSERVACIÓN - Revisar Controles")))</f>
        <v/>
      </c>
    </row>
    <row r="857">
      <c r="A857">
        <f>IF(INVENTARIO!A857="","",INVENTARIO!A857)</f>
        <v/>
      </c>
      <c r="B857">
        <f>IF(INVENTARIO!E857="","",INVENTARIO!E857)</f>
        <v/>
      </c>
      <c r="C857">
        <f>IF(INVENTARIO!F857="","",INVENTARIO!F857)</f>
        <v/>
      </c>
      <c r="D857">
        <f>IF(INVENTARIO!H857="","",INVENTARIO!H857)</f>
        <v/>
      </c>
      <c r="E857">
        <f>IF(INVENTARIO!I857="","",INVENTARIO!I857)</f>
        <v/>
      </c>
      <c r="F857">
        <f>IF(INVENTARIO!N857="","",INVENTARIO!N857)</f>
        <v/>
      </c>
      <c r="G857">
        <f>IF(INVENTARIO!P857="","",INVENTARIO!P857)</f>
        <v/>
      </c>
      <c r="H857">
        <f>IF(INVENTARIO!Q857="","",INVENTARIO!Q857)</f>
        <v/>
      </c>
      <c r="I857">
        <f>IF(INVENTARIO!R857="","",INVENTARIO!R857)</f>
        <v/>
      </c>
      <c r="J857">
        <f>IF(G857="PUBLICA(1)",1,IF(G857="USO INTERNO(2)",2,IF(G857="RESTRINGIDO(3)",3,0)))+IF(H857="BAJA(1)",1,IF(H857="MEDIA(2)",2,IF(H857="ALTA(3)",3,0)))+IF(I857="BAJA(1)",1,IF(I857="MEDIA(2)",2,IF(I857="ALTA(3)",3,0)))</f>
        <v/>
      </c>
      <c r="K857">
        <f>IF(J857="", "", IF(J857&gt;=8,"ALTA",IF(J857&gt;=6,"MEDIA","BAJA")))</f>
        <v/>
      </c>
      <c r="L857">
        <f>IF(INVENTARIO!Y857="","",INVENTARIO!Y857)</f>
        <v/>
      </c>
      <c r="M857">
        <f>IF(INVENTARIO!Z857="","",INVENTARIO!Z857)</f>
        <v/>
      </c>
      <c r="N857">
        <f>IF(INVENTARIO!AA857="","",INVENTARIO!AA857)</f>
        <v/>
      </c>
      <c r="O857">
        <f>IF(INVENTARIO!AB857="","",INVENTARIO!AB857)</f>
        <v/>
      </c>
      <c r="P857">
        <f>IF(INVENTARIO!AC857="","",INVENTARIO!AC857)</f>
        <v/>
      </c>
      <c r="Q857">
        <f>IF(AND(K857="",N857="",L857=""),"",IF(AND((K857="ALTA"),OR(LEFT(N857,2)="L0",LEFT(N857,2)="L1",L857="No Iniciado")),"CRÍTICO - Incumplimiento Normativo SEPS",IF(AND(OR(LEFT(N857,2)="L4",LEFT(N857,2)="L5"),AND(P857&lt;&gt;"",P857&lt;&gt;"N/A")),"CONFORME - Control Efectivo ISO 27001","OBSERVACIÓN - Revisar Controles")))</f>
        <v/>
      </c>
    </row>
    <row r="858">
      <c r="A858">
        <f>IF(INVENTARIO!A858="","",INVENTARIO!A858)</f>
        <v/>
      </c>
      <c r="B858">
        <f>IF(INVENTARIO!E858="","",INVENTARIO!E858)</f>
        <v/>
      </c>
      <c r="C858">
        <f>IF(INVENTARIO!F858="","",INVENTARIO!F858)</f>
        <v/>
      </c>
      <c r="D858">
        <f>IF(INVENTARIO!H858="","",INVENTARIO!H858)</f>
        <v/>
      </c>
      <c r="E858">
        <f>IF(INVENTARIO!I858="","",INVENTARIO!I858)</f>
        <v/>
      </c>
      <c r="F858">
        <f>IF(INVENTARIO!N858="","",INVENTARIO!N858)</f>
        <v/>
      </c>
      <c r="G858">
        <f>IF(INVENTARIO!P858="","",INVENTARIO!P858)</f>
        <v/>
      </c>
      <c r="H858">
        <f>IF(INVENTARIO!Q858="","",INVENTARIO!Q858)</f>
        <v/>
      </c>
      <c r="I858">
        <f>IF(INVENTARIO!R858="","",INVENTARIO!R858)</f>
        <v/>
      </c>
      <c r="J858">
        <f>IF(G858="PUBLICA(1)",1,IF(G858="USO INTERNO(2)",2,IF(G858="RESTRINGIDO(3)",3,0)))+IF(H858="BAJA(1)",1,IF(H858="MEDIA(2)",2,IF(H858="ALTA(3)",3,0)))+IF(I858="BAJA(1)",1,IF(I858="MEDIA(2)",2,IF(I858="ALTA(3)",3,0)))</f>
        <v/>
      </c>
      <c r="K858">
        <f>IF(J858="", "", IF(J858&gt;=8,"ALTA",IF(J858&gt;=6,"MEDIA","BAJA")))</f>
        <v/>
      </c>
      <c r="L858">
        <f>IF(INVENTARIO!Y858="","",INVENTARIO!Y858)</f>
        <v/>
      </c>
      <c r="M858">
        <f>IF(INVENTARIO!Z858="","",INVENTARIO!Z858)</f>
        <v/>
      </c>
      <c r="N858">
        <f>IF(INVENTARIO!AA858="","",INVENTARIO!AA858)</f>
        <v/>
      </c>
      <c r="O858">
        <f>IF(INVENTARIO!AB858="","",INVENTARIO!AB858)</f>
        <v/>
      </c>
      <c r="P858">
        <f>IF(INVENTARIO!AC858="","",INVENTARIO!AC858)</f>
        <v/>
      </c>
      <c r="Q858">
        <f>IF(AND(K858="",N858="",L858=""),"",IF(AND((K858="ALTA"),OR(LEFT(N858,2)="L0",LEFT(N858,2)="L1",L858="No Iniciado")),"CRÍTICO - Incumplimiento Normativo SEPS",IF(AND(OR(LEFT(N858,2)="L4",LEFT(N858,2)="L5"),AND(P858&lt;&gt;"",P858&lt;&gt;"N/A")),"CONFORME - Control Efectivo ISO 27001","OBSERVACIÓN - Revisar Controles")))</f>
        <v/>
      </c>
    </row>
    <row r="859">
      <c r="A859">
        <f>IF(INVENTARIO!A859="","",INVENTARIO!A859)</f>
        <v/>
      </c>
      <c r="B859">
        <f>IF(INVENTARIO!E859="","",INVENTARIO!E859)</f>
        <v/>
      </c>
      <c r="C859">
        <f>IF(INVENTARIO!F859="","",INVENTARIO!F859)</f>
        <v/>
      </c>
      <c r="D859">
        <f>IF(INVENTARIO!H859="","",INVENTARIO!H859)</f>
        <v/>
      </c>
      <c r="E859">
        <f>IF(INVENTARIO!I859="","",INVENTARIO!I859)</f>
        <v/>
      </c>
      <c r="F859">
        <f>IF(INVENTARIO!N859="","",INVENTARIO!N859)</f>
        <v/>
      </c>
      <c r="G859">
        <f>IF(INVENTARIO!P859="","",INVENTARIO!P859)</f>
        <v/>
      </c>
      <c r="H859">
        <f>IF(INVENTARIO!Q859="","",INVENTARIO!Q859)</f>
        <v/>
      </c>
      <c r="I859">
        <f>IF(INVENTARIO!R859="","",INVENTARIO!R859)</f>
        <v/>
      </c>
      <c r="J859">
        <f>IF(G859="PUBLICA(1)",1,IF(G859="USO INTERNO(2)",2,IF(G859="RESTRINGIDO(3)",3,0)))+IF(H859="BAJA(1)",1,IF(H859="MEDIA(2)",2,IF(H859="ALTA(3)",3,0)))+IF(I859="BAJA(1)",1,IF(I859="MEDIA(2)",2,IF(I859="ALTA(3)",3,0)))</f>
        <v/>
      </c>
      <c r="K859">
        <f>IF(J859="", "", IF(J859&gt;=8,"ALTA",IF(J859&gt;=6,"MEDIA","BAJA")))</f>
        <v/>
      </c>
      <c r="L859">
        <f>IF(INVENTARIO!Y859="","",INVENTARIO!Y859)</f>
        <v/>
      </c>
      <c r="M859">
        <f>IF(INVENTARIO!Z859="","",INVENTARIO!Z859)</f>
        <v/>
      </c>
      <c r="N859">
        <f>IF(INVENTARIO!AA859="","",INVENTARIO!AA859)</f>
        <v/>
      </c>
      <c r="O859">
        <f>IF(INVENTARIO!AB859="","",INVENTARIO!AB859)</f>
        <v/>
      </c>
      <c r="P859">
        <f>IF(INVENTARIO!AC859="","",INVENTARIO!AC859)</f>
        <v/>
      </c>
      <c r="Q859">
        <f>IF(AND(K859="",N859="",L859=""),"",IF(AND((K859="ALTA"),OR(LEFT(N859,2)="L0",LEFT(N859,2)="L1",L859="No Iniciado")),"CRÍTICO - Incumplimiento Normativo SEPS",IF(AND(OR(LEFT(N859,2)="L4",LEFT(N859,2)="L5"),AND(P859&lt;&gt;"",P859&lt;&gt;"N/A")),"CONFORME - Control Efectivo ISO 27001","OBSERVACIÓN - Revisar Controles")))</f>
        <v/>
      </c>
    </row>
    <row r="860">
      <c r="A860">
        <f>IF(INVENTARIO!A860="","",INVENTARIO!A860)</f>
        <v/>
      </c>
      <c r="B860">
        <f>IF(INVENTARIO!E860="","",INVENTARIO!E860)</f>
        <v/>
      </c>
      <c r="C860">
        <f>IF(INVENTARIO!F860="","",INVENTARIO!F860)</f>
        <v/>
      </c>
      <c r="D860">
        <f>IF(INVENTARIO!H860="","",INVENTARIO!H860)</f>
        <v/>
      </c>
      <c r="E860">
        <f>IF(INVENTARIO!I860="","",INVENTARIO!I860)</f>
        <v/>
      </c>
      <c r="F860">
        <f>IF(INVENTARIO!N860="","",INVENTARIO!N860)</f>
        <v/>
      </c>
      <c r="G860">
        <f>IF(INVENTARIO!P860="","",INVENTARIO!P860)</f>
        <v/>
      </c>
      <c r="H860">
        <f>IF(INVENTARIO!Q860="","",INVENTARIO!Q860)</f>
        <v/>
      </c>
      <c r="I860">
        <f>IF(INVENTARIO!R860="","",INVENTARIO!R860)</f>
        <v/>
      </c>
      <c r="J860">
        <f>IF(G860="PUBLICA(1)",1,IF(G860="USO INTERNO(2)",2,IF(G860="RESTRINGIDO(3)",3,0)))+IF(H860="BAJA(1)",1,IF(H860="MEDIA(2)",2,IF(H860="ALTA(3)",3,0)))+IF(I860="BAJA(1)",1,IF(I860="MEDIA(2)",2,IF(I860="ALTA(3)",3,0)))</f>
        <v/>
      </c>
      <c r="K860">
        <f>IF(J860="", "", IF(J860&gt;=8,"ALTA",IF(J860&gt;=6,"MEDIA","BAJA")))</f>
        <v/>
      </c>
      <c r="L860">
        <f>IF(INVENTARIO!Y860="","",INVENTARIO!Y860)</f>
        <v/>
      </c>
      <c r="M860">
        <f>IF(INVENTARIO!Z860="","",INVENTARIO!Z860)</f>
        <v/>
      </c>
      <c r="N860">
        <f>IF(INVENTARIO!AA860="","",INVENTARIO!AA860)</f>
        <v/>
      </c>
      <c r="O860">
        <f>IF(INVENTARIO!AB860="","",INVENTARIO!AB860)</f>
        <v/>
      </c>
      <c r="P860">
        <f>IF(INVENTARIO!AC860="","",INVENTARIO!AC860)</f>
        <v/>
      </c>
      <c r="Q860">
        <f>IF(AND(K860="",N860="",L860=""),"",IF(AND((K860="ALTA"),OR(LEFT(N860,2)="L0",LEFT(N860,2)="L1",L860="No Iniciado")),"CRÍTICO - Incumplimiento Normativo SEPS",IF(AND(OR(LEFT(N860,2)="L4",LEFT(N860,2)="L5"),AND(P860&lt;&gt;"",P860&lt;&gt;"N/A")),"CONFORME - Control Efectivo ISO 27001","OBSERVACIÓN - Revisar Controles")))</f>
        <v/>
      </c>
    </row>
    <row r="861">
      <c r="A861">
        <f>IF(INVENTARIO!A861="","",INVENTARIO!A861)</f>
        <v/>
      </c>
      <c r="B861">
        <f>IF(INVENTARIO!E861="","",INVENTARIO!E861)</f>
        <v/>
      </c>
      <c r="C861">
        <f>IF(INVENTARIO!F861="","",INVENTARIO!F861)</f>
        <v/>
      </c>
      <c r="D861">
        <f>IF(INVENTARIO!H861="","",INVENTARIO!H861)</f>
        <v/>
      </c>
      <c r="E861">
        <f>IF(INVENTARIO!I861="","",INVENTARIO!I861)</f>
        <v/>
      </c>
      <c r="F861">
        <f>IF(INVENTARIO!N861="","",INVENTARIO!N861)</f>
        <v/>
      </c>
      <c r="G861">
        <f>IF(INVENTARIO!P861="","",INVENTARIO!P861)</f>
        <v/>
      </c>
      <c r="H861">
        <f>IF(INVENTARIO!Q861="","",INVENTARIO!Q861)</f>
        <v/>
      </c>
      <c r="I861">
        <f>IF(INVENTARIO!R861="","",INVENTARIO!R861)</f>
        <v/>
      </c>
      <c r="J861">
        <f>IF(G861="PUBLICA(1)",1,IF(G861="USO INTERNO(2)",2,IF(G861="RESTRINGIDO(3)",3,0)))+IF(H861="BAJA(1)",1,IF(H861="MEDIA(2)",2,IF(H861="ALTA(3)",3,0)))+IF(I861="BAJA(1)",1,IF(I861="MEDIA(2)",2,IF(I861="ALTA(3)",3,0)))</f>
        <v/>
      </c>
      <c r="K861">
        <f>IF(J861="", "", IF(J861&gt;=8,"ALTA",IF(J861&gt;=6,"MEDIA","BAJA")))</f>
        <v/>
      </c>
      <c r="L861">
        <f>IF(INVENTARIO!Y861="","",INVENTARIO!Y861)</f>
        <v/>
      </c>
      <c r="M861">
        <f>IF(INVENTARIO!Z861="","",INVENTARIO!Z861)</f>
        <v/>
      </c>
      <c r="N861">
        <f>IF(INVENTARIO!AA861="","",INVENTARIO!AA861)</f>
        <v/>
      </c>
      <c r="O861">
        <f>IF(INVENTARIO!AB861="","",INVENTARIO!AB861)</f>
        <v/>
      </c>
      <c r="P861">
        <f>IF(INVENTARIO!AC861="","",INVENTARIO!AC861)</f>
        <v/>
      </c>
      <c r="Q861">
        <f>IF(AND(K861="",N861="",L861=""),"",IF(AND((K861="ALTA"),OR(LEFT(N861,2)="L0",LEFT(N861,2)="L1",L861="No Iniciado")),"CRÍTICO - Incumplimiento Normativo SEPS",IF(AND(OR(LEFT(N861,2)="L4",LEFT(N861,2)="L5"),AND(P861&lt;&gt;"",P861&lt;&gt;"N/A")),"CONFORME - Control Efectivo ISO 27001","OBSERVACIÓN - Revisar Controles")))</f>
        <v/>
      </c>
    </row>
    <row r="862">
      <c r="A862">
        <f>IF(INVENTARIO!A862="","",INVENTARIO!A862)</f>
        <v/>
      </c>
      <c r="B862">
        <f>IF(INVENTARIO!E862="","",INVENTARIO!E862)</f>
        <v/>
      </c>
      <c r="C862">
        <f>IF(INVENTARIO!F862="","",INVENTARIO!F862)</f>
        <v/>
      </c>
      <c r="D862">
        <f>IF(INVENTARIO!H862="","",INVENTARIO!H862)</f>
        <v/>
      </c>
      <c r="E862">
        <f>IF(INVENTARIO!I862="","",INVENTARIO!I862)</f>
        <v/>
      </c>
      <c r="F862">
        <f>IF(INVENTARIO!N862="","",INVENTARIO!N862)</f>
        <v/>
      </c>
      <c r="G862">
        <f>IF(INVENTARIO!P862="","",INVENTARIO!P862)</f>
        <v/>
      </c>
      <c r="H862">
        <f>IF(INVENTARIO!Q862="","",INVENTARIO!Q862)</f>
        <v/>
      </c>
      <c r="I862">
        <f>IF(INVENTARIO!R862="","",INVENTARIO!R862)</f>
        <v/>
      </c>
      <c r="J862">
        <f>IF(G862="PUBLICA(1)",1,IF(G862="USO INTERNO(2)",2,IF(G862="RESTRINGIDO(3)",3,0)))+IF(H862="BAJA(1)",1,IF(H862="MEDIA(2)",2,IF(H862="ALTA(3)",3,0)))+IF(I862="BAJA(1)",1,IF(I862="MEDIA(2)",2,IF(I862="ALTA(3)",3,0)))</f>
        <v/>
      </c>
      <c r="K862">
        <f>IF(J862="", "", IF(J862&gt;=8,"ALTA",IF(J862&gt;=6,"MEDIA","BAJA")))</f>
        <v/>
      </c>
      <c r="L862">
        <f>IF(INVENTARIO!Y862="","",INVENTARIO!Y862)</f>
        <v/>
      </c>
      <c r="M862">
        <f>IF(INVENTARIO!Z862="","",INVENTARIO!Z862)</f>
        <v/>
      </c>
      <c r="N862">
        <f>IF(INVENTARIO!AA862="","",INVENTARIO!AA862)</f>
        <v/>
      </c>
      <c r="O862">
        <f>IF(INVENTARIO!AB862="","",INVENTARIO!AB862)</f>
        <v/>
      </c>
      <c r="P862">
        <f>IF(INVENTARIO!AC862="","",INVENTARIO!AC862)</f>
        <v/>
      </c>
      <c r="Q862">
        <f>IF(AND(K862="",N862="",L862=""),"",IF(AND((K862="ALTA"),OR(LEFT(N862,2)="L0",LEFT(N862,2)="L1",L862="No Iniciado")),"CRÍTICO - Incumplimiento Normativo SEPS",IF(AND(OR(LEFT(N862,2)="L4",LEFT(N862,2)="L5"),AND(P862&lt;&gt;"",P862&lt;&gt;"N/A")),"CONFORME - Control Efectivo ISO 27001","OBSERVACIÓN - Revisar Controles")))</f>
        <v/>
      </c>
    </row>
    <row r="863">
      <c r="A863">
        <f>IF(INVENTARIO!A863="","",INVENTARIO!A863)</f>
        <v/>
      </c>
      <c r="B863">
        <f>IF(INVENTARIO!E863="","",INVENTARIO!E863)</f>
        <v/>
      </c>
      <c r="C863">
        <f>IF(INVENTARIO!F863="","",INVENTARIO!F863)</f>
        <v/>
      </c>
      <c r="D863">
        <f>IF(INVENTARIO!H863="","",INVENTARIO!H863)</f>
        <v/>
      </c>
      <c r="E863">
        <f>IF(INVENTARIO!I863="","",INVENTARIO!I863)</f>
        <v/>
      </c>
      <c r="F863">
        <f>IF(INVENTARIO!N863="","",INVENTARIO!N863)</f>
        <v/>
      </c>
      <c r="G863">
        <f>IF(INVENTARIO!P863="","",INVENTARIO!P863)</f>
        <v/>
      </c>
      <c r="H863">
        <f>IF(INVENTARIO!Q863="","",INVENTARIO!Q863)</f>
        <v/>
      </c>
      <c r="I863">
        <f>IF(INVENTARIO!R863="","",INVENTARIO!R863)</f>
        <v/>
      </c>
      <c r="J863">
        <f>IF(G863="PUBLICA(1)",1,IF(G863="USO INTERNO(2)",2,IF(G863="RESTRINGIDO(3)",3,0)))+IF(H863="BAJA(1)",1,IF(H863="MEDIA(2)",2,IF(H863="ALTA(3)",3,0)))+IF(I863="BAJA(1)",1,IF(I863="MEDIA(2)",2,IF(I863="ALTA(3)",3,0)))</f>
        <v/>
      </c>
      <c r="K863">
        <f>IF(J863="", "", IF(J863&gt;=8,"ALTA",IF(J863&gt;=6,"MEDIA","BAJA")))</f>
        <v/>
      </c>
      <c r="L863">
        <f>IF(INVENTARIO!Y863="","",INVENTARIO!Y863)</f>
        <v/>
      </c>
      <c r="M863">
        <f>IF(INVENTARIO!Z863="","",INVENTARIO!Z863)</f>
        <v/>
      </c>
      <c r="N863">
        <f>IF(INVENTARIO!AA863="","",INVENTARIO!AA863)</f>
        <v/>
      </c>
      <c r="O863">
        <f>IF(INVENTARIO!AB863="","",INVENTARIO!AB863)</f>
        <v/>
      </c>
      <c r="P863">
        <f>IF(INVENTARIO!AC863="","",INVENTARIO!AC863)</f>
        <v/>
      </c>
      <c r="Q863">
        <f>IF(AND(K863="",N863="",L863=""),"",IF(AND((K863="ALTA"),OR(LEFT(N863,2)="L0",LEFT(N863,2)="L1",L863="No Iniciado")),"CRÍTICO - Incumplimiento Normativo SEPS",IF(AND(OR(LEFT(N863,2)="L4",LEFT(N863,2)="L5"),AND(P863&lt;&gt;"",P863&lt;&gt;"N/A")),"CONFORME - Control Efectivo ISO 27001","OBSERVACIÓN - Revisar Controles")))</f>
        <v/>
      </c>
    </row>
    <row r="864">
      <c r="A864">
        <f>IF(INVENTARIO!A864="","",INVENTARIO!A864)</f>
        <v/>
      </c>
      <c r="B864">
        <f>IF(INVENTARIO!E864="","",INVENTARIO!E864)</f>
        <v/>
      </c>
      <c r="C864">
        <f>IF(INVENTARIO!F864="","",INVENTARIO!F864)</f>
        <v/>
      </c>
      <c r="D864">
        <f>IF(INVENTARIO!H864="","",INVENTARIO!H864)</f>
        <v/>
      </c>
      <c r="E864">
        <f>IF(INVENTARIO!I864="","",INVENTARIO!I864)</f>
        <v/>
      </c>
      <c r="F864">
        <f>IF(INVENTARIO!N864="","",INVENTARIO!N864)</f>
        <v/>
      </c>
      <c r="G864">
        <f>IF(INVENTARIO!P864="","",INVENTARIO!P864)</f>
        <v/>
      </c>
      <c r="H864">
        <f>IF(INVENTARIO!Q864="","",INVENTARIO!Q864)</f>
        <v/>
      </c>
      <c r="I864">
        <f>IF(INVENTARIO!R864="","",INVENTARIO!R864)</f>
        <v/>
      </c>
      <c r="J864">
        <f>IF(G864="PUBLICA(1)",1,IF(G864="USO INTERNO(2)",2,IF(G864="RESTRINGIDO(3)",3,0)))+IF(H864="BAJA(1)",1,IF(H864="MEDIA(2)",2,IF(H864="ALTA(3)",3,0)))+IF(I864="BAJA(1)",1,IF(I864="MEDIA(2)",2,IF(I864="ALTA(3)",3,0)))</f>
        <v/>
      </c>
      <c r="K864">
        <f>IF(J864="", "", IF(J864&gt;=8,"ALTA",IF(J864&gt;=6,"MEDIA","BAJA")))</f>
        <v/>
      </c>
      <c r="L864">
        <f>IF(INVENTARIO!Y864="","",INVENTARIO!Y864)</f>
        <v/>
      </c>
      <c r="M864">
        <f>IF(INVENTARIO!Z864="","",INVENTARIO!Z864)</f>
        <v/>
      </c>
      <c r="N864">
        <f>IF(INVENTARIO!AA864="","",INVENTARIO!AA864)</f>
        <v/>
      </c>
      <c r="O864">
        <f>IF(INVENTARIO!AB864="","",INVENTARIO!AB864)</f>
        <v/>
      </c>
      <c r="P864">
        <f>IF(INVENTARIO!AC864="","",INVENTARIO!AC864)</f>
        <v/>
      </c>
      <c r="Q864">
        <f>IF(AND(K864="",N864="",L864=""),"",IF(AND((K864="ALTA"),OR(LEFT(N864,2)="L0",LEFT(N864,2)="L1",L864="No Iniciado")),"CRÍTICO - Incumplimiento Normativo SEPS",IF(AND(OR(LEFT(N864,2)="L4",LEFT(N864,2)="L5"),AND(P864&lt;&gt;"",P864&lt;&gt;"N/A")),"CONFORME - Control Efectivo ISO 27001","OBSERVACIÓN - Revisar Controles")))</f>
        <v/>
      </c>
    </row>
    <row r="865">
      <c r="A865">
        <f>IF(INVENTARIO!A865="","",INVENTARIO!A865)</f>
        <v/>
      </c>
      <c r="B865">
        <f>IF(INVENTARIO!E865="","",INVENTARIO!E865)</f>
        <v/>
      </c>
      <c r="C865">
        <f>IF(INVENTARIO!F865="","",INVENTARIO!F865)</f>
        <v/>
      </c>
      <c r="D865">
        <f>IF(INVENTARIO!H865="","",INVENTARIO!H865)</f>
        <v/>
      </c>
      <c r="E865">
        <f>IF(INVENTARIO!I865="","",INVENTARIO!I865)</f>
        <v/>
      </c>
      <c r="F865">
        <f>IF(INVENTARIO!N865="","",INVENTARIO!N865)</f>
        <v/>
      </c>
      <c r="G865">
        <f>IF(INVENTARIO!P865="","",INVENTARIO!P865)</f>
        <v/>
      </c>
      <c r="H865">
        <f>IF(INVENTARIO!Q865="","",INVENTARIO!Q865)</f>
        <v/>
      </c>
      <c r="I865">
        <f>IF(INVENTARIO!R865="","",INVENTARIO!R865)</f>
        <v/>
      </c>
      <c r="J865">
        <f>IF(G865="PUBLICA(1)",1,IF(G865="USO INTERNO(2)",2,IF(G865="RESTRINGIDO(3)",3,0)))+IF(H865="BAJA(1)",1,IF(H865="MEDIA(2)",2,IF(H865="ALTA(3)",3,0)))+IF(I865="BAJA(1)",1,IF(I865="MEDIA(2)",2,IF(I865="ALTA(3)",3,0)))</f>
        <v/>
      </c>
      <c r="K865">
        <f>IF(J865="", "", IF(J865&gt;=8,"ALTA",IF(J865&gt;=6,"MEDIA","BAJA")))</f>
        <v/>
      </c>
      <c r="L865">
        <f>IF(INVENTARIO!Y865="","",INVENTARIO!Y865)</f>
        <v/>
      </c>
      <c r="M865">
        <f>IF(INVENTARIO!Z865="","",INVENTARIO!Z865)</f>
        <v/>
      </c>
      <c r="N865">
        <f>IF(INVENTARIO!AA865="","",INVENTARIO!AA865)</f>
        <v/>
      </c>
      <c r="O865">
        <f>IF(INVENTARIO!AB865="","",INVENTARIO!AB865)</f>
        <v/>
      </c>
      <c r="P865">
        <f>IF(INVENTARIO!AC865="","",INVENTARIO!AC865)</f>
        <v/>
      </c>
      <c r="Q865">
        <f>IF(AND(K865="",N865="",L865=""),"",IF(AND((K865="ALTA"),OR(LEFT(N865,2)="L0",LEFT(N865,2)="L1",L865="No Iniciado")),"CRÍTICO - Incumplimiento Normativo SEPS",IF(AND(OR(LEFT(N865,2)="L4",LEFT(N865,2)="L5"),AND(P865&lt;&gt;"",P865&lt;&gt;"N/A")),"CONFORME - Control Efectivo ISO 27001","OBSERVACIÓN - Revisar Controles")))</f>
        <v/>
      </c>
    </row>
    <row r="866">
      <c r="A866">
        <f>IF(INVENTARIO!A866="","",INVENTARIO!A866)</f>
        <v/>
      </c>
      <c r="B866">
        <f>IF(INVENTARIO!E866="","",INVENTARIO!E866)</f>
        <v/>
      </c>
      <c r="C866">
        <f>IF(INVENTARIO!F866="","",INVENTARIO!F866)</f>
        <v/>
      </c>
      <c r="D866">
        <f>IF(INVENTARIO!H866="","",INVENTARIO!H866)</f>
        <v/>
      </c>
      <c r="E866">
        <f>IF(INVENTARIO!I866="","",INVENTARIO!I866)</f>
        <v/>
      </c>
      <c r="F866">
        <f>IF(INVENTARIO!N866="","",INVENTARIO!N866)</f>
        <v/>
      </c>
      <c r="G866">
        <f>IF(INVENTARIO!P866="","",INVENTARIO!P866)</f>
        <v/>
      </c>
      <c r="H866">
        <f>IF(INVENTARIO!Q866="","",INVENTARIO!Q866)</f>
        <v/>
      </c>
      <c r="I866">
        <f>IF(INVENTARIO!R866="","",INVENTARIO!R866)</f>
        <v/>
      </c>
      <c r="J866">
        <f>IF(G866="PUBLICA(1)",1,IF(G866="USO INTERNO(2)",2,IF(G866="RESTRINGIDO(3)",3,0)))+IF(H866="BAJA(1)",1,IF(H866="MEDIA(2)",2,IF(H866="ALTA(3)",3,0)))+IF(I866="BAJA(1)",1,IF(I866="MEDIA(2)",2,IF(I866="ALTA(3)",3,0)))</f>
        <v/>
      </c>
      <c r="K866">
        <f>IF(J866="", "", IF(J866&gt;=8,"ALTA",IF(J866&gt;=6,"MEDIA","BAJA")))</f>
        <v/>
      </c>
      <c r="L866">
        <f>IF(INVENTARIO!Y866="","",INVENTARIO!Y866)</f>
        <v/>
      </c>
      <c r="M866">
        <f>IF(INVENTARIO!Z866="","",INVENTARIO!Z866)</f>
        <v/>
      </c>
      <c r="N866">
        <f>IF(INVENTARIO!AA866="","",INVENTARIO!AA866)</f>
        <v/>
      </c>
      <c r="O866">
        <f>IF(INVENTARIO!AB866="","",INVENTARIO!AB866)</f>
        <v/>
      </c>
      <c r="P866">
        <f>IF(INVENTARIO!AC866="","",INVENTARIO!AC866)</f>
        <v/>
      </c>
      <c r="Q866">
        <f>IF(AND(K866="",N866="",L866=""),"",IF(AND((K866="ALTA"),OR(LEFT(N866,2)="L0",LEFT(N866,2)="L1",L866="No Iniciado")),"CRÍTICO - Incumplimiento Normativo SEPS",IF(AND(OR(LEFT(N866,2)="L4",LEFT(N866,2)="L5"),AND(P866&lt;&gt;"",P866&lt;&gt;"N/A")),"CONFORME - Control Efectivo ISO 27001","OBSERVACIÓN - Revisar Controles")))</f>
        <v/>
      </c>
    </row>
    <row r="867">
      <c r="A867">
        <f>IF(INVENTARIO!A867="","",INVENTARIO!A867)</f>
        <v/>
      </c>
      <c r="B867">
        <f>IF(INVENTARIO!E867="","",INVENTARIO!E867)</f>
        <v/>
      </c>
      <c r="C867">
        <f>IF(INVENTARIO!F867="","",INVENTARIO!F867)</f>
        <v/>
      </c>
      <c r="D867">
        <f>IF(INVENTARIO!H867="","",INVENTARIO!H867)</f>
        <v/>
      </c>
      <c r="E867">
        <f>IF(INVENTARIO!I867="","",INVENTARIO!I867)</f>
        <v/>
      </c>
      <c r="F867">
        <f>IF(INVENTARIO!N867="","",INVENTARIO!N867)</f>
        <v/>
      </c>
      <c r="G867">
        <f>IF(INVENTARIO!P867="","",INVENTARIO!P867)</f>
        <v/>
      </c>
      <c r="H867">
        <f>IF(INVENTARIO!Q867="","",INVENTARIO!Q867)</f>
        <v/>
      </c>
      <c r="I867">
        <f>IF(INVENTARIO!R867="","",INVENTARIO!R867)</f>
        <v/>
      </c>
      <c r="J867">
        <f>IF(G867="PUBLICA(1)",1,IF(G867="USO INTERNO(2)",2,IF(G867="RESTRINGIDO(3)",3,0)))+IF(H867="BAJA(1)",1,IF(H867="MEDIA(2)",2,IF(H867="ALTA(3)",3,0)))+IF(I867="BAJA(1)",1,IF(I867="MEDIA(2)",2,IF(I867="ALTA(3)",3,0)))</f>
        <v/>
      </c>
      <c r="K867">
        <f>IF(J867="", "", IF(J867&gt;=8,"ALTA",IF(J867&gt;=6,"MEDIA","BAJA")))</f>
        <v/>
      </c>
      <c r="L867">
        <f>IF(INVENTARIO!Y867="","",INVENTARIO!Y867)</f>
        <v/>
      </c>
      <c r="M867">
        <f>IF(INVENTARIO!Z867="","",INVENTARIO!Z867)</f>
        <v/>
      </c>
      <c r="N867">
        <f>IF(INVENTARIO!AA867="","",INVENTARIO!AA867)</f>
        <v/>
      </c>
      <c r="O867">
        <f>IF(INVENTARIO!AB867="","",INVENTARIO!AB867)</f>
        <v/>
      </c>
      <c r="P867">
        <f>IF(INVENTARIO!AC867="","",INVENTARIO!AC867)</f>
        <v/>
      </c>
      <c r="Q867">
        <f>IF(AND(K867="",N867="",L867=""),"",IF(AND((K867="ALTA"),OR(LEFT(N867,2)="L0",LEFT(N867,2)="L1",L867="No Iniciado")),"CRÍTICO - Incumplimiento Normativo SEPS",IF(AND(OR(LEFT(N867,2)="L4",LEFT(N867,2)="L5"),AND(P867&lt;&gt;"",P867&lt;&gt;"N/A")),"CONFORME - Control Efectivo ISO 27001","OBSERVACIÓN - Revisar Controles")))</f>
        <v/>
      </c>
    </row>
    <row r="868">
      <c r="A868">
        <f>IF(INVENTARIO!A868="","",INVENTARIO!A868)</f>
        <v/>
      </c>
      <c r="B868">
        <f>IF(INVENTARIO!E868="","",INVENTARIO!E868)</f>
        <v/>
      </c>
      <c r="C868">
        <f>IF(INVENTARIO!F868="","",INVENTARIO!F868)</f>
        <v/>
      </c>
      <c r="D868">
        <f>IF(INVENTARIO!H868="","",INVENTARIO!H868)</f>
        <v/>
      </c>
      <c r="E868">
        <f>IF(INVENTARIO!I868="","",INVENTARIO!I868)</f>
        <v/>
      </c>
      <c r="F868">
        <f>IF(INVENTARIO!N868="","",INVENTARIO!N868)</f>
        <v/>
      </c>
      <c r="G868">
        <f>IF(INVENTARIO!P868="","",INVENTARIO!P868)</f>
        <v/>
      </c>
      <c r="H868">
        <f>IF(INVENTARIO!Q868="","",INVENTARIO!Q868)</f>
        <v/>
      </c>
      <c r="I868">
        <f>IF(INVENTARIO!R868="","",INVENTARIO!R868)</f>
        <v/>
      </c>
      <c r="J868">
        <f>IF(G868="PUBLICA(1)",1,IF(G868="USO INTERNO(2)",2,IF(G868="RESTRINGIDO(3)",3,0)))+IF(H868="BAJA(1)",1,IF(H868="MEDIA(2)",2,IF(H868="ALTA(3)",3,0)))+IF(I868="BAJA(1)",1,IF(I868="MEDIA(2)",2,IF(I868="ALTA(3)",3,0)))</f>
        <v/>
      </c>
      <c r="K868">
        <f>IF(J868="", "", IF(J868&gt;=8,"ALTA",IF(J868&gt;=6,"MEDIA","BAJA")))</f>
        <v/>
      </c>
      <c r="L868">
        <f>IF(INVENTARIO!Y868="","",INVENTARIO!Y868)</f>
        <v/>
      </c>
      <c r="M868">
        <f>IF(INVENTARIO!Z868="","",INVENTARIO!Z868)</f>
        <v/>
      </c>
      <c r="N868">
        <f>IF(INVENTARIO!AA868="","",INVENTARIO!AA868)</f>
        <v/>
      </c>
      <c r="O868">
        <f>IF(INVENTARIO!AB868="","",INVENTARIO!AB868)</f>
        <v/>
      </c>
      <c r="P868">
        <f>IF(INVENTARIO!AC868="","",INVENTARIO!AC868)</f>
        <v/>
      </c>
      <c r="Q868">
        <f>IF(AND(K868="",N868="",L868=""),"",IF(AND((K868="ALTA"),OR(LEFT(N868,2)="L0",LEFT(N868,2)="L1",L868="No Iniciado")),"CRÍTICO - Incumplimiento Normativo SEPS",IF(AND(OR(LEFT(N868,2)="L4",LEFT(N868,2)="L5"),AND(P868&lt;&gt;"",P868&lt;&gt;"N/A")),"CONFORME - Control Efectivo ISO 27001","OBSERVACIÓN - Revisar Controles")))</f>
        <v/>
      </c>
    </row>
    <row r="869">
      <c r="A869">
        <f>IF(INVENTARIO!A869="","",INVENTARIO!A869)</f>
        <v/>
      </c>
      <c r="B869">
        <f>IF(INVENTARIO!E869="","",INVENTARIO!E869)</f>
        <v/>
      </c>
      <c r="C869">
        <f>IF(INVENTARIO!F869="","",INVENTARIO!F869)</f>
        <v/>
      </c>
      <c r="D869">
        <f>IF(INVENTARIO!H869="","",INVENTARIO!H869)</f>
        <v/>
      </c>
      <c r="E869">
        <f>IF(INVENTARIO!I869="","",INVENTARIO!I869)</f>
        <v/>
      </c>
      <c r="F869">
        <f>IF(INVENTARIO!N869="","",INVENTARIO!N869)</f>
        <v/>
      </c>
      <c r="G869">
        <f>IF(INVENTARIO!P869="","",INVENTARIO!P869)</f>
        <v/>
      </c>
      <c r="H869">
        <f>IF(INVENTARIO!Q869="","",INVENTARIO!Q869)</f>
        <v/>
      </c>
      <c r="I869">
        <f>IF(INVENTARIO!R869="","",INVENTARIO!R869)</f>
        <v/>
      </c>
      <c r="J869">
        <f>IF(G869="PUBLICA(1)",1,IF(G869="USO INTERNO(2)",2,IF(G869="RESTRINGIDO(3)",3,0)))+IF(H869="BAJA(1)",1,IF(H869="MEDIA(2)",2,IF(H869="ALTA(3)",3,0)))+IF(I869="BAJA(1)",1,IF(I869="MEDIA(2)",2,IF(I869="ALTA(3)",3,0)))</f>
        <v/>
      </c>
      <c r="K869">
        <f>IF(J869="", "", IF(J869&gt;=8,"ALTA",IF(J869&gt;=6,"MEDIA","BAJA")))</f>
        <v/>
      </c>
      <c r="L869">
        <f>IF(INVENTARIO!Y869="","",INVENTARIO!Y869)</f>
        <v/>
      </c>
      <c r="M869">
        <f>IF(INVENTARIO!Z869="","",INVENTARIO!Z869)</f>
        <v/>
      </c>
      <c r="N869">
        <f>IF(INVENTARIO!AA869="","",INVENTARIO!AA869)</f>
        <v/>
      </c>
      <c r="O869">
        <f>IF(INVENTARIO!AB869="","",INVENTARIO!AB869)</f>
        <v/>
      </c>
      <c r="P869">
        <f>IF(INVENTARIO!AC869="","",INVENTARIO!AC869)</f>
        <v/>
      </c>
      <c r="Q869">
        <f>IF(AND(K869="",N869="",L869=""),"",IF(AND((K869="ALTA"),OR(LEFT(N869,2)="L0",LEFT(N869,2)="L1",L869="No Iniciado")),"CRÍTICO - Incumplimiento Normativo SEPS",IF(AND(OR(LEFT(N869,2)="L4",LEFT(N869,2)="L5"),AND(P869&lt;&gt;"",P869&lt;&gt;"N/A")),"CONFORME - Control Efectivo ISO 27001","OBSERVACIÓN - Revisar Controles")))</f>
        <v/>
      </c>
    </row>
    <row r="870">
      <c r="A870">
        <f>IF(INVENTARIO!A870="","",INVENTARIO!A870)</f>
        <v/>
      </c>
      <c r="B870">
        <f>IF(INVENTARIO!E870="","",INVENTARIO!E870)</f>
        <v/>
      </c>
      <c r="C870">
        <f>IF(INVENTARIO!F870="","",INVENTARIO!F870)</f>
        <v/>
      </c>
      <c r="D870">
        <f>IF(INVENTARIO!H870="","",INVENTARIO!H870)</f>
        <v/>
      </c>
      <c r="E870">
        <f>IF(INVENTARIO!I870="","",INVENTARIO!I870)</f>
        <v/>
      </c>
      <c r="F870">
        <f>IF(INVENTARIO!N870="","",INVENTARIO!N870)</f>
        <v/>
      </c>
      <c r="G870">
        <f>IF(INVENTARIO!P870="","",INVENTARIO!P870)</f>
        <v/>
      </c>
      <c r="H870">
        <f>IF(INVENTARIO!Q870="","",INVENTARIO!Q870)</f>
        <v/>
      </c>
      <c r="I870">
        <f>IF(INVENTARIO!R870="","",INVENTARIO!R870)</f>
        <v/>
      </c>
      <c r="J870">
        <f>IF(G870="PUBLICA(1)",1,IF(G870="USO INTERNO(2)",2,IF(G870="RESTRINGIDO(3)",3,0)))+IF(H870="BAJA(1)",1,IF(H870="MEDIA(2)",2,IF(H870="ALTA(3)",3,0)))+IF(I870="BAJA(1)",1,IF(I870="MEDIA(2)",2,IF(I870="ALTA(3)",3,0)))</f>
        <v/>
      </c>
      <c r="K870">
        <f>IF(J870="", "", IF(J870&gt;=8,"ALTA",IF(J870&gt;=6,"MEDIA","BAJA")))</f>
        <v/>
      </c>
      <c r="L870">
        <f>IF(INVENTARIO!Y870="","",INVENTARIO!Y870)</f>
        <v/>
      </c>
      <c r="M870">
        <f>IF(INVENTARIO!Z870="","",INVENTARIO!Z870)</f>
        <v/>
      </c>
      <c r="N870">
        <f>IF(INVENTARIO!AA870="","",INVENTARIO!AA870)</f>
        <v/>
      </c>
      <c r="O870">
        <f>IF(INVENTARIO!AB870="","",INVENTARIO!AB870)</f>
        <v/>
      </c>
      <c r="P870">
        <f>IF(INVENTARIO!AC870="","",INVENTARIO!AC870)</f>
        <v/>
      </c>
      <c r="Q870">
        <f>IF(AND(K870="",N870="",L870=""),"",IF(AND((K870="ALTA"),OR(LEFT(N870,2)="L0",LEFT(N870,2)="L1",L870="No Iniciado")),"CRÍTICO - Incumplimiento Normativo SEPS",IF(AND(OR(LEFT(N870,2)="L4",LEFT(N870,2)="L5"),AND(P870&lt;&gt;"",P870&lt;&gt;"N/A")),"CONFORME - Control Efectivo ISO 27001","OBSERVACIÓN - Revisar Controles")))</f>
        <v/>
      </c>
    </row>
    <row r="871">
      <c r="A871">
        <f>IF(INVENTARIO!A871="","",INVENTARIO!A871)</f>
        <v/>
      </c>
      <c r="B871">
        <f>IF(INVENTARIO!E871="","",INVENTARIO!E871)</f>
        <v/>
      </c>
      <c r="C871">
        <f>IF(INVENTARIO!F871="","",INVENTARIO!F871)</f>
        <v/>
      </c>
      <c r="D871">
        <f>IF(INVENTARIO!H871="","",INVENTARIO!H871)</f>
        <v/>
      </c>
      <c r="E871">
        <f>IF(INVENTARIO!I871="","",INVENTARIO!I871)</f>
        <v/>
      </c>
      <c r="F871">
        <f>IF(INVENTARIO!N871="","",INVENTARIO!N871)</f>
        <v/>
      </c>
      <c r="G871">
        <f>IF(INVENTARIO!P871="","",INVENTARIO!P871)</f>
        <v/>
      </c>
      <c r="H871">
        <f>IF(INVENTARIO!Q871="","",INVENTARIO!Q871)</f>
        <v/>
      </c>
      <c r="I871">
        <f>IF(INVENTARIO!R871="","",INVENTARIO!R871)</f>
        <v/>
      </c>
      <c r="J871">
        <f>IF(G871="PUBLICA(1)",1,IF(G871="USO INTERNO(2)",2,IF(G871="RESTRINGIDO(3)",3,0)))+IF(H871="BAJA(1)",1,IF(H871="MEDIA(2)",2,IF(H871="ALTA(3)",3,0)))+IF(I871="BAJA(1)",1,IF(I871="MEDIA(2)",2,IF(I871="ALTA(3)",3,0)))</f>
        <v/>
      </c>
      <c r="K871">
        <f>IF(J871="", "", IF(J871&gt;=8,"ALTA",IF(J871&gt;=6,"MEDIA","BAJA")))</f>
        <v/>
      </c>
      <c r="L871">
        <f>IF(INVENTARIO!Y871="","",INVENTARIO!Y871)</f>
        <v/>
      </c>
      <c r="M871">
        <f>IF(INVENTARIO!Z871="","",INVENTARIO!Z871)</f>
        <v/>
      </c>
      <c r="N871">
        <f>IF(INVENTARIO!AA871="","",INVENTARIO!AA871)</f>
        <v/>
      </c>
      <c r="O871">
        <f>IF(INVENTARIO!AB871="","",INVENTARIO!AB871)</f>
        <v/>
      </c>
      <c r="P871">
        <f>IF(INVENTARIO!AC871="","",INVENTARIO!AC871)</f>
        <v/>
      </c>
      <c r="Q871">
        <f>IF(AND(K871="",N871="",L871=""),"",IF(AND((K871="ALTA"),OR(LEFT(N871,2)="L0",LEFT(N871,2)="L1",L871="No Iniciado")),"CRÍTICO - Incumplimiento Normativo SEPS",IF(AND(OR(LEFT(N871,2)="L4",LEFT(N871,2)="L5"),AND(P871&lt;&gt;"",P871&lt;&gt;"N/A")),"CONFORME - Control Efectivo ISO 27001","OBSERVACIÓN - Revisar Controles")))</f>
        <v/>
      </c>
    </row>
    <row r="872">
      <c r="A872">
        <f>IF(INVENTARIO!A872="","",INVENTARIO!A872)</f>
        <v/>
      </c>
      <c r="B872">
        <f>IF(INVENTARIO!E872="","",INVENTARIO!E872)</f>
        <v/>
      </c>
      <c r="C872">
        <f>IF(INVENTARIO!F872="","",INVENTARIO!F872)</f>
        <v/>
      </c>
      <c r="D872">
        <f>IF(INVENTARIO!H872="","",INVENTARIO!H872)</f>
        <v/>
      </c>
      <c r="E872">
        <f>IF(INVENTARIO!I872="","",INVENTARIO!I872)</f>
        <v/>
      </c>
      <c r="F872">
        <f>IF(INVENTARIO!N872="","",INVENTARIO!N872)</f>
        <v/>
      </c>
      <c r="G872">
        <f>IF(INVENTARIO!P872="","",INVENTARIO!P872)</f>
        <v/>
      </c>
      <c r="H872">
        <f>IF(INVENTARIO!Q872="","",INVENTARIO!Q872)</f>
        <v/>
      </c>
      <c r="I872">
        <f>IF(INVENTARIO!R872="","",INVENTARIO!R872)</f>
        <v/>
      </c>
      <c r="J872">
        <f>IF(G872="PUBLICA(1)",1,IF(G872="USO INTERNO(2)",2,IF(G872="RESTRINGIDO(3)",3,0)))+IF(H872="BAJA(1)",1,IF(H872="MEDIA(2)",2,IF(H872="ALTA(3)",3,0)))+IF(I872="BAJA(1)",1,IF(I872="MEDIA(2)",2,IF(I872="ALTA(3)",3,0)))</f>
        <v/>
      </c>
      <c r="K872">
        <f>IF(J872="", "", IF(J872&gt;=8,"ALTA",IF(J872&gt;=6,"MEDIA","BAJA")))</f>
        <v/>
      </c>
      <c r="L872">
        <f>IF(INVENTARIO!Y872="","",INVENTARIO!Y872)</f>
        <v/>
      </c>
      <c r="M872">
        <f>IF(INVENTARIO!Z872="","",INVENTARIO!Z872)</f>
        <v/>
      </c>
      <c r="N872">
        <f>IF(INVENTARIO!AA872="","",INVENTARIO!AA872)</f>
        <v/>
      </c>
      <c r="O872">
        <f>IF(INVENTARIO!AB872="","",INVENTARIO!AB872)</f>
        <v/>
      </c>
      <c r="P872">
        <f>IF(INVENTARIO!AC872="","",INVENTARIO!AC872)</f>
        <v/>
      </c>
      <c r="Q872">
        <f>IF(AND(K872="",N872="",L872=""),"",IF(AND((K872="ALTA"),OR(LEFT(N872,2)="L0",LEFT(N872,2)="L1",L872="No Iniciado")),"CRÍTICO - Incumplimiento Normativo SEPS",IF(AND(OR(LEFT(N872,2)="L4",LEFT(N872,2)="L5"),AND(P872&lt;&gt;"",P872&lt;&gt;"N/A")),"CONFORME - Control Efectivo ISO 27001","OBSERVACIÓN - Revisar Controles")))</f>
        <v/>
      </c>
    </row>
    <row r="873">
      <c r="A873">
        <f>IF(INVENTARIO!A873="","",INVENTARIO!A873)</f>
        <v/>
      </c>
      <c r="B873">
        <f>IF(INVENTARIO!E873="","",INVENTARIO!E873)</f>
        <v/>
      </c>
      <c r="C873">
        <f>IF(INVENTARIO!F873="","",INVENTARIO!F873)</f>
        <v/>
      </c>
      <c r="D873">
        <f>IF(INVENTARIO!H873="","",INVENTARIO!H873)</f>
        <v/>
      </c>
      <c r="E873">
        <f>IF(INVENTARIO!I873="","",INVENTARIO!I873)</f>
        <v/>
      </c>
      <c r="F873">
        <f>IF(INVENTARIO!N873="","",INVENTARIO!N873)</f>
        <v/>
      </c>
      <c r="G873">
        <f>IF(INVENTARIO!P873="","",INVENTARIO!P873)</f>
        <v/>
      </c>
      <c r="H873">
        <f>IF(INVENTARIO!Q873="","",INVENTARIO!Q873)</f>
        <v/>
      </c>
      <c r="I873">
        <f>IF(INVENTARIO!R873="","",INVENTARIO!R873)</f>
        <v/>
      </c>
      <c r="J873">
        <f>IF(G873="PUBLICA(1)",1,IF(G873="USO INTERNO(2)",2,IF(G873="RESTRINGIDO(3)",3,0)))+IF(H873="BAJA(1)",1,IF(H873="MEDIA(2)",2,IF(H873="ALTA(3)",3,0)))+IF(I873="BAJA(1)",1,IF(I873="MEDIA(2)",2,IF(I873="ALTA(3)",3,0)))</f>
        <v/>
      </c>
      <c r="K873">
        <f>IF(J873="", "", IF(J873&gt;=8,"ALTA",IF(J873&gt;=6,"MEDIA","BAJA")))</f>
        <v/>
      </c>
      <c r="L873">
        <f>IF(INVENTARIO!Y873="","",INVENTARIO!Y873)</f>
        <v/>
      </c>
      <c r="M873">
        <f>IF(INVENTARIO!Z873="","",INVENTARIO!Z873)</f>
        <v/>
      </c>
      <c r="N873">
        <f>IF(INVENTARIO!AA873="","",INVENTARIO!AA873)</f>
        <v/>
      </c>
      <c r="O873">
        <f>IF(INVENTARIO!AB873="","",INVENTARIO!AB873)</f>
        <v/>
      </c>
      <c r="P873">
        <f>IF(INVENTARIO!AC873="","",INVENTARIO!AC873)</f>
        <v/>
      </c>
      <c r="Q873">
        <f>IF(AND(K873="",N873="",L873=""),"",IF(AND((K873="ALTA"),OR(LEFT(N873,2)="L0",LEFT(N873,2)="L1",L873="No Iniciado")),"CRÍTICO - Incumplimiento Normativo SEPS",IF(AND(OR(LEFT(N873,2)="L4",LEFT(N873,2)="L5"),AND(P873&lt;&gt;"",P873&lt;&gt;"N/A")),"CONFORME - Control Efectivo ISO 27001","OBSERVACIÓN - Revisar Controles")))</f>
        <v/>
      </c>
    </row>
    <row r="874">
      <c r="A874">
        <f>IF(INVENTARIO!A874="","",INVENTARIO!A874)</f>
        <v/>
      </c>
      <c r="B874">
        <f>IF(INVENTARIO!E874="","",INVENTARIO!E874)</f>
        <v/>
      </c>
      <c r="C874">
        <f>IF(INVENTARIO!F874="","",INVENTARIO!F874)</f>
        <v/>
      </c>
      <c r="D874">
        <f>IF(INVENTARIO!H874="","",INVENTARIO!H874)</f>
        <v/>
      </c>
      <c r="E874">
        <f>IF(INVENTARIO!I874="","",INVENTARIO!I874)</f>
        <v/>
      </c>
      <c r="F874">
        <f>IF(INVENTARIO!N874="","",INVENTARIO!N874)</f>
        <v/>
      </c>
      <c r="G874">
        <f>IF(INVENTARIO!P874="","",INVENTARIO!P874)</f>
        <v/>
      </c>
      <c r="H874">
        <f>IF(INVENTARIO!Q874="","",INVENTARIO!Q874)</f>
        <v/>
      </c>
      <c r="I874">
        <f>IF(INVENTARIO!R874="","",INVENTARIO!R874)</f>
        <v/>
      </c>
      <c r="J874">
        <f>IF(G874="PUBLICA(1)",1,IF(G874="USO INTERNO(2)",2,IF(G874="RESTRINGIDO(3)",3,0)))+IF(H874="BAJA(1)",1,IF(H874="MEDIA(2)",2,IF(H874="ALTA(3)",3,0)))+IF(I874="BAJA(1)",1,IF(I874="MEDIA(2)",2,IF(I874="ALTA(3)",3,0)))</f>
        <v/>
      </c>
      <c r="K874">
        <f>IF(J874="", "", IF(J874&gt;=8,"ALTA",IF(J874&gt;=6,"MEDIA","BAJA")))</f>
        <v/>
      </c>
      <c r="L874">
        <f>IF(INVENTARIO!Y874="","",INVENTARIO!Y874)</f>
        <v/>
      </c>
      <c r="M874">
        <f>IF(INVENTARIO!Z874="","",INVENTARIO!Z874)</f>
        <v/>
      </c>
      <c r="N874">
        <f>IF(INVENTARIO!AA874="","",INVENTARIO!AA874)</f>
        <v/>
      </c>
      <c r="O874">
        <f>IF(INVENTARIO!AB874="","",INVENTARIO!AB874)</f>
        <v/>
      </c>
      <c r="P874">
        <f>IF(INVENTARIO!AC874="","",INVENTARIO!AC874)</f>
        <v/>
      </c>
      <c r="Q874">
        <f>IF(AND(K874="",N874="",L874=""),"",IF(AND((K874="ALTA"),OR(LEFT(N874,2)="L0",LEFT(N874,2)="L1",L874="No Iniciado")),"CRÍTICO - Incumplimiento Normativo SEPS",IF(AND(OR(LEFT(N874,2)="L4",LEFT(N874,2)="L5"),AND(P874&lt;&gt;"",P874&lt;&gt;"N/A")),"CONFORME - Control Efectivo ISO 27001","OBSERVACIÓN - Revisar Controles")))</f>
        <v/>
      </c>
    </row>
    <row r="875">
      <c r="A875">
        <f>IF(INVENTARIO!A875="","",INVENTARIO!A875)</f>
        <v/>
      </c>
      <c r="B875">
        <f>IF(INVENTARIO!E875="","",INVENTARIO!E875)</f>
        <v/>
      </c>
      <c r="C875">
        <f>IF(INVENTARIO!F875="","",INVENTARIO!F875)</f>
        <v/>
      </c>
      <c r="D875">
        <f>IF(INVENTARIO!H875="","",INVENTARIO!H875)</f>
        <v/>
      </c>
      <c r="E875">
        <f>IF(INVENTARIO!I875="","",INVENTARIO!I875)</f>
        <v/>
      </c>
      <c r="F875">
        <f>IF(INVENTARIO!N875="","",INVENTARIO!N875)</f>
        <v/>
      </c>
      <c r="G875">
        <f>IF(INVENTARIO!P875="","",INVENTARIO!P875)</f>
        <v/>
      </c>
      <c r="H875">
        <f>IF(INVENTARIO!Q875="","",INVENTARIO!Q875)</f>
        <v/>
      </c>
      <c r="I875">
        <f>IF(INVENTARIO!R875="","",INVENTARIO!R875)</f>
        <v/>
      </c>
      <c r="J875">
        <f>IF(G875="PUBLICA(1)",1,IF(G875="USO INTERNO(2)",2,IF(G875="RESTRINGIDO(3)",3,0)))+IF(H875="BAJA(1)",1,IF(H875="MEDIA(2)",2,IF(H875="ALTA(3)",3,0)))+IF(I875="BAJA(1)",1,IF(I875="MEDIA(2)",2,IF(I875="ALTA(3)",3,0)))</f>
        <v/>
      </c>
      <c r="K875">
        <f>IF(J875="", "", IF(J875&gt;=8,"ALTA",IF(J875&gt;=6,"MEDIA","BAJA")))</f>
        <v/>
      </c>
      <c r="L875">
        <f>IF(INVENTARIO!Y875="","",INVENTARIO!Y875)</f>
        <v/>
      </c>
      <c r="M875">
        <f>IF(INVENTARIO!Z875="","",INVENTARIO!Z875)</f>
        <v/>
      </c>
      <c r="N875">
        <f>IF(INVENTARIO!AA875="","",INVENTARIO!AA875)</f>
        <v/>
      </c>
      <c r="O875">
        <f>IF(INVENTARIO!AB875="","",INVENTARIO!AB875)</f>
        <v/>
      </c>
      <c r="P875">
        <f>IF(INVENTARIO!AC875="","",INVENTARIO!AC875)</f>
        <v/>
      </c>
      <c r="Q875">
        <f>IF(AND(K875="",N875="",L875=""),"",IF(AND((K875="ALTA"),OR(LEFT(N875,2)="L0",LEFT(N875,2)="L1",L875="No Iniciado")),"CRÍTICO - Incumplimiento Normativo SEPS",IF(AND(OR(LEFT(N875,2)="L4",LEFT(N875,2)="L5"),AND(P875&lt;&gt;"",P875&lt;&gt;"N/A")),"CONFORME - Control Efectivo ISO 27001","OBSERVACIÓN - Revisar Controles")))</f>
        <v/>
      </c>
    </row>
    <row r="876">
      <c r="A876">
        <f>IF(INVENTARIO!A876="","",INVENTARIO!A876)</f>
        <v/>
      </c>
      <c r="B876">
        <f>IF(INVENTARIO!E876="","",INVENTARIO!E876)</f>
        <v/>
      </c>
      <c r="C876">
        <f>IF(INVENTARIO!F876="","",INVENTARIO!F876)</f>
        <v/>
      </c>
      <c r="D876">
        <f>IF(INVENTARIO!H876="","",INVENTARIO!H876)</f>
        <v/>
      </c>
      <c r="E876">
        <f>IF(INVENTARIO!I876="","",INVENTARIO!I876)</f>
        <v/>
      </c>
      <c r="F876">
        <f>IF(INVENTARIO!N876="","",INVENTARIO!N876)</f>
        <v/>
      </c>
      <c r="G876">
        <f>IF(INVENTARIO!P876="","",INVENTARIO!P876)</f>
        <v/>
      </c>
      <c r="H876">
        <f>IF(INVENTARIO!Q876="","",INVENTARIO!Q876)</f>
        <v/>
      </c>
      <c r="I876">
        <f>IF(INVENTARIO!R876="","",INVENTARIO!R876)</f>
        <v/>
      </c>
      <c r="J876">
        <f>IF(G876="PUBLICA(1)",1,IF(G876="USO INTERNO(2)",2,IF(G876="RESTRINGIDO(3)",3,0)))+IF(H876="BAJA(1)",1,IF(H876="MEDIA(2)",2,IF(H876="ALTA(3)",3,0)))+IF(I876="BAJA(1)",1,IF(I876="MEDIA(2)",2,IF(I876="ALTA(3)",3,0)))</f>
        <v/>
      </c>
      <c r="K876">
        <f>IF(J876="", "", IF(J876&gt;=8,"ALTA",IF(J876&gt;=6,"MEDIA","BAJA")))</f>
        <v/>
      </c>
      <c r="L876">
        <f>IF(INVENTARIO!Y876="","",INVENTARIO!Y876)</f>
        <v/>
      </c>
      <c r="M876">
        <f>IF(INVENTARIO!Z876="","",INVENTARIO!Z876)</f>
        <v/>
      </c>
      <c r="N876">
        <f>IF(INVENTARIO!AA876="","",INVENTARIO!AA876)</f>
        <v/>
      </c>
      <c r="O876">
        <f>IF(INVENTARIO!AB876="","",INVENTARIO!AB876)</f>
        <v/>
      </c>
      <c r="P876">
        <f>IF(INVENTARIO!AC876="","",INVENTARIO!AC876)</f>
        <v/>
      </c>
      <c r="Q876">
        <f>IF(AND(K876="",N876="",L876=""),"",IF(AND((K876="ALTA"),OR(LEFT(N876,2)="L0",LEFT(N876,2)="L1",L876="No Iniciado")),"CRÍTICO - Incumplimiento Normativo SEPS",IF(AND(OR(LEFT(N876,2)="L4",LEFT(N876,2)="L5"),AND(P876&lt;&gt;"",P876&lt;&gt;"N/A")),"CONFORME - Control Efectivo ISO 27001","OBSERVACIÓN - Revisar Controles")))</f>
        <v/>
      </c>
    </row>
    <row r="877">
      <c r="A877">
        <f>IF(INVENTARIO!A877="","",INVENTARIO!A877)</f>
        <v/>
      </c>
      <c r="B877">
        <f>IF(INVENTARIO!E877="","",INVENTARIO!E877)</f>
        <v/>
      </c>
      <c r="C877">
        <f>IF(INVENTARIO!F877="","",INVENTARIO!F877)</f>
        <v/>
      </c>
      <c r="D877">
        <f>IF(INVENTARIO!H877="","",INVENTARIO!H877)</f>
        <v/>
      </c>
      <c r="E877">
        <f>IF(INVENTARIO!I877="","",INVENTARIO!I877)</f>
        <v/>
      </c>
      <c r="F877">
        <f>IF(INVENTARIO!N877="","",INVENTARIO!N877)</f>
        <v/>
      </c>
      <c r="G877">
        <f>IF(INVENTARIO!P877="","",INVENTARIO!P877)</f>
        <v/>
      </c>
      <c r="H877">
        <f>IF(INVENTARIO!Q877="","",INVENTARIO!Q877)</f>
        <v/>
      </c>
      <c r="I877">
        <f>IF(INVENTARIO!R877="","",INVENTARIO!R877)</f>
        <v/>
      </c>
      <c r="J877">
        <f>IF(G877="PUBLICA(1)",1,IF(G877="USO INTERNO(2)",2,IF(G877="RESTRINGIDO(3)",3,0)))+IF(H877="BAJA(1)",1,IF(H877="MEDIA(2)",2,IF(H877="ALTA(3)",3,0)))+IF(I877="BAJA(1)",1,IF(I877="MEDIA(2)",2,IF(I877="ALTA(3)",3,0)))</f>
        <v/>
      </c>
      <c r="K877">
        <f>IF(J877="", "", IF(J877&gt;=8,"ALTA",IF(J877&gt;=6,"MEDIA","BAJA")))</f>
        <v/>
      </c>
      <c r="L877">
        <f>IF(INVENTARIO!Y877="","",INVENTARIO!Y877)</f>
        <v/>
      </c>
      <c r="M877">
        <f>IF(INVENTARIO!Z877="","",INVENTARIO!Z877)</f>
        <v/>
      </c>
      <c r="N877">
        <f>IF(INVENTARIO!AA877="","",INVENTARIO!AA877)</f>
        <v/>
      </c>
      <c r="O877">
        <f>IF(INVENTARIO!AB877="","",INVENTARIO!AB877)</f>
        <v/>
      </c>
      <c r="P877">
        <f>IF(INVENTARIO!AC877="","",INVENTARIO!AC877)</f>
        <v/>
      </c>
      <c r="Q877">
        <f>IF(AND(K877="",N877="",L877=""),"",IF(AND((K877="ALTA"),OR(LEFT(N877,2)="L0",LEFT(N877,2)="L1",L877="No Iniciado")),"CRÍTICO - Incumplimiento Normativo SEPS",IF(AND(OR(LEFT(N877,2)="L4",LEFT(N877,2)="L5"),AND(P877&lt;&gt;"",P877&lt;&gt;"N/A")),"CONFORME - Control Efectivo ISO 27001","OBSERVACIÓN - Revisar Controles")))</f>
        <v/>
      </c>
    </row>
    <row r="878">
      <c r="A878">
        <f>IF(INVENTARIO!A878="","",INVENTARIO!A878)</f>
        <v/>
      </c>
      <c r="B878">
        <f>IF(INVENTARIO!E878="","",INVENTARIO!E878)</f>
        <v/>
      </c>
      <c r="C878">
        <f>IF(INVENTARIO!F878="","",INVENTARIO!F878)</f>
        <v/>
      </c>
      <c r="D878">
        <f>IF(INVENTARIO!H878="","",INVENTARIO!H878)</f>
        <v/>
      </c>
      <c r="E878">
        <f>IF(INVENTARIO!I878="","",INVENTARIO!I878)</f>
        <v/>
      </c>
      <c r="F878">
        <f>IF(INVENTARIO!N878="","",INVENTARIO!N878)</f>
        <v/>
      </c>
      <c r="G878">
        <f>IF(INVENTARIO!P878="","",INVENTARIO!P878)</f>
        <v/>
      </c>
      <c r="H878">
        <f>IF(INVENTARIO!Q878="","",INVENTARIO!Q878)</f>
        <v/>
      </c>
      <c r="I878">
        <f>IF(INVENTARIO!R878="","",INVENTARIO!R878)</f>
        <v/>
      </c>
      <c r="J878">
        <f>IF(G878="PUBLICA(1)",1,IF(G878="USO INTERNO(2)",2,IF(G878="RESTRINGIDO(3)",3,0)))+IF(H878="BAJA(1)",1,IF(H878="MEDIA(2)",2,IF(H878="ALTA(3)",3,0)))+IF(I878="BAJA(1)",1,IF(I878="MEDIA(2)",2,IF(I878="ALTA(3)",3,0)))</f>
        <v/>
      </c>
      <c r="K878">
        <f>IF(J878="", "", IF(J878&gt;=8,"ALTA",IF(J878&gt;=6,"MEDIA","BAJA")))</f>
        <v/>
      </c>
      <c r="L878">
        <f>IF(INVENTARIO!Y878="","",INVENTARIO!Y878)</f>
        <v/>
      </c>
      <c r="M878">
        <f>IF(INVENTARIO!Z878="","",INVENTARIO!Z878)</f>
        <v/>
      </c>
      <c r="N878">
        <f>IF(INVENTARIO!AA878="","",INVENTARIO!AA878)</f>
        <v/>
      </c>
      <c r="O878">
        <f>IF(INVENTARIO!AB878="","",INVENTARIO!AB878)</f>
        <v/>
      </c>
      <c r="P878">
        <f>IF(INVENTARIO!AC878="","",INVENTARIO!AC878)</f>
        <v/>
      </c>
      <c r="Q878">
        <f>IF(AND(K878="",N878="",L878=""),"",IF(AND((K878="ALTA"),OR(LEFT(N878,2)="L0",LEFT(N878,2)="L1",L878="No Iniciado")),"CRÍTICO - Incumplimiento Normativo SEPS",IF(AND(OR(LEFT(N878,2)="L4",LEFT(N878,2)="L5"),AND(P878&lt;&gt;"",P878&lt;&gt;"N/A")),"CONFORME - Control Efectivo ISO 27001","OBSERVACIÓN - Revisar Controles")))</f>
        <v/>
      </c>
    </row>
    <row r="879">
      <c r="A879">
        <f>IF(INVENTARIO!A879="","",INVENTARIO!A879)</f>
        <v/>
      </c>
      <c r="B879">
        <f>IF(INVENTARIO!E879="","",INVENTARIO!E879)</f>
        <v/>
      </c>
      <c r="C879">
        <f>IF(INVENTARIO!F879="","",INVENTARIO!F879)</f>
        <v/>
      </c>
      <c r="D879">
        <f>IF(INVENTARIO!H879="","",INVENTARIO!H879)</f>
        <v/>
      </c>
      <c r="E879">
        <f>IF(INVENTARIO!I879="","",INVENTARIO!I879)</f>
        <v/>
      </c>
      <c r="F879">
        <f>IF(INVENTARIO!N879="","",INVENTARIO!N879)</f>
        <v/>
      </c>
      <c r="G879">
        <f>IF(INVENTARIO!P879="","",INVENTARIO!P879)</f>
        <v/>
      </c>
      <c r="H879">
        <f>IF(INVENTARIO!Q879="","",INVENTARIO!Q879)</f>
        <v/>
      </c>
      <c r="I879">
        <f>IF(INVENTARIO!R879="","",INVENTARIO!R879)</f>
        <v/>
      </c>
      <c r="J879">
        <f>IF(G879="PUBLICA(1)",1,IF(G879="USO INTERNO(2)",2,IF(G879="RESTRINGIDO(3)",3,0)))+IF(H879="BAJA(1)",1,IF(H879="MEDIA(2)",2,IF(H879="ALTA(3)",3,0)))+IF(I879="BAJA(1)",1,IF(I879="MEDIA(2)",2,IF(I879="ALTA(3)",3,0)))</f>
        <v/>
      </c>
      <c r="K879">
        <f>IF(J879="", "", IF(J879&gt;=8,"ALTA",IF(J879&gt;=6,"MEDIA","BAJA")))</f>
        <v/>
      </c>
      <c r="L879">
        <f>IF(INVENTARIO!Y879="","",INVENTARIO!Y879)</f>
        <v/>
      </c>
      <c r="M879">
        <f>IF(INVENTARIO!Z879="","",INVENTARIO!Z879)</f>
        <v/>
      </c>
      <c r="N879">
        <f>IF(INVENTARIO!AA879="","",INVENTARIO!AA879)</f>
        <v/>
      </c>
      <c r="O879">
        <f>IF(INVENTARIO!AB879="","",INVENTARIO!AB879)</f>
        <v/>
      </c>
      <c r="P879">
        <f>IF(INVENTARIO!AC879="","",INVENTARIO!AC879)</f>
        <v/>
      </c>
      <c r="Q879">
        <f>IF(AND(K879="",N879="",L879=""),"",IF(AND((K879="ALTA"),OR(LEFT(N879,2)="L0",LEFT(N879,2)="L1",L879="No Iniciado")),"CRÍTICO - Incumplimiento Normativo SEPS",IF(AND(OR(LEFT(N879,2)="L4",LEFT(N879,2)="L5"),AND(P879&lt;&gt;"",P879&lt;&gt;"N/A")),"CONFORME - Control Efectivo ISO 27001","OBSERVACIÓN - Revisar Controles")))</f>
        <v/>
      </c>
    </row>
    <row r="880">
      <c r="A880">
        <f>IF(INVENTARIO!A880="","",INVENTARIO!A880)</f>
        <v/>
      </c>
      <c r="B880">
        <f>IF(INVENTARIO!E880="","",INVENTARIO!E880)</f>
        <v/>
      </c>
      <c r="C880">
        <f>IF(INVENTARIO!F880="","",INVENTARIO!F880)</f>
        <v/>
      </c>
      <c r="D880">
        <f>IF(INVENTARIO!H880="","",INVENTARIO!H880)</f>
        <v/>
      </c>
      <c r="E880">
        <f>IF(INVENTARIO!I880="","",INVENTARIO!I880)</f>
        <v/>
      </c>
      <c r="F880">
        <f>IF(INVENTARIO!N880="","",INVENTARIO!N880)</f>
        <v/>
      </c>
      <c r="G880">
        <f>IF(INVENTARIO!P880="","",INVENTARIO!P880)</f>
        <v/>
      </c>
      <c r="H880">
        <f>IF(INVENTARIO!Q880="","",INVENTARIO!Q880)</f>
        <v/>
      </c>
      <c r="I880">
        <f>IF(INVENTARIO!R880="","",INVENTARIO!R880)</f>
        <v/>
      </c>
      <c r="J880">
        <f>IF(G880="PUBLICA(1)",1,IF(G880="USO INTERNO(2)",2,IF(G880="RESTRINGIDO(3)",3,0)))+IF(H880="BAJA(1)",1,IF(H880="MEDIA(2)",2,IF(H880="ALTA(3)",3,0)))+IF(I880="BAJA(1)",1,IF(I880="MEDIA(2)",2,IF(I880="ALTA(3)",3,0)))</f>
        <v/>
      </c>
      <c r="K880">
        <f>IF(J880="", "", IF(J880&gt;=8,"ALTA",IF(J880&gt;=6,"MEDIA","BAJA")))</f>
        <v/>
      </c>
      <c r="L880">
        <f>IF(INVENTARIO!Y880="","",INVENTARIO!Y880)</f>
        <v/>
      </c>
      <c r="M880">
        <f>IF(INVENTARIO!Z880="","",INVENTARIO!Z880)</f>
        <v/>
      </c>
      <c r="N880">
        <f>IF(INVENTARIO!AA880="","",INVENTARIO!AA880)</f>
        <v/>
      </c>
      <c r="O880">
        <f>IF(INVENTARIO!AB880="","",INVENTARIO!AB880)</f>
        <v/>
      </c>
      <c r="P880">
        <f>IF(INVENTARIO!AC880="","",INVENTARIO!AC880)</f>
        <v/>
      </c>
      <c r="Q880">
        <f>IF(AND(K880="",N880="",L880=""),"",IF(AND((K880="ALTA"),OR(LEFT(N880,2)="L0",LEFT(N880,2)="L1",L880="No Iniciado")),"CRÍTICO - Incumplimiento Normativo SEPS",IF(AND(OR(LEFT(N880,2)="L4",LEFT(N880,2)="L5"),AND(P880&lt;&gt;"",P880&lt;&gt;"N/A")),"CONFORME - Control Efectivo ISO 27001","OBSERVACIÓN - Revisar Controles")))</f>
        <v/>
      </c>
    </row>
    <row r="881">
      <c r="A881">
        <f>IF(INVENTARIO!A881="","",INVENTARIO!A881)</f>
        <v/>
      </c>
      <c r="B881">
        <f>IF(INVENTARIO!E881="","",INVENTARIO!E881)</f>
        <v/>
      </c>
      <c r="C881">
        <f>IF(INVENTARIO!F881="","",INVENTARIO!F881)</f>
        <v/>
      </c>
      <c r="D881">
        <f>IF(INVENTARIO!H881="","",INVENTARIO!H881)</f>
        <v/>
      </c>
      <c r="E881">
        <f>IF(INVENTARIO!I881="","",INVENTARIO!I881)</f>
        <v/>
      </c>
      <c r="F881">
        <f>IF(INVENTARIO!N881="","",INVENTARIO!N881)</f>
        <v/>
      </c>
      <c r="G881">
        <f>IF(INVENTARIO!P881="","",INVENTARIO!P881)</f>
        <v/>
      </c>
      <c r="H881">
        <f>IF(INVENTARIO!Q881="","",INVENTARIO!Q881)</f>
        <v/>
      </c>
      <c r="I881">
        <f>IF(INVENTARIO!R881="","",INVENTARIO!R881)</f>
        <v/>
      </c>
      <c r="J881">
        <f>IF(G881="PUBLICA(1)",1,IF(G881="USO INTERNO(2)",2,IF(G881="RESTRINGIDO(3)",3,0)))+IF(H881="BAJA(1)",1,IF(H881="MEDIA(2)",2,IF(H881="ALTA(3)",3,0)))+IF(I881="BAJA(1)",1,IF(I881="MEDIA(2)",2,IF(I881="ALTA(3)",3,0)))</f>
        <v/>
      </c>
      <c r="K881">
        <f>IF(J881="", "", IF(J881&gt;=8,"ALTA",IF(J881&gt;=6,"MEDIA","BAJA")))</f>
        <v/>
      </c>
      <c r="L881">
        <f>IF(INVENTARIO!Y881="","",INVENTARIO!Y881)</f>
        <v/>
      </c>
      <c r="M881">
        <f>IF(INVENTARIO!Z881="","",INVENTARIO!Z881)</f>
        <v/>
      </c>
      <c r="N881">
        <f>IF(INVENTARIO!AA881="","",INVENTARIO!AA881)</f>
        <v/>
      </c>
      <c r="O881">
        <f>IF(INVENTARIO!AB881="","",INVENTARIO!AB881)</f>
        <v/>
      </c>
      <c r="P881">
        <f>IF(INVENTARIO!AC881="","",INVENTARIO!AC881)</f>
        <v/>
      </c>
      <c r="Q881">
        <f>IF(AND(K881="",N881="",L881=""),"",IF(AND((K881="ALTA"),OR(LEFT(N881,2)="L0",LEFT(N881,2)="L1",L881="No Iniciado")),"CRÍTICO - Incumplimiento Normativo SEPS",IF(AND(OR(LEFT(N881,2)="L4",LEFT(N881,2)="L5"),AND(P881&lt;&gt;"",P881&lt;&gt;"N/A")),"CONFORME - Control Efectivo ISO 27001","OBSERVACIÓN - Revisar Controles")))</f>
        <v/>
      </c>
    </row>
    <row r="882">
      <c r="A882">
        <f>IF(INVENTARIO!A882="","",INVENTARIO!A882)</f>
        <v/>
      </c>
      <c r="B882">
        <f>IF(INVENTARIO!E882="","",INVENTARIO!E882)</f>
        <v/>
      </c>
      <c r="C882">
        <f>IF(INVENTARIO!F882="","",INVENTARIO!F882)</f>
        <v/>
      </c>
      <c r="D882">
        <f>IF(INVENTARIO!H882="","",INVENTARIO!H882)</f>
        <v/>
      </c>
      <c r="E882">
        <f>IF(INVENTARIO!I882="","",INVENTARIO!I882)</f>
        <v/>
      </c>
      <c r="F882">
        <f>IF(INVENTARIO!N882="","",INVENTARIO!N882)</f>
        <v/>
      </c>
      <c r="G882">
        <f>IF(INVENTARIO!P882="","",INVENTARIO!P882)</f>
        <v/>
      </c>
      <c r="H882">
        <f>IF(INVENTARIO!Q882="","",INVENTARIO!Q882)</f>
        <v/>
      </c>
      <c r="I882">
        <f>IF(INVENTARIO!R882="","",INVENTARIO!R882)</f>
        <v/>
      </c>
      <c r="J882">
        <f>IF(G882="PUBLICA(1)",1,IF(G882="USO INTERNO(2)",2,IF(G882="RESTRINGIDO(3)",3,0)))+IF(H882="BAJA(1)",1,IF(H882="MEDIA(2)",2,IF(H882="ALTA(3)",3,0)))+IF(I882="BAJA(1)",1,IF(I882="MEDIA(2)",2,IF(I882="ALTA(3)",3,0)))</f>
        <v/>
      </c>
      <c r="K882">
        <f>IF(J882="", "", IF(J882&gt;=8,"ALTA",IF(J882&gt;=6,"MEDIA","BAJA")))</f>
        <v/>
      </c>
      <c r="L882">
        <f>IF(INVENTARIO!Y882="","",INVENTARIO!Y882)</f>
        <v/>
      </c>
      <c r="M882">
        <f>IF(INVENTARIO!Z882="","",INVENTARIO!Z882)</f>
        <v/>
      </c>
      <c r="N882">
        <f>IF(INVENTARIO!AA882="","",INVENTARIO!AA882)</f>
        <v/>
      </c>
      <c r="O882">
        <f>IF(INVENTARIO!AB882="","",INVENTARIO!AB882)</f>
        <v/>
      </c>
      <c r="P882">
        <f>IF(INVENTARIO!AC882="","",INVENTARIO!AC882)</f>
        <v/>
      </c>
      <c r="Q882">
        <f>IF(AND(K882="",N882="",L882=""),"",IF(AND((K882="ALTA"),OR(LEFT(N882,2)="L0",LEFT(N882,2)="L1",L882="No Iniciado")),"CRÍTICO - Incumplimiento Normativo SEPS",IF(AND(OR(LEFT(N882,2)="L4",LEFT(N882,2)="L5"),AND(P882&lt;&gt;"",P882&lt;&gt;"N/A")),"CONFORME - Control Efectivo ISO 27001","OBSERVACIÓN - Revisar Controles")))</f>
        <v/>
      </c>
    </row>
    <row r="883">
      <c r="A883">
        <f>IF(INVENTARIO!A883="","",INVENTARIO!A883)</f>
        <v/>
      </c>
      <c r="B883">
        <f>IF(INVENTARIO!E883="","",INVENTARIO!E883)</f>
        <v/>
      </c>
      <c r="C883">
        <f>IF(INVENTARIO!F883="","",INVENTARIO!F883)</f>
        <v/>
      </c>
      <c r="D883">
        <f>IF(INVENTARIO!H883="","",INVENTARIO!H883)</f>
        <v/>
      </c>
      <c r="E883">
        <f>IF(INVENTARIO!I883="","",INVENTARIO!I883)</f>
        <v/>
      </c>
      <c r="F883">
        <f>IF(INVENTARIO!N883="","",INVENTARIO!N883)</f>
        <v/>
      </c>
      <c r="G883">
        <f>IF(INVENTARIO!P883="","",INVENTARIO!P883)</f>
        <v/>
      </c>
      <c r="H883">
        <f>IF(INVENTARIO!Q883="","",INVENTARIO!Q883)</f>
        <v/>
      </c>
      <c r="I883">
        <f>IF(INVENTARIO!R883="","",INVENTARIO!R883)</f>
        <v/>
      </c>
      <c r="J883">
        <f>IF(G883="PUBLICA(1)",1,IF(G883="USO INTERNO(2)",2,IF(G883="RESTRINGIDO(3)",3,0)))+IF(H883="BAJA(1)",1,IF(H883="MEDIA(2)",2,IF(H883="ALTA(3)",3,0)))+IF(I883="BAJA(1)",1,IF(I883="MEDIA(2)",2,IF(I883="ALTA(3)",3,0)))</f>
        <v/>
      </c>
      <c r="K883">
        <f>IF(J883="", "", IF(J883&gt;=8,"ALTA",IF(J883&gt;=6,"MEDIA","BAJA")))</f>
        <v/>
      </c>
      <c r="L883">
        <f>IF(INVENTARIO!Y883="","",INVENTARIO!Y883)</f>
        <v/>
      </c>
      <c r="M883">
        <f>IF(INVENTARIO!Z883="","",INVENTARIO!Z883)</f>
        <v/>
      </c>
      <c r="N883">
        <f>IF(INVENTARIO!AA883="","",INVENTARIO!AA883)</f>
        <v/>
      </c>
      <c r="O883">
        <f>IF(INVENTARIO!AB883="","",INVENTARIO!AB883)</f>
        <v/>
      </c>
      <c r="P883">
        <f>IF(INVENTARIO!AC883="","",INVENTARIO!AC883)</f>
        <v/>
      </c>
      <c r="Q883">
        <f>IF(AND(K883="",N883="",L883=""),"",IF(AND((K883="ALTA"),OR(LEFT(N883,2)="L0",LEFT(N883,2)="L1",L883="No Iniciado")),"CRÍTICO - Incumplimiento Normativo SEPS",IF(AND(OR(LEFT(N883,2)="L4",LEFT(N883,2)="L5"),AND(P883&lt;&gt;"",P883&lt;&gt;"N/A")),"CONFORME - Control Efectivo ISO 27001","OBSERVACIÓN - Revisar Controles")))</f>
        <v/>
      </c>
    </row>
    <row r="884">
      <c r="A884">
        <f>IF(INVENTARIO!A884="","",INVENTARIO!A884)</f>
        <v/>
      </c>
      <c r="B884">
        <f>IF(INVENTARIO!E884="","",INVENTARIO!E884)</f>
        <v/>
      </c>
      <c r="C884">
        <f>IF(INVENTARIO!F884="","",INVENTARIO!F884)</f>
        <v/>
      </c>
      <c r="D884">
        <f>IF(INVENTARIO!H884="","",INVENTARIO!H884)</f>
        <v/>
      </c>
      <c r="E884">
        <f>IF(INVENTARIO!I884="","",INVENTARIO!I884)</f>
        <v/>
      </c>
      <c r="F884">
        <f>IF(INVENTARIO!N884="","",INVENTARIO!N884)</f>
        <v/>
      </c>
      <c r="G884">
        <f>IF(INVENTARIO!P884="","",INVENTARIO!P884)</f>
        <v/>
      </c>
      <c r="H884">
        <f>IF(INVENTARIO!Q884="","",INVENTARIO!Q884)</f>
        <v/>
      </c>
      <c r="I884">
        <f>IF(INVENTARIO!R884="","",INVENTARIO!R884)</f>
        <v/>
      </c>
      <c r="J884">
        <f>IF(G884="PUBLICA(1)",1,IF(G884="USO INTERNO(2)",2,IF(G884="RESTRINGIDO(3)",3,0)))+IF(H884="BAJA(1)",1,IF(H884="MEDIA(2)",2,IF(H884="ALTA(3)",3,0)))+IF(I884="BAJA(1)",1,IF(I884="MEDIA(2)",2,IF(I884="ALTA(3)",3,0)))</f>
        <v/>
      </c>
      <c r="K884">
        <f>IF(J884="", "", IF(J884&gt;=8,"ALTA",IF(J884&gt;=6,"MEDIA","BAJA")))</f>
        <v/>
      </c>
      <c r="L884">
        <f>IF(INVENTARIO!Y884="","",INVENTARIO!Y884)</f>
        <v/>
      </c>
      <c r="M884">
        <f>IF(INVENTARIO!Z884="","",INVENTARIO!Z884)</f>
        <v/>
      </c>
      <c r="N884">
        <f>IF(INVENTARIO!AA884="","",INVENTARIO!AA884)</f>
        <v/>
      </c>
      <c r="O884">
        <f>IF(INVENTARIO!AB884="","",INVENTARIO!AB884)</f>
        <v/>
      </c>
      <c r="P884">
        <f>IF(INVENTARIO!AC884="","",INVENTARIO!AC884)</f>
        <v/>
      </c>
      <c r="Q884">
        <f>IF(AND(K884="",N884="",L884=""),"",IF(AND((K884="ALTA"),OR(LEFT(N884,2)="L0",LEFT(N884,2)="L1",L884="No Iniciado")),"CRÍTICO - Incumplimiento Normativo SEPS",IF(AND(OR(LEFT(N884,2)="L4",LEFT(N884,2)="L5"),AND(P884&lt;&gt;"",P884&lt;&gt;"N/A")),"CONFORME - Control Efectivo ISO 27001","OBSERVACIÓN - Revisar Controles")))</f>
        <v/>
      </c>
    </row>
    <row r="885">
      <c r="A885">
        <f>IF(INVENTARIO!A885="","",INVENTARIO!A885)</f>
        <v/>
      </c>
      <c r="B885">
        <f>IF(INVENTARIO!E885="","",INVENTARIO!E885)</f>
        <v/>
      </c>
      <c r="C885">
        <f>IF(INVENTARIO!F885="","",INVENTARIO!F885)</f>
        <v/>
      </c>
      <c r="D885">
        <f>IF(INVENTARIO!H885="","",INVENTARIO!H885)</f>
        <v/>
      </c>
      <c r="E885">
        <f>IF(INVENTARIO!I885="","",INVENTARIO!I885)</f>
        <v/>
      </c>
      <c r="F885">
        <f>IF(INVENTARIO!N885="","",INVENTARIO!N885)</f>
        <v/>
      </c>
      <c r="G885">
        <f>IF(INVENTARIO!P885="","",INVENTARIO!P885)</f>
        <v/>
      </c>
      <c r="H885">
        <f>IF(INVENTARIO!Q885="","",INVENTARIO!Q885)</f>
        <v/>
      </c>
      <c r="I885">
        <f>IF(INVENTARIO!R885="","",INVENTARIO!R885)</f>
        <v/>
      </c>
      <c r="J885">
        <f>IF(G885="PUBLICA(1)",1,IF(G885="USO INTERNO(2)",2,IF(G885="RESTRINGIDO(3)",3,0)))+IF(H885="BAJA(1)",1,IF(H885="MEDIA(2)",2,IF(H885="ALTA(3)",3,0)))+IF(I885="BAJA(1)",1,IF(I885="MEDIA(2)",2,IF(I885="ALTA(3)",3,0)))</f>
        <v/>
      </c>
      <c r="K885">
        <f>IF(J885="", "", IF(J885&gt;=8,"ALTA",IF(J885&gt;=6,"MEDIA","BAJA")))</f>
        <v/>
      </c>
      <c r="L885">
        <f>IF(INVENTARIO!Y885="","",INVENTARIO!Y885)</f>
        <v/>
      </c>
      <c r="M885">
        <f>IF(INVENTARIO!Z885="","",INVENTARIO!Z885)</f>
        <v/>
      </c>
      <c r="N885">
        <f>IF(INVENTARIO!AA885="","",INVENTARIO!AA885)</f>
        <v/>
      </c>
      <c r="O885">
        <f>IF(INVENTARIO!AB885="","",INVENTARIO!AB885)</f>
        <v/>
      </c>
      <c r="P885">
        <f>IF(INVENTARIO!AC885="","",INVENTARIO!AC885)</f>
        <v/>
      </c>
      <c r="Q885">
        <f>IF(AND(K885="",N885="",L885=""),"",IF(AND((K885="ALTA"),OR(LEFT(N885,2)="L0",LEFT(N885,2)="L1",L885="No Iniciado")),"CRÍTICO - Incumplimiento Normativo SEPS",IF(AND(OR(LEFT(N885,2)="L4",LEFT(N885,2)="L5"),AND(P885&lt;&gt;"",P885&lt;&gt;"N/A")),"CONFORME - Control Efectivo ISO 27001","OBSERVACIÓN - Revisar Controles")))</f>
        <v/>
      </c>
    </row>
    <row r="886">
      <c r="A886">
        <f>IF(INVENTARIO!A886="","",INVENTARIO!A886)</f>
        <v/>
      </c>
      <c r="B886">
        <f>IF(INVENTARIO!E886="","",INVENTARIO!E886)</f>
        <v/>
      </c>
      <c r="C886">
        <f>IF(INVENTARIO!F886="","",INVENTARIO!F886)</f>
        <v/>
      </c>
      <c r="D886">
        <f>IF(INVENTARIO!H886="","",INVENTARIO!H886)</f>
        <v/>
      </c>
      <c r="E886">
        <f>IF(INVENTARIO!I886="","",INVENTARIO!I886)</f>
        <v/>
      </c>
      <c r="F886">
        <f>IF(INVENTARIO!N886="","",INVENTARIO!N886)</f>
        <v/>
      </c>
      <c r="G886">
        <f>IF(INVENTARIO!P886="","",INVENTARIO!P886)</f>
        <v/>
      </c>
      <c r="H886">
        <f>IF(INVENTARIO!Q886="","",INVENTARIO!Q886)</f>
        <v/>
      </c>
      <c r="I886">
        <f>IF(INVENTARIO!R886="","",INVENTARIO!R886)</f>
        <v/>
      </c>
      <c r="J886">
        <f>IF(G886="PUBLICA(1)",1,IF(G886="USO INTERNO(2)",2,IF(G886="RESTRINGIDO(3)",3,0)))+IF(H886="BAJA(1)",1,IF(H886="MEDIA(2)",2,IF(H886="ALTA(3)",3,0)))+IF(I886="BAJA(1)",1,IF(I886="MEDIA(2)",2,IF(I886="ALTA(3)",3,0)))</f>
        <v/>
      </c>
      <c r="K886">
        <f>IF(J886="", "", IF(J886&gt;=8,"ALTA",IF(J886&gt;=6,"MEDIA","BAJA")))</f>
        <v/>
      </c>
      <c r="L886">
        <f>IF(INVENTARIO!Y886="","",INVENTARIO!Y886)</f>
        <v/>
      </c>
      <c r="M886">
        <f>IF(INVENTARIO!Z886="","",INVENTARIO!Z886)</f>
        <v/>
      </c>
      <c r="N886">
        <f>IF(INVENTARIO!AA886="","",INVENTARIO!AA886)</f>
        <v/>
      </c>
      <c r="O886">
        <f>IF(INVENTARIO!AB886="","",INVENTARIO!AB886)</f>
        <v/>
      </c>
      <c r="P886">
        <f>IF(INVENTARIO!AC886="","",INVENTARIO!AC886)</f>
        <v/>
      </c>
      <c r="Q886">
        <f>IF(AND(K886="",N886="",L886=""),"",IF(AND((K886="ALTA"),OR(LEFT(N886,2)="L0",LEFT(N886,2)="L1",L886="No Iniciado")),"CRÍTICO - Incumplimiento Normativo SEPS",IF(AND(OR(LEFT(N886,2)="L4",LEFT(N886,2)="L5"),AND(P886&lt;&gt;"",P886&lt;&gt;"N/A")),"CONFORME - Control Efectivo ISO 27001","OBSERVACIÓN - Revisar Controles")))</f>
        <v/>
      </c>
    </row>
    <row r="887">
      <c r="A887">
        <f>IF(INVENTARIO!A887="","",INVENTARIO!A887)</f>
        <v/>
      </c>
      <c r="B887">
        <f>IF(INVENTARIO!E887="","",INVENTARIO!E887)</f>
        <v/>
      </c>
      <c r="C887">
        <f>IF(INVENTARIO!F887="","",INVENTARIO!F887)</f>
        <v/>
      </c>
      <c r="D887">
        <f>IF(INVENTARIO!H887="","",INVENTARIO!H887)</f>
        <v/>
      </c>
      <c r="E887">
        <f>IF(INVENTARIO!I887="","",INVENTARIO!I887)</f>
        <v/>
      </c>
      <c r="F887">
        <f>IF(INVENTARIO!N887="","",INVENTARIO!N887)</f>
        <v/>
      </c>
      <c r="G887">
        <f>IF(INVENTARIO!P887="","",INVENTARIO!P887)</f>
        <v/>
      </c>
      <c r="H887">
        <f>IF(INVENTARIO!Q887="","",INVENTARIO!Q887)</f>
        <v/>
      </c>
      <c r="I887">
        <f>IF(INVENTARIO!R887="","",INVENTARIO!R887)</f>
        <v/>
      </c>
      <c r="J887">
        <f>IF(G887="PUBLICA(1)",1,IF(G887="USO INTERNO(2)",2,IF(G887="RESTRINGIDO(3)",3,0)))+IF(H887="BAJA(1)",1,IF(H887="MEDIA(2)",2,IF(H887="ALTA(3)",3,0)))+IF(I887="BAJA(1)",1,IF(I887="MEDIA(2)",2,IF(I887="ALTA(3)",3,0)))</f>
        <v/>
      </c>
      <c r="K887">
        <f>IF(J887="", "", IF(J887&gt;=8,"ALTA",IF(J887&gt;=6,"MEDIA","BAJA")))</f>
        <v/>
      </c>
      <c r="L887">
        <f>IF(INVENTARIO!Y887="","",INVENTARIO!Y887)</f>
        <v/>
      </c>
      <c r="M887">
        <f>IF(INVENTARIO!Z887="","",INVENTARIO!Z887)</f>
        <v/>
      </c>
      <c r="N887">
        <f>IF(INVENTARIO!AA887="","",INVENTARIO!AA887)</f>
        <v/>
      </c>
      <c r="O887">
        <f>IF(INVENTARIO!AB887="","",INVENTARIO!AB887)</f>
        <v/>
      </c>
      <c r="P887">
        <f>IF(INVENTARIO!AC887="","",INVENTARIO!AC887)</f>
        <v/>
      </c>
      <c r="Q887">
        <f>IF(AND(K887="",N887="",L887=""),"",IF(AND((K887="ALTA"),OR(LEFT(N887,2)="L0",LEFT(N887,2)="L1",L887="No Iniciado")),"CRÍTICO - Incumplimiento Normativo SEPS",IF(AND(OR(LEFT(N887,2)="L4",LEFT(N887,2)="L5"),AND(P887&lt;&gt;"",P887&lt;&gt;"N/A")),"CONFORME - Control Efectivo ISO 27001","OBSERVACIÓN - Revisar Controles")))</f>
        <v/>
      </c>
    </row>
    <row r="888">
      <c r="A888">
        <f>IF(INVENTARIO!A888="","",INVENTARIO!A888)</f>
        <v/>
      </c>
      <c r="B888">
        <f>IF(INVENTARIO!E888="","",INVENTARIO!E888)</f>
        <v/>
      </c>
      <c r="C888">
        <f>IF(INVENTARIO!F888="","",INVENTARIO!F888)</f>
        <v/>
      </c>
      <c r="D888">
        <f>IF(INVENTARIO!H888="","",INVENTARIO!H888)</f>
        <v/>
      </c>
      <c r="E888">
        <f>IF(INVENTARIO!I888="","",INVENTARIO!I888)</f>
        <v/>
      </c>
      <c r="F888">
        <f>IF(INVENTARIO!N888="","",INVENTARIO!N888)</f>
        <v/>
      </c>
      <c r="G888">
        <f>IF(INVENTARIO!P888="","",INVENTARIO!P888)</f>
        <v/>
      </c>
      <c r="H888">
        <f>IF(INVENTARIO!Q888="","",INVENTARIO!Q888)</f>
        <v/>
      </c>
      <c r="I888">
        <f>IF(INVENTARIO!R888="","",INVENTARIO!R888)</f>
        <v/>
      </c>
      <c r="J888">
        <f>IF(G888="PUBLICA(1)",1,IF(G888="USO INTERNO(2)",2,IF(G888="RESTRINGIDO(3)",3,0)))+IF(H888="BAJA(1)",1,IF(H888="MEDIA(2)",2,IF(H888="ALTA(3)",3,0)))+IF(I888="BAJA(1)",1,IF(I888="MEDIA(2)",2,IF(I888="ALTA(3)",3,0)))</f>
        <v/>
      </c>
      <c r="K888">
        <f>IF(J888="", "", IF(J888&gt;=8,"ALTA",IF(J888&gt;=6,"MEDIA","BAJA")))</f>
        <v/>
      </c>
      <c r="L888">
        <f>IF(INVENTARIO!Y888="","",INVENTARIO!Y888)</f>
        <v/>
      </c>
      <c r="M888">
        <f>IF(INVENTARIO!Z888="","",INVENTARIO!Z888)</f>
        <v/>
      </c>
      <c r="N888">
        <f>IF(INVENTARIO!AA888="","",INVENTARIO!AA888)</f>
        <v/>
      </c>
      <c r="O888">
        <f>IF(INVENTARIO!AB888="","",INVENTARIO!AB888)</f>
        <v/>
      </c>
      <c r="P888">
        <f>IF(INVENTARIO!AC888="","",INVENTARIO!AC888)</f>
        <v/>
      </c>
      <c r="Q888">
        <f>IF(AND(K888="",N888="",L888=""),"",IF(AND((K888="ALTA"),OR(LEFT(N888,2)="L0",LEFT(N888,2)="L1",L888="No Iniciado")),"CRÍTICO - Incumplimiento Normativo SEPS",IF(AND(OR(LEFT(N888,2)="L4",LEFT(N888,2)="L5"),AND(P888&lt;&gt;"",P888&lt;&gt;"N/A")),"CONFORME - Control Efectivo ISO 27001","OBSERVACIÓN - Revisar Controles")))</f>
        <v/>
      </c>
    </row>
    <row r="889">
      <c r="A889">
        <f>IF(INVENTARIO!A889="","",INVENTARIO!A889)</f>
        <v/>
      </c>
      <c r="B889">
        <f>IF(INVENTARIO!E889="","",INVENTARIO!E889)</f>
        <v/>
      </c>
      <c r="C889">
        <f>IF(INVENTARIO!F889="","",INVENTARIO!F889)</f>
        <v/>
      </c>
      <c r="D889">
        <f>IF(INVENTARIO!H889="","",INVENTARIO!H889)</f>
        <v/>
      </c>
      <c r="E889">
        <f>IF(INVENTARIO!I889="","",INVENTARIO!I889)</f>
        <v/>
      </c>
      <c r="F889">
        <f>IF(INVENTARIO!N889="","",INVENTARIO!N889)</f>
        <v/>
      </c>
      <c r="G889">
        <f>IF(INVENTARIO!P889="","",INVENTARIO!P889)</f>
        <v/>
      </c>
      <c r="H889">
        <f>IF(INVENTARIO!Q889="","",INVENTARIO!Q889)</f>
        <v/>
      </c>
      <c r="I889">
        <f>IF(INVENTARIO!R889="","",INVENTARIO!R889)</f>
        <v/>
      </c>
      <c r="J889">
        <f>IF(G889="PUBLICA(1)",1,IF(G889="USO INTERNO(2)",2,IF(G889="RESTRINGIDO(3)",3,0)))+IF(H889="BAJA(1)",1,IF(H889="MEDIA(2)",2,IF(H889="ALTA(3)",3,0)))+IF(I889="BAJA(1)",1,IF(I889="MEDIA(2)",2,IF(I889="ALTA(3)",3,0)))</f>
        <v/>
      </c>
      <c r="K889">
        <f>IF(J889="", "", IF(J889&gt;=8,"ALTA",IF(J889&gt;=6,"MEDIA","BAJA")))</f>
        <v/>
      </c>
      <c r="L889">
        <f>IF(INVENTARIO!Y889="","",INVENTARIO!Y889)</f>
        <v/>
      </c>
      <c r="M889">
        <f>IF(INVENTARIO!Z889="","",INVENTARIO!Z889)</f>
        <v/>
      </c>
      <c r="N889">
        <f>IF(INVENTARIO!AA889="","",INVENTARIO!AA889)</f>
        <v/>
      </c>
      <c r="O889">
        <f>IF(INVENTARIO!AB889="","",INVENTARIO!AB889)</f>
        <v/>
      </c>
      <c r="P889">
        <f>IF(INVENTARIO!AC889="","",INVENTARIO!AC889)</f>
        <v/>
      </c>
      <c r="Q889">
        <f>IF(AND(K889="",N889="",L889=""),"",IF(AND((K889="ALTA"),OR(LEFT(N889,2)="L0",LEFT(N889,2)="L1",L889="No Iniciado")),"CRÍTICO - Incumplimiento Normativo SEPS",IF(AND(OR(LEFT(N889,2)="L4",LEFT(N889,2)="L5"),AND(P889&lt;&gt;"",P889&lt;&gt;"N/A")),"CONFORME - Control Efectivo ISO 27001","OBSERVACIÓN - Revisar Controles")))</f>
        <v/>
      </c>
    </row>
    <row r="890">
      <c r="A890">
        <f>IF(INVENTARIO!A890="","",INVENTARIO!A890)</f>
        <v/>
      </c>
      <c r="B890">
        <f>IF(INVENTARIO!E890="","",INVENTARIO!E890)</f>
        <v/>
      </c>
      <c r="C890">
        <f>IF(INVENTARIO!F890="","",INVENTARIO!F890)</f>
        <v/>
      </c>
      <c r="D890">
        <f>IF(INVENTARIO!H890="","",INVENTARIO!H890)</f>
        <v/>
      </c>
      <c r="E890">
        <f>IF(INVENTARIO!I890="","",INVENTARIO!I890)</f>
        <v/>
      </c>
      <c r="F890">
        <f>IF(INVENTARIO!N890="","",INVENTARIO!N890)</f>
        <v/>
      </c>
      <c r="G890">
        <f>IF(INVENTARIO!P890="","",INVENTARIO!P890)</f>
        <v/>
      </c>
      <c r="H890">
        <f>IF(INVENTARIO!Q890="","",INVENTARIO!Q890)</f>
        <v/>
      </c>
      <c r="I890">
        <f>IF(INVENTARIO!R890="","",INVENTARIO!R890)</f>
        <v/>
      </c>
      <c r="J890">
        <f>IF(G890="PUBLICA(1)",1,IF(G890="USO INTERNO(2)",2,IF(G890="RESTRINGIDO(3)",3,0)))+IF(H890="BAJA(1)",1,IF(H890="MEDIA(2)",2,IF(H890="ALTA(3)",3,0)))+IF(I890="BAJA(1)",1,IF(I890="MEDIA(2)",2,IF(I890="ALTA(3)",3,0)))</f>
        <v/>
      </c>
      <c r="K890">
        <f>IF(J890="", "", IF(J890&gt;=8,"ALTA",IF(J890&gt;=6,"MEDIA","BAJA")))</f>
        <v/>
      </c>
      <c r="L890">
        <f>IF(INVENTARIO!Y890="","",INVENTARIO!Y890)</f>
        <v/>
      </c>
      <c r="M890">
        <f>IF(INVENTARIO!Z890="","",INVENTARIO!Z890)</f>
        <v/>
      </c>
      <c r="N890">
        <f>IF(INVENTARIO!AA890="","",INVENTARIO!AA890)</f>
        <v/>
      </c>
      <c r="O890">
        <f>IF(INVENTARIO!AB890="","",INVENTARIO!AB890)</f>
        <v/>
      </c>
      <c r="P890">
        <f>IF(INVENTARIO!AC890="","",INVENTARIO!AC890)</f>
        <v/>
      </c>
      <c r="Q890">
        <f>IF(AND(K890="",N890="",L890=""),"",IF(AND((K890="ALTA"),OR(LEFT(N890,2)="L0",LEFT(N890,2)="L1",L890="No Iniciado")),"CRÍTICO - Incumplimiento Normativo SEPS",IF(AND(OR(LEFT(N890,2)="L4",LEFT(N890,2)="L5"),AND(P890&lt;&gt;"",P890&lt;&gt;"N/A")),"CONFORME - Control Efectivo ISO 27001","OBSERVACIÓN - Revisar Controles")))</f>
        <v/>
      </c>
    </row>
    <row r="891">
      <c r="A891">
        <f>IF(INVENTARIO!A891="","",INVENTARIO!A891)</f>
        <v/>
      </c>
      <c r="B891">
        <f>IF(INVENTARIO!E891="","",INVENTARIO!E891)</f>
        <v/>
      </c>
      <c r="C891">
        <f>IF(INVENTARIO!F891="","",INVENTARIO!F891)</f>
        <v/>
      </c>
      <c r="D891">
        <f>IF(INVENTARIO!H891="","",INVENTARIO!H891)</f>
        <v/>
      </c>
      <c r="E891">
        <f>IF(INVENTARIO!I891="","",INVENTARIO!I891)</f>
        <v/>
      </c>
      <c r="F891">
        <f>IF(INVENTARIO!N891="","",INVENTARIO!N891)</f>
        <v/>
      </c>
      <c r="G891">
        <f>IF(INVENTARIO!P891="","",INVENTARIO!P891)</f>
        <v/>
      </c>
      <c r="H891">
        <f>IF(INVENTARIO!Q891="","",INVENTARIO!Q891)</f>
        <v/>
      </c>
      <c r="I891">
        <f>IF(INVENTARIO!R891="","",INVENTARIO!R891)</f>
        <v/>
      </c>
      <c r="J891">
        <f>IF(G891="PUBLICA(1)",1,IF(G891="USO INTERNO(2)",2,IF(G891="RESTRINGIDO(3)",3,0)))+IF(H891="BAJA(1)",1,IF(H891="MEDIA(2)",2,IF(H891="ALTA(3)",3,0)))+IF(I891="BAJA(1)",1,IF(I891="MEDIA(2)",2,IF(I891="ALTA(3)",3,0)))</f>
        <v/>
      </c>
      <c r="K891">
        <f>IF(J891="", "", IF(J891&gt;=8,"ALTA",IF(J891&gt;=6,"MEDIA","BAJA")))</f>
        <v/>
      </c>
      <c r="L891">
        <f>IF(INVENTARIO!Y891="","",INVENTARIO!Y891)</f>
        <v/>
      </c>
      <c r="M891">
        <f>IF(INVENTARIO!Z891="","",INVENTARIO!Z891)</f>
        <v/>
      </c>
      <c r="N891">
        <f>IF(INVENTARIO!AA891="","",INVENTARIO!AA891)</f>
        <v/>
      </c>
      <c r="O891">
        <f>IF(INVENTARIO!AB891="","",INVENTARIO!AB891)</f>
        <v/>
      </c>
      <c r="P891">
        <f>IF(INVENTARIO!AC891="","",INVENTARIO!AC891)</f>
        <v/>
      </c>
      <c r="Q891">
        <f>IF(AND(K891="",N891="",L891=""),"",IF(AND((K891="ALTA"),OR(LEFT(N891,2)="L0",LEFT(N891,2)="L1",L891="No Iniciado")),"CRÍTICO - Incumplimiento Normativo SEPS",IF(AND(OR(LEFT(N891,2)="L4",LEFT(N891,2)="L5"),AND(P891&lt;&gt;"",P891&lt;&gt;"N/A")),"CONFORME - Control Efectivo ISO 27001","OBSERVACIÓN - Revisar Controles")))</f>
        <v/>
      </c>
    </row>
    <row r="892">
      <c r="A892">
        <f>IF(INVENTARIO!A892="","",INVENTARIO!A892)</f>
        <v/>
      </c>
      <c r="B892">
        <f>IF(INVENTARIO!E892="","",INVENTARIO!E892)</f>
        <v/>
      </c>
      <c r="C892">
        <f>IF(INVENTARIO!F892="","",INVENTARIO!F892)</f>
        <v/>
      </c>
      <c r="D892">
        <f>IF(INVENTARIO!H892="","",INVENTARIO!H892)</f>
        <v/>
      </c>
      <c r="E892">
        <f>IF(INVENTARIO!I892="","",INVENTARIO!I892)</f>
        <v/>
      </c>
      <c r="F892">
        <f>IF(INVENTARIO!N892="","",INVENTARIO!N892)</f>
        <v/>
      </c>
      <c r="G892">
        <f>IF(INVENTARIO!P892="","",INVENTARIO!P892)</f>
        <v/>
      </c>
      <c r="H892">
        <f>IF(INVENTARIO!Q892="","",INVENTARIO!Q892)</f>
        <v/>
      </c>
      <c r="I892">
        <f>IF(INVENTARIO!R892="","",INVENTARIO!R892)</f>
        <v/>
      </c>
      <c r="J892">
        <f>IF(G892="PUBLICA(1)",1,IF(G892="USO INTERNO(2)",2,IF(G892="RESTRINGIDO(3)",3,0)))+IF(H892="BAJA(1)",1,IF(H892="MEDIA(2)",2,IF(H892="ALTA(3)",3,0)))+IF(I892="BAJA(1)",1,IF(I892="MEDIA(2)",2,IF(I892="ALTA(3)",3,0)))</f>
        <v/>
      </c>
      <c r="K892">
        <f>IF(J892="", "", IF(J892&gt;=8,"ALTA",IF(J892&gt;=6,"MEDIA","BAJA")))</f>
        <v/>
      </c>
      <c r="L892">
        <f>IF(INVENTARIO!Y892="","",INVENTARIO!Y892)</f>
        <v/>
      </c>
      <c r="M892">
        <f>IF(INVENTARIO!Z892="","",INVENTARIO!Z892)</f>
        <v/>
      </c>
      <c r="N892">
        <f>IF(INVENTARIO!AA892="","",INVENTARIO!AA892)</f>
        <v/>
      </c>
      <c r="O892">
        <f>IF(INVENTARIO!AB892="","",INVENTARIO!AB892)</f>
        <v/>
      </c>
      <c r="P892">
        <f>IF(INVENTARIO!AC892="","",INVENTARIO!AC892)</f>
        <v/>
      </c>
      <c r="Q892">
        <f>IF(AND(K892="",N892="",L892=""),"",IF(AND((K892="ALTA"),OR(LEFT(N892,2)="L0",LEFT(N892,2)="L1",L892="No Iniciado")),"CRÍTICO - Incumplimiento Normativo SEPS",IF(AND(OR(LEFT(N892,2)="L4",LEFT(N892,2)="L5"),AND(P892&lt;&gt;"",P892&lt;&gt;"N/A")),"CONFORME - Control Efectivo ISO 27001","OBSERVACIÓN - Revisar Controles")))</f>
        <v/>
      </c>
    </row>
    <row r="893">
      <c r="A893">
        <f>IF(INVENTARIO!A893="","",INVENTARIO!A893)</f>
        <v/>
      </c>
      <c r="B893">
        <f>IF(INVENTARIO!E893="","",INVENTARIO!E893)</f>
        <v/>
      </c>
      <c r="C893">
        <f>IF(INVENTARIO!F893="","",INVENTARIO!F893)</f>
        <v/>
      </c>
      <c r="D893">
        <f>IF(INVENTARIO!H893="","",INVENTARIO!H893)</f>
        <v/>
      </c>
      <c r="E893">
        <f>IF(INVENTARIO!I893="","",INVENTARIO!I893)</f>
        <v/>
      </c>
      <c r="F893">
        <f>IF(INVENTARIO!N893="","",INVENTARIO!N893)</f>
        <v/>
      </c>
      <c r="G893">
        <f>IF(INVENTARIO!P893="","",INVENTARIO!P893)</f>
        <v/>
      </c>
      <c r="H893">
        <f>IF(INVENTARIO!Q893="","",INVENTARIO!Q893)</f>
        <v/>
      </c>
      <c r="I893">
        <f>IF(INVENTARIO!R893="","",INVENTARIO!R893)</f>
        <v/>
      </c>
      <c r="J893">
        <f>IF(G893="PUBLICA(1)",1,IF(G893="USO INTERNO(2)",2,IF(G893="RESTRINGIDO(3)",3,0)))+IF(H893="BAJA(1)",1,IF(H893="MEDIA(2)",2,IF(H893="ALTA(3)",3,0)))+IF(I893="BAJA(1)",1,IF(I893="MEDIA(2)",2,IF(I893="ALTA(3)",3,0)))</f>
        <v/>
      </c>
      <c r="K893">
        <f>IF(J893="", "", IF(J893&gt;=8,"ALTA",IF(J893&gt;=6,"MEDIA","BAJA")))</f>
        <v/>
      </c>
      <c r="L893">
        <f>IF(INVENTARIO!Y893="","",INVENTARIO!Y893)</f>
        <v/>
      </c>
      <c r="M893">
        <f>IF(INVENTARIO!Z893="","",INVENTARIO!Z893)</f>
        <v/>
      </c>
      <c r="N893">
        <f>IF(INVENTARIO!AA893="","",INVENTARIO!AA893)</f>
        <v/>
      </c>
      <c r="O893">
        <f>IF(INVENTARIO!AB893="","",INVENTARIO!AB893)</f>
        <v/>
      </c>
      <c r="P893">
        <f>IF(INVENTARIO!AC893="","",INVENTARIO!AC893)</f>
        <v/>
      </c>
      <c r="Q893">
        <f>IF(AND(K893="",N893="",L893=""),"",IF(AND((K893="ALTA"),OR(LEFT(N893,2)="L0",LEFT(N893,2)="L1",L893="No Iniciado")),"CRÍTICO - Incumplimiento Normativo SEPS",IF(AND(OR(LEFT(N893,2)="L4",LEFT(N893,2)="L5"),AND(P893&lt;&gt;"",P893&lt;&gt;"N/A")),"CONFORME - Control Efectivo ISO 27001","OBSERVACIÓN - Revisar Controles")))</f>
        <v/>
      </c>
    </row>
    <row r="894">
      <c r="A894">
        <f>IF(INVENTARIO!A894="","",INVENTARIO!A894)</f>
        <v/>
      </c>
      <c r="B894">
        <f>IF(INVENTARIO!E894="","",INVENTARIO!E894)</f>
        <v/>
      </c>
      <c r="C894">
        <f>IF(INVENTARIO!F894="","",INVENTARIO!F894)</f>
        <v/>
      </c>
      <c r="D894">
        <f>IF(INVENTARIO!H894="","",INVENTARIO!H894)</f>
        <v/>
      </c>
      <c r="E894">
        <f>IF(INVENTARIO!I894="","",INVENTARIO!I894)</f>
        <v/>
      </c>
      <c r="F894">
        <f>IF(INVENTARIO!N894="","",INVENTARIO!N894)</f>
        <v/>
      </c>
      <c r="G894">
        <f>IF(INVENTARIO!P894="","",INVENTARIO!P894)</f>
        <v/>
      </c>
      <c r="H894">
        <f>IF(INVENTARIO!Q894="","",INVENTARIO!Q894)</f>
        <v/>
      </c>
      <c r="I894">
        <f>IF(INVENTARIO!R894="","",INVENTARIO!R894)</f>
        <v/>
      </c>
      <c r="J894">
        <f>IF(G894="PUBLICA(1)",1,IF(G894="USO INTERNO(2)",2,IF(G894="RESTRINGIDO(3)",3,0)))+IF(H894="BAJA(1)",1,IF(H894="MEDIA(2)",2,IF(H894="ALTA(3)",3,0)))+IF(I894="BAJA(1)",1,IF(I894="MEDIA(2)",2,IF(I894="ALTA(3)",3,0)))</f>
        <v/>
      </c>
      <c r="K894">
        <f>IF(J894="", "", IF(J894&gt;=8,"ALTA",IF(J894&gt;=6,"MEDIA","BAJA")))</f>
        <v/>
      </c>
      <c r="L894">
        <f>IF(INVENTARIO!Y894="","",INVENTARIO!Y894)</f>
        <v/>
      </c>
      <c r="M894">
        <f>IF(INVENTARIO!Z894="","",INVENTARIO!Z894)</f>
        <v/>
      </c>
      <c r="N894">
        <f>IF(INVENTARIO!AA894="","",INVENTARIO!AA894)</f>
        <v/>
      </c>
      <c r="O894">
        <f>IF(INVENTARIO!AB894="","",INVENTARIO!AB894)</f>
        <v/>
      </c>
      <c r="P894">
        <f>IF(INVENTARIO!AC894="","",INVENTARIO!AC894)</f>
        <v/>
      </c>
      <c r="Q894">
        <f>IF(AND(K894="",N894="",L894=""),"",IF(AND((K894="ALTA"),OR(LEFT(N894,2)="L0",LEFT(N894,2)="L1",L894="No Iniciado")),"CRÍTICO - Incumplimiento Normativo SEPS",IF(AND(OR(LEFT(N894,2)="L4",LEFT(N894,2)="L5"),AND(P894&lt;&gt;"",P894&lt;&gt;"N/A")),"CONFORME - Control Efectivo ISO 27001","OBSERVACIÓN - Revisar Controles")))</f>
        <v/>
      </c>
    </row>
    <row r="895">
      <c r="A895">
        <f>IF(INVENTARIO!A895="","",INVENTARIO!A895)</f>
        <v/>
      </c>
      <c r="B895">
        <f>IF(INVENTARIO!E895="","",INVENTARIO!E895)</f>
        <v/>
      </c>
      <c r="C895">
        <f>IF(INVENTARIO!F895="","",INVENTARIO!F895)</f>
        <v/>
      </c>
      <c r="D895">
        <f>IF(INVENTARIO!H895="","",INVENTARIO!H895)</f>
        <v/>
      </c>
      <c r="E895">
        <f>IF(INVENTARIO!I895="","",INVENTARIO!I895)</f>
        <v/>
      </c>
      <c r="F895">
        <f>IF(INVENTARIO!N895="","",INVENTARIO!N895)</f>
        <v/>
      </c>
      <c r="G895">
        <f>IF(INVENTARIO!P895="","",INVENTARIO!P895)</f>
        <v/>
      </c>
      <c r="H895">
        <f>IF(INVENTARIO!Q895="","",INVENTARIO!Q895)</f>
        <v/>
      </c>
      <c r="I895">
        <f>IF(INVENTARIO!R895="","",INVENTARIO!R895)</f>
        <v/>
      </c>
      <c r="J895">
        <f>IF(G895="PUBLICA(1)",1,IF(G895="USO INTERNO(2)",2,IF(G895="RESTRINGIDO(3)",3,0)))+IF(H895="BAJA(1)",1,IF(H895="MEDIA(2)",2,IF(H895="ALTA(3)",3,0)))+IF(I895="BAJA(1)",1,IF(I895="MEDIA(2)",2,IF(I895="ALTA(3)",3,0)))</f>
        <v/>
      </c>
      <c r="K895">
        <f>IF(J895="", "", IF(J895&gt;=8,"ALTA",IF(J895&gt;=6,"MEDIA","BAJA")))</f>
        <v/>
      </c>
      <c r="L895">
        <f>IF(INVENTARIO!Y895="","",INVENTARIO!Y895)</f>
        <v/>
      </c>
      <c r="M895">
        <f>IF(INVENTARIO!Z895="","",INVENTARIO!Z895)</f>
        <v/>
      </c>
      <c r="N895">
        <f>IF(INVENTARIO!AA895="","",INVENTARIO!AA895)</f>
        <v/>
      </c>
      <c r="O895">
        <f>IF(INVENTARIO!AB895="","",INVENTARIO!AB895)</f>
        <v/>
      </c>
      <c r="P895">
        <f>IF(INVENTARIO!AC895="","",INVENTARIO!AC895)</f>
        <v/>
      </c>
      <c r="Q895">
        <f>IF(AND(K895="",N895="",L895=""),"",IF(AND((K895="ALTA"),OR(LEFT(N895,2)="L0",LEFT(N895,2)="L1",L895="No Iniciado")),"CRÍTICO - Incumplimiento Normativo SEPS",IF(AND(OR(LEFT(N895,2)="L4",LEFT(N895,2)="L5"),AND(P895&lt;&gt;"",P895&lt;&gt;"N/A")),"CONFORME - Control Efectivo ISO 27001","OBSERVACIÓN - Revisar Controles")))</f>
        <v/>
      </c>
    </row>
    <row r="896">
      <c r="A896">
        <f>IF(INVENTARIO!A896="","",INVENTARIO!A896)</f>
        <v/>
      </c>
      <c r="B896">
        <f>IF(INVENTARIO!E896="","",INVENTARIO!E896)</f>
        <v/>
      </c>
      <c r="C896">
        <f>IF(INVENTARIO!F896="","",INVENTARIO!F896)</f>
        <v/>
      </c>
      <c r="D896">
        <f>IF(INVENTARIO!H896="","",INVENTARIO!H896)</f>
        <v/>
      </c>
      <c r="E896">
        <f>IF(INVENTARIO!I896="","",INVENTARIO!I896)</f>
        <v/>
      </c>
      <c r="F896">
        <f>IF(INVENTARIO!N896="","",INVENTARIO!N896)</f>
        <v/>
      </c>
      <c r="G896">
        <f>IF(INVENTARIO!P896="","",INVENTARIO!P896)</f>
        <v/>
      </c>
      <c r="H896">
        <f>IF(INVENTARIO!Q896="","",INVENTARIO!Q896)</f>
        <v/>
      </c>
      <c r="I896">
        <f>IF(INVENTARIO!R896="","",INVENTARIO!R896)</f>
        <v/>
      </c>
      <c r="J896">
        <f>IF(G896="PUBLICA(1)",1,IF(G896="USO INTERNO(2)",2,IF(G896="RESTRINGIDO(3)",3,0)))+IF(H896="BAJA(1)",1,IF(H896="MEDIA(2)",2,IF(H896="ALTA(3)",3,0)))+IF(I896="BAJA(1)",1,IF(I896="MEDIA(2)",2,IF(I896="ALTA(3)",3,0)))</f>
        <v/>
      </c>
      <c r="K896">
        <f>IF(J896="", "", IF(J896&gt;=8,"ALTA",IF(J896&gt;=6,"MEDIA","BAJA")))</f>
        <v/>
      </c>
      <c r="L896">
        <f>IF(INVENTARIO!Y896="","",INVENTARIO!Y896)</f>
        <v/>
      </c>
      <c r="M896">
        <f>IF(INVENTARIO!Z896="","",INVENTARIO!Z896)</f>
        <v/>
      </c>
      <c r="N896">
        <f>IF(INVENTARIO!AA896="","",INVENTARIO!AA896)</f>
        <v/>
      </c>
      <c r="O896">
        <f>IF(INVENTARIO!AB896="","",INVENTARIO!AB896)</f>
        <v/>
      </c>
      <c r="P896">
        <f>IF(INVENTARIO!AC896="","",INVENTARIO!AC896)</f>
        <v/>
      </c>
      <c r="Q896">
        <f>IF(AND(K896="",N896="",L896=""),"",IF(AND((K896="ALTA"),OR(LEFT(N896,2)="L0",LEFT(N896,2)="L1",L896="No Iniciado")),"CRÍTICO - Incumplimiento Normativo SEPS",IF(AND(OR(LEFT(N896,2)="L4",LEFT(N896,2)="L5"),AND(P896&lt;&gt;"",P896&lt;&gt;"N/A")),"CONFORME - Control Efectivo ISO 27001","OBSERVACIÓN - Revisar Controles")))</f>
        <v/>
      </c>
    </row>
    <row r="897">
      <c r="A897">
        <f>IF(INVENTARIO!A897="","",INVENTARIO!A897)</f>
        <v/>
      </c>
      <c r="B897">
        <f>IF(INVENTARIO!E897="","",INVENTARIO!E897)</f>
        <v/>
      </c>
      <c r="C897">
        <f>IF(INVENTARIO!F897="","",INVENTARIO!F897)</f>
        <v/>
      </c>
      <c r="D897">
        <f>IF(INVENTARIO!H897="","",INVENTARIO!H897)</f>
        <v/>
      </c>
      <c r="E897">
        <f>IF(INVENTARIO!I897="","",INVENTARIO!I897)</f>
        <v/>
      </c>
      <c r="F897">
        <f>IF(INVENTARIO!N897="","",INVENTARIO!N897)</f>
        <v/>
      </c>
      <c r="G897">
        <f>IF(INVENTARIO!P897="","",INVENTARIO!P897)</f>
        <v/>
      </c>
      <c r="H897">
        <f>IF(INVENTARIO!Q897="","",INVENTARIO!Q897)</f>
        <v/>
      </c>
      <c r="I897">
        <f>IF(INVENTARIO!R897="","",INVENTARIO!R897)</f>
        <v/>
      </c>
      <c r="J897">
        <f>IF(G897="PUBLICA(1)",1,IF(G897="USO INTERNO(2)",2,IF(G897="RESTRINGIDO(3)",3,0)))+IF(H897="BAJA(1)",1,IF(H897="MEDIA(2)",2,IF(H897="ALTA(3)",3,0)))+IF(I897="BAJA(1)",1,IF(I897="MEDIA(2)",2,IF(I897="ALTA(3)",3,0)))</f>
        <v/>
      </c>
      <c r="K897">
        <f>IF(J897="", "", IF(J897&gt;=8,"ALTA",IF(J897&gt;=6,"MEDIA","BAJA")))</f>
        <v/>
      </c>
      <c r="L897">
        <f>IF(INVENTARIO!Y897="","",INVENTARIO!Y897)</f>
        <v/>
      </c>
      <c r="M897">
        <f>IF(INVENTARIO!Z897="","",INVENTARIO!Z897)</f>
        <v/>
      </c>
      <c r="N897">
        <f>IF(INVENTARIO!AA897="","",INVENTARIO!AA897)</f>
        <v/>
      </c>
      <c r="O897">
        <f>IF(INVENTARIO!AB897="","",INVENTARIO!AB897)</f>
        <v/>
      </c>
      <c r="P897">
        <f>IF(INVENTARIO!AC897="","",INVENTARIO!AC897)</f>
        <v/>
      </c>
      <c r="Q897">
        <f>IF(AND(K897="",N897="",L897=""),"",IF(AND((K897="ALTA"),OR(LEFT(N897,2)="L0",LEFT(N897,2)="L1",L897="No Iniciado")),"CRÍTICO - Incumplimiento Normativo SEPS",IF(AND(OR(LEFT(N897,2)="L4",LEFT(N897,2)="L5"),AND(P897&lt;&gt;"",P897&lt;&gt;"N/A")),"CONFORME - Control Efectivo ISO 27001","OBSERVACIÓN - Revisar Controles")))</f>
        <v/>
      </c>
    </row>
    <row r="898">
      <c r="A898">
        <f>IF(INVENTARIO!A898="","",INVENTARIO!A898)</f>
        <v/>
      </c>
      <c r="B898">
        <f>IF(INVENTARIO!E898="","",INVENTARIO!E898)</f>
        <v/>
      </c>
      <c r="C898">
        <f>IF(INVENTARIO!F898="","",INVENTARIO!F898)</f>
        <v/>
      </c>
      <c r="D898">
        <f>IF(INVENTARIO!H898="","",INVENTARIO!H898)</f>
        <v/>
      </c>
      <c r="E898">
        <f>IF(INVENTARIO!I898="","",INVENTARIO!I898)</f>
        <v/>
      </c>
      <c r="F898">
        <f>IF(INVENTARIO!N898="","",INVENTARIO!N898)</f>
        <v/>
      </c>
      <c r="G898">
        <f>IF(INVENTARIO!P898="","",INVENTARIO!P898)</f>
        <v/>
      </c>
      <c r="H898">
        <f>IF(INVENTARIO!Q898="","",INVENTARIO!Q898)</f>
        <v/>
      </c>
      <c r="I898">
        <f>IF(INVENTARIO!R898="","",INVENTARIO!R898)</f>
        <v/>
      </c>
      <c r="J898">
        <f>IF(G898="PUBLICA(1)",1,IF(G898="USO INTERNO(2)",2,IF(G898="RESTRINGIDO(3)",3,0)))+IF(H898="BAJA(1)",1,IF(H898="MEDIA(2)",2,IF(H898="ALTA(3)",3,0)))+IF(I898="BAJA(1)",1,IF(I898="MEDIA(2)",2,IF(I898="ALTA(3)",3,0)))</f>
        <v/>
      </c>
      <c r="K898">
        <f>IF(J898="", "", IF(J898&gt;=8,"ALTA",IF(J898&gt;=6,"MEDIA","BAJA")))</f>
        <v/>
      </c>
      <c r="L898">
        <f>IF(INVENTARIO!Y898="","",INVENTARIO!Y898)</f>
        <v/>
      </c>
      <c r="M898">
        <f>IF(INVENTARIO!Z898="","",INVENTARIO!Z898)</f>
        <v/>
      </c>
      <c r="N898">
        <f>IF(INVENTARIO!AA898="","",INVENTARIO!AA898)</f>
        <v/>
      </c>
      <c r="O898">
        <f>IF(INVENTARIO!AB898="","",INVENTARIO!AB898)</f>
        <v/>
      </c>
      <c r="P898">
        <f>IF(INVENTARIO!AC898="","",INVENTARIO!AC898)</f>
        <v/>
      </c>
      <c r="Q898">
        <f>IF(AND(K898="",N898="",L898=""),"",IF(AND((K898="ALTA"),OR(LEFT(N898,2)="L0",LEFT(N898,2)="L1",L898="No Iniciado")),"CRÍTICO - Incumplimiento Normativo SEPS",IF(AND(OR(LEFT(N898,2)="L4",LEFT(N898,2)="L5"),AND(P898&lt;&gt;"",P898&lt;&gt;"N/A")),"CONFORME - Control Efectivo ISO 27001","OBSERVACIÓN - Revisar Controles")))</f>
        <v/>
      </c>
    </row>
    <row r="899">
      <c r="A899">
        <f>IF(INVENTARIO!A899="","",INVENTARIO!A899)</f>
        <v/>
      </c>
      <c r="B899">
        <f>IF(INVENTARIO!E899="","",INVENTARIO!E899)</f>
        <v/>
      </c>
      <c r="C899">
        <f>IF(INVENTARIO!F899="","",INVENTARIO!F899)</f>
        <v/>
      </c>
      <c r="D899">
        <f>IF(INVENTARIO!H899="","",INVENTARIO!H899)</f>
        <v/>
      </c>
      <c r="E899">
        <f>IF(INVENTARIO!I899="","",INVENTARIO!I899)</f>
        <v/>
      </c>
      <c r="F899">
        <f>IF(INVENTARIO!N899="","",INVENTARIO!N899)</f>
        <v/>
      </c>
      <c r="G899">
        <f>IF(INVENTARIO!P899="","",INVENTARIO!P899)</f>
        <v/>
      </c>
      <c r="H899">
        <f>IF(INVENTARIO!Q899="","",INVENTARIO!Q899)</f>
        <v/>
      </c>
      <c r="I899">
        <f>IF(INVENTARIO!R899="","",INVENTARIO!R899)</f>
        <v/>
      </c>
      <c r="J899">
        <f>IF(G899="PUBLICA(1)",1,IF(G899="USO INTERNO(2)",2,IF(G899="RESTRINGIDO(3)",3,0)))+IF(H899="BAJA(1)",1,IF(H899="MEDIA(2)",2,IF(H899="ALTA(3)",3,0)))+IF(I899="BAJA(1)",1,IF(I899="MEDIA(2)",2,IF(I899="ALTA(3)",3,0)))</f>
        <v/>
      </c>
      <c r="K899">
        <f>IF(J899="", "", IF(J899&gt;=8,"ALTA",IF(J899&gt;=6,"MEDIA","BAJA")))</f>
        <v/>
      </c>
      <c r="L899">
        <f>IF(INVENTARIO!Y899="","",INVENTARIO!Y899)</f>
        <v/>
      </c>
      <c r="M899">
        <f>IF(INVENTARIO!Z899="","",INVENTARIO!Z899)</f>
        <v/>
      </c>
      <c r="N899">
        <f>IF(INVENTARIO!AA899="","",INVENTARIO!AA899)</f>
        <v/>
      </c>
      <c r="O899">
        <f>IF(INVENTARIO!AB899="","",INVENTARIO!AB899)</f>
        <v/>
      </c>
      <c r="P899">
        <f>IF(INVENTARIO!AC899="","",INVENTARIO!AC899)</f>
        <v/>
      </c>
      <c r="Q899">
        <f>IF(AND(K899="",N899="",L899=""),"",IF(AND((K899="ALTA"),OR(LEFT(N899,2)="L0",LEFT(N899,2)="L1",L899="No Iniciado")),"CRÍTICO - Incumplimiento Normativo SEPS",IF(AND(OR(LEFT(N899,2)="L4",LEFT(N899,2)="L5"),AND(P899&lt;&gt;"",P899&lt;&gt;"N/A")),"CONFORME - Control Efectivo ISO 27001","OBSERVACIÓN - Revisar Controles")))</f>
        <v/>
      </c>
    </row>
    <row r="900">
      <c r="A900">
        <f>IF(INVENTARIO!A900="","",INVENTARIO!A900)</f>
        <v/>
      </c>
      <c r="B900">
        <f>IF(INVENTARIO!E900="","",INVENTARIO!E900)</f>
        <v/>
      </c>
      <c r="C900">
        <f>IF(INVENTARIO!F900="","",INVENTARIO!F900)</f>
        <v/>
      </c>
      <c r="D900">
        <f>IF(INVENTARIO!H900="","",INVENTARIO!H900)</f>
        <v/>
      </c>
      <c r="E900">
        <f>IF(INVENTARIO!I900="","",INVENTARIO!I900)</f>
        <v/>
      </c>
      <c r="F900">
        <f>IF(INVENTARIO!N900="","",INVENTARIO!N900)</f>
        <v/>
      </c>
      <c r="G900">
        <f>IF(INVENTARIO!P900="","",INVENTARIO!P900)</f>
        <v/>
      </c>
      <c r="H900">
        <f>IF(INVENTARIO!Q900="","",INVENTARIO!Q900)</f>
        <v/>
      </c>
      <c r="I900">
        <f>IF(INVENTARIO!R900="","",INVENTARIO!R900)</f>
        <v/>
      </c>
      <c r="J900">
        <f>IF(G900="PUBLICA(1)",1,IF(G900="USO INTERNO(2)",2,IF(G900="RESTRINGIDO(3)",3,0)))+IF(H900="BAJA(1)",1,IF(H900="MEDIA(2)",2,IF(H900="ALTA(3)",3,0)))+IF(I900="BAJA(1)",1,IF(I900="MEDIA(2)",2,IF(I900="ALTA(3)",3,0)))</f>
        <v/>
      </c>
      <c r="K900">
        <f>IF(J900="", "", IF(J900&gt;=8,"ALTA",IF(J900&gt;=6,"MEDIA","BAJA")))</f>
        <v/>
      </c>
      <c r="L900">
        <f>IF(INVENTARIO!Y900="","",INVENTARIO!Y900)</f>
        <v/>
      </c>
      <c r="M900">
        <f>IF(INVENTARIO!Z900="","",INVENTARIO!Z900)</f>
        <v/>
      </c>
      <c r="N900">
        <f>IF(INVENTARIO!AA900="","",INVENTARIO!AA900)</f>
        <v/>
      </c>
      <c r="O900">
        <f>IF(INVENTARIO!AB900="","",INVENTARIO!AB900)</f>
        <v/>
      </c>
      <c r="P900">
        <f>IF(INVENTARIO!AC900="","",INVENTARIO!AC900)</f>
        <v/>
      </c>
      <c r="Q900">
        <f>IF(AND(K900="",N900="",L900=""),"",IF(AND((K900="ALTA"),OR(LEFT(N900,2)="L0",LEFT(N900,2)="L1",L900="No Iniciado")),"CRÍTICO - Incumplimiento Normativo SEPS",IF(AND(OR(LEFT(N900,2)="L4",LEFT(N900,2)="L5"),AND(P900&lt;&gt;"",P900&lt;&gt;"N/A")),"CONFORME - Control Efectivo ISO 27001","OBSERVACIÓN - Revisar Controles")))</f>
        <v/>
      </c>
    </row>
    <row r="901">
      <c r="A901">
        <f>IF(INVENTARIO!A901="","",INVENTARIO!A901)</f>
        <v/>
      </c>
      <c r="B901">
        <f>IF(INVENTARIO!E901="","",INVENTARIO!E901)</f>
        <v/>
      </c>
      <c r="C901">
        <f>IF(INVENTARIO!F901="","",INVENTARIO!F901)</f>
        <v/>
      </c>
      <c r="D901">
        <f>IF(INVENTARIO!H901="","",INVENTARIO!H901)</f>
        <v/>
      </c>
      <c r="E901">
        <f>IF(INVENTARIO!I901="","",INVENTARIO!I901)</f>
        <v/>
      </c>
      <c r="F901">
        <f>IF(INVENTARIO!N901="","",INVENTARIO!N901)</f>
        <v/>
      </c>
      <c r="G901">
        <f>IF(INVENTARIO!P901="","",INVENTARIO!P901)</f>
        <v/>
      </c>
      <c r="H901">
        <f>IF(INVENTARIO!Q901="","",INVENTARIO!Q901)</f>
        <v/>
      </c>
      <c r="I901">
        <f>IF(INVENTARIO!R901="","",INVENTARIO!R901)</f>
        <v/>
      </c>
      <c r="J901">
        <f>IF(G901="PUBLICA(1)",1,IF(G901="USO INTERNO(2)",2,IF(G901="RESTRINGIDO(3)",3,0)))+IF(H901="BAJA(1)",1,IF(H901="MEDIA(2)",2,IF(H901="ALTA(3)",3,0)))+IF(I901="BAJA(1)",1,IF(I901="MEDIA(2)",2,IF(I901="ALTA(3)",3,0)))</f>
        <v/>
      </c>
      <c r="K901">
        <f>IF(J901="", "", IF(J901&gt;=8,"ALTA",IF(J901&gt;=6,"MEDIA","BAJA")))</f>
        <v/>
      </c>
      <c r="L901">
        <f>IF(INVENTARIO!Y901="","",INVENTARIO!Y901)</f>
        <v/>
      </c>
      <c r="M901">
        <f>IF(INVENTARIO!Z901="","",INVENTARIO!Z901)</f>
        <v/>
      </c>
      <c r="N901">
        <f>IF(INVENTARIO!AA901="","",INVENTARIO!AA901)</f>
        <v/>
      </c>
      <c r="O901">
        <f>IF(INVENTARIO!AB901="","",INVENTARIO!AB901)</f>
        <v/>
      </c>
      <c r="P901">
        <f>IF(INVENTARIO!AC901="","",INVENTARIO!AC901)</f>
        <v/>
      </c>
      <c r="Q901">
        <f>IF(AND(K901="",N901="",L901=""),"",IF(AND((K901="ALTA"),OR(LEFT(N901,2)="L0",LEFT(N901,2)="L1",L901="No Iniciado")),"CRÍTICO - Incumplimiento Normativo SEPS",IF(AND(OR(LEFT(N901,2)="L4",LEFT(N901,2)="L5"),AND(P901&lt;&gt;"",P901&lt;&gt;"N/A")),"CONFORME - Control Efectivo ISO 27001","OBSERVACIÓN - Revisar Controles")))</f>
        <v/>
      </c>
    </row>
    <row r="902">
      <c r="A902">
        <f>IF(INVENTARIO!A902="","",INVENTARIO!A902)</f>
        <v/>
      </c>
      <c r="B902">
        <f>IF(INVENTARIO!E902="","",INVENTARIO!E902)</f>
        <v/>
      </c>
      <c r="C902">
        <f>IF(INVENTARIO!F902="","",INVENTARIO!F902)</f>
        <v/>
      </c>
      <c r="D902">
        <f>IF(INVENTARIO!H902="","",INVENTARIO!H902)</f>
        <v/>
      </c>
      <c r="E902">
        <f>IF(INVENTARIO!I902="","",INVENTARIO!I902)</f>
        <v/>
      </c>
      <c r="F902">
        <f>IF(INVENTARIO!N902="","",INVENTARIO!N902)</f>
        <v/>
      </c>
      <c r="G902">
        <f>IF(INVENTARIO!P902="","",INVENTARIO!P902)</f>
        <v/>
      </c>
      <c r="H902">
        <f>IF(INVENTARIO!Q902="","",INVENTARIO!Q902)</f>
        <v/>
      </c>
      <c r="I902">
        <f>IF(INVENTARIO!R902="","",INVENTARIO!R902)</f>
        <v/>
      </c>
      <c r="J902">
        <f>IF(G902="PUBLICA(1)",1,IF(G902="USO INTERNO(2)",2,IF(G902="RESTRINGIDO(3)",3,0)))+IF(H902="BAJA(1)",1,IF(H902="MEDIA(2)",2,IF(H902="ALTA(3)",3,0)))+IF(I902="BAJA(1)",1,IF(I902="MEDIA(2)",2,IF(I902="ALTA(3)",3,0)))</f>
        <v/>
      </c>
      <c r="K902">
        <f>IF(J902="", "", IF(J902&gt;=8,"ALTA",IF(J902&gt;=6,"MEDIA","BAJA")))</f>
        <v/>
      </c>
      <c r="L902">
        <f>IF(INVENTARIO!Y902="","",INVENTARIO!Y902)</f>
        <v/>
      </c>
      <c r="M902">
        <f>IF(INVENTARIO!Z902="","",INVENTARIO!Z902)</f>
        <v/>
      </c>
      <c r="N902">
        <f>IF(INVENTARIO!AA902="","",INVENTARIO!AA902)</f>
        <v/>
      </c>
      <c r="O902">
        <f>IF(INVENTARIO!AB902="","",INVENTARIO!AB902)</f>
        <v/>
      </c>
      <c r="P902">
        <f>IF(INVENTARIO!AC902="","",INVENTARIO!AC902)</f>
        <v/>
      </c>
      <c r="Q902">
        <f>IF(AND(K902="",N902="",L902=""),"",IF(AND((K902="ALTA"),OR(LEFT(N902,2)="L0",LEFT(N902,2)="L1",L902="No Iniciado")),"CRÍTICO - Incumplimiento Normativo SEPS",IF(AND(OR(LEFT(N902,2)="L4",LEFT(N902,2)="L5"),AND(P902&lt;&gt;"",P902&lt;&gt;"N/A")),"CONFORME - Control Efectivo ISO 27001","OBSERVACIÓN - Revisar Controles")))</f>
        <v/>
      </c>
    </row>
    <row r="903">
      <c r="A903">
        <f>IF(INVENTARIO!A903="","",INVENTARIO!A903)</f>
        <v/>
      </c>
      <c r="B903">
        <f>IF(INVENTARIO!E903="","",INVENTARIO!E903)</f>
        <v/>
      </c>
      <c r="C903">
        <f>IF(INVENTARIO!F903="","",INVENTARIO!F903)</f>
        <v/>
      </c>
      <c r="D903">
        <f>IF(INVENTARIO!H903="","",INVENTARIO!H903)</f>
        <v/>
      </c>
      <c r="E903">
        <f>IF(INVENTARIO!I903="","",INVENTARIO!I903)</f>
        <v/>
      </c>
      <c r="F903">
        <f>IF(INVENTARIO!N903="","",INVENTARIO!N903)</f>
        <v/>
      </c>
      <c r="G903">
        <f>IF(INVENTARIO!P903="","",INVENTARIO!P903)</f>
        <v/>
      </c>
      <c r="H903">
        <f>IF(INVENTARIO!Q903="","",INVENTARIO!Q903)</f>
        <v/>
      </c>
      <c r="I903">
        <f>IF(INVENTARIO!R903="","",INVENTARIO!R903)</f>
        <v/>
      </c>
      <c r="J903">
        <f>IF(G903="PUBLICA(1)",1,IF(G903="USO INTERNO(2)",2,IF(G903="RESTRINGIDO(3)",3,0)))+IF(H903="BAJA(1)",1,IF(H903="MEDIA(2)",2,IF(H903="ALTA(3)",3,0)))+IF(I903="BAJA(1)",1,IF(I903="MEDIA(2)",2,IF(I903="ALTA(3)",3,0)))</f>
        <v/>
      </c>
      <c r="K903">
        <f>IF(J903="", "", IF(J903&gt;=8,"ALTA",IF(J903&gt;=6,"MEDIA","BAJA")))</f>
        <v/>
      </c>
      <c r="L903">
        <f>IF(INVENTARIO!Y903="","",INVENTARIO!Y903)</f>
        <v/>
      </c>
      <c r="M903">
        <f>IF(INVENTARIO!Z903="","",INVENTARIO!Z903)</f>
        <v/>
      </c>
      <c r="N903">
        <f>IF(INVENTARIO!AA903="","",INVENTARIO!AA903)</f>
        <v/>
      </c>
      <c r="O903">
        <f>IF(INVENTARIO!AB903="","",INVENTARIO!AB903)</f>
        <v/>
      </c>
      <c r="P903">
        <f>IF(INVENTARIO!AC903="","",INVENTARIO!AC903)</f>
        <v/>
      </c>
      <c r="Q903">
        <f>IF(AND(K903="",N903="",L903=""),"",IF(AND((K903="ALTA"),OR(LEFT(N903,2)="L0",LEFT(N903,2)="L1",L903="No Iniciado")),"CRÍTICO - Incumplimiento Normativo SEPS",IF(AND(OR(LEFT(N903,2)="L4",LEFT(N903,2)="L5"),AND(P903&lt;&gt;"",P903&lt;&gt;"N/A")),"CONFORME - Control Efectivo ISO 27001","OBSERVACIÓN - Revisar Controles")))</f>
        <v/>
      </c>
    </row>
    <row r="904">
      <c r="A904">
        <f>IF(INVENTARIO!A904="","",INVENTARIO!A904)</f>
        <v/>
      </c>
      <c r="B904">
        <f>IF(INVENTARIO!E904="","",INVENTARIO!E904)</f>
        <v/>
      </c>
      <c r="C904">
        <f>IF(INVENTARIO!F904="","",INVENTARIO!F904)</f>
        <v/>
      </c>
      <c r="D904">
        <f>IF(INVENTARIO!H904="","",INVENTARIO!H904)</f>
        <v/>
      </c>
      <c r="E904">
        <f>IF(INVENTARIO!I904="","",INVENTARIO!I904)</f>
        <v/>
      </c>
      <c r="F904">
        <f>IF(INVENTARIO!N904="","",INVENTARIO!N904)</f>
        <v/>
      </c>
      <c r="G904">
        <f>IF(INVENTARIO!P904="","",INVENTARIO!P904)</f>
        <v/>
      </c>
      <c r="H904">
        <f>IF(INVENTARIO!Q904="","",INVENTARIO!Q904)</f>
        <v/>
      </c>
      <c r="I904">
        <f>IF(INVENTARIO!R904="","",INVENTARIO!R904)</f>
        <v/>
      </c>
      <c r="J904">
        <f>IF(G904="PUBLICA(1)",1,IF(G904="USO INTERNO(2)",2,IF(G904="RESTRINGIDO(3)",3,0)))+IF(H904="BAJA(1)",1,IF(H904="MEDIA(2)",2,IF(H904="ALTA(3)",3,0)))+IF(I904="BAJA(1)",1,IF(I904="MEDIA(2)",2,IF(I904="ALTA(3)",3,0)))</f>
        <v/>
      </c>
      <c r="K904">
        <f>IF(J904="", "", IF(J904&gt;=8,"ALTA",IF(J904&gt;=6,"MEDIA","BAJA")))</f>
        <v/>
      </c>
      <c r="L904">
        <f>IF(INVENTARIO!Y904="","",INVENTARIO!Y904)</f>
        <v/>
      </c>
      <c r="M904">
        <f>IF(INVENTARIO!Z904="","",INVENTARIO!Z904)</f>
        <v/>
      </c>
      <c r="N904">
        <f>IF(INVENTARIO!AA904="","",INVENTARIO!AA904)</f>
        <v/>
      </c>
      <c r="O904">
        <f>IF(INVENTARIO!AB904="","",INVENTARIO!AB904)</f>
        <v/>
      </c>
      <c r="P904">
        <f>IF(INVENTARIO!AC904="","",INVENTARIO!AC904)</f>
        <v/>
      </c>
      <c r="Q904">
        <f>IF(AND(K904="",N904="",L904=""),"",IF(AND((K904="ALTA"),OR(LEFT(N904,2)="L0",LEFT(N904,2)="L1",L904="No Iniciado")),"CRÍTICO - Incumplimiento Normativo SEPS",IF(AND(OR(LEFT(N904,2)="L4",LEFT(N904,2)="L5"),AND(P904&lt;&gt;"",P904&lt;&gt;"N/A")),"CONFORME - Control Efectivo ISO 27001","OBSERVACIÓN - Revisar Controles")))</f>
        <v/>
      </c>
    </row>
    <row r="905">
      <c r="A905">
        <f>IF(INVENTARIO!A905="","",INVENTARIO!A905)</f>
        <v/>
      </c>
      <c r="B905">
        <f>IF(INVENTARIO!E905="","",INVENTARIO!E905)</f>
        <v/>
      </c>
      <c r="C905">
        <f>IF(INVENTARIO!F905="","",INVENTARIO!F905)</f>
        <v/>
      </c>
      <c r="D905">
        <f>IF(INVENTARIO!H905="","",INVENTARIO!H905)</f>
        <v/>
      </c>
      <c r="E905">
        <f>IF(INVENTARIO!I905="","",INVENTARIO!I905)</f>
        <v/>
      </c>
      <c r="F905">
        <f>IF(INVENTARIO!N905="","",INVENTARIO!N905)</f>
        <v/>
      </c>
      <c r="G905">
        <f>IF(INVENTARIO!P905="","",INVENTARIO!P905)</f>
        <v/>
      </c>
      <c r="H905">
        <f>IF(INVENTARIO!Q905="","",INVENTARIO!Q905)</f>
        <v/>
      </c>
      <c r="I905">
        <f>IF(INVENTARIO!R905="","",INVENTARIO!R905)</f>
        <v/>
      </c>
      <c r="J905">
        <f>IF(G905="PUBLICA(1)",1,IF(G905="USO INTERNO(2)",2,IF(G905="RESTRINGIDO(3)",3,0)))+IF(H905="BAJA(1)",1,IF(H905="MEDIA(2)",2,IF(H905="ALTA(3)",3,0)))+IF(I905="BAJA(1)",1,IF(I905="MEDIA(2)",2,IF(I905="ALTA(3)",3,0)))</f>
        <v/>
      </c>
      <c r="K905">
        <f>IF(J905="", "", IF(J905&gt;=8,"ALTA",IF(J905&gt;=6,"MEDIA","BAJA")))</f>
        <v/>
      </c>
      <c r="L905">
        <f>IF(INVENTARIO!Y905="","",INVENTARIO!Y905)</f>
        <v/>
      </c>
      <c r="M905">
        <f>IF(INVENTARIO!Z905="","",INVENTARIO!Z905)</f>
        <v/>
      </c>
      <c r="N905">
        <f>IF(INVENTARIO!AA905="","",INVENTARIO!AA905)</f>
        <v/>
      </c>
      <c r="O905">
        <f>IF(INVENTARIO!AB905="","",INVENTARIO!AB905)</f>
        <v/>
      </c>
      <c r="P905">
        <f>IF(INVENTARIO!AC905="","",INVENTARIO!AC905)</f>
        <v/>
      </c>
      <c r="Q905">
        <f>IF(AND(K905="",N905="",L905=""),"",IF(AND((K905="ALTA"),OR(LEFT(N905,2)="L0",LEFT(N905,2)="L1",L905="No Iniciado")),"CRÍTICO - Incumplimiento Normativo SEPS",IF(AND(OR(LEFT(N905,2)="L4",LEFT(N905,2)="L5"),AND(P905&lt;&gt;"",P905&lt;&gt;"N/A")),"CONFORME - Control Efectivo ISO 27001","OBSERVACIÓN - Revisar Controles")))</f>
        <v/>
      </c>
    </row>
    <row r="906">
      <c r="A906">
        <f>IF(INVENTARIO!A906="","",INVENTARIO!A906)</f>
        <v/>
      </c>
      <c r="B906">
        <f>IF(INVENTARIO!E906="","",INVENTARIO!E906)</f>
        <v/>
      </c>
      <c r="C906">
        <f>IF(INVENTARIO!F906="","",INVENTARIO!F906)</f>
        <v/>
      </c>
      <c r="D906">
        <f>IF(INVENTARIO!H906="","",INVENTARIO!H906)</f>
        <v/>
      </c>
      <c r="E906">
        <f>IF(INVENTARIO!I906="","",INVENTARIO!I906)</f>
        <v/>
      </c>
      <c r="F906">
        <f>IF(INVENTARIO!N906="","",INVENTARIO!N906)</f>
        <v/>
      </c>
      <c r="G906">
        <f>IF(INVENTARIO!P906="","",INVENTARIO!P906)</f>
        <v/>
      </c>
      <c r="H906">
        <f>IF(INVENTARIO!Q906="","",INVENTARIO!Q906)</f>
        <v/>
      </c>
      <c r="I906">
        <f>IF(INVENTARIO!R906="","",INVENTARIO!R906)</f>
        <v/>
      </c>
      <c r="J906">
        <f>IF(G906="PUBLICA(1)",1,IF(G906="USO INTERNO(2)",2,IF(G906="RESTRINGIDO(3)",3,0)))+IF(H906="BAJA(1)",1,IF(H906="MEDIA(2)",2,IF(H906="ALTA(3)",3,0)))+IF(I906="BAJA(1)",1,IF(I906="MEDIA(2)",2,IF(I906="ALTA(3)",3,0)))</f>
        <v/>
      </c>
      <c r="K906">
        <f>IF(J906="", "", IF(J906&gt;=8,"ALTA",IF(J906&gt;=6,"MEDIA","BAJA")))</f>
        <v/>
      </c>
      <c r="L906">
        <f>IF(INVENTARIO!Y906="","",INVENTARIO!Y906)</f>
        <v/>
      </c>
      <c r="M906">
        <f>IF(INVENTARIO!Z906="","",INVENTARIO!Z906)</f>
        <v/>
      </c>
      <c r="N906">
        <f>IF(INVENTARIO!AA906="","",INVENTARIO!AA906)</f>
        <v/>
      </c>
      <c r="O906">
        <f>IF(INVENTARIO!AB906="","",INVENTARIO!AB906)</f>
        <v/>
      </c>
      <c r="P906">
        <f>IF(INVENTARIO!AC906="","",INVENTARIO!AC906)</f>
        <v/>
      </c>
      <c r="Q906">
        <f>IF(AND(K906="",N906="",L906=""),"",IF(AND((K906="ALTA"),OR(LEFT(N906,2)="L0",LEFT(N906,2)="L1",L906="No Iniciado")),"CRÍTICO - Incumplimiento Normativo SEPS",IF(AND(OR(LEFT(N906,2)="L4",LEFT(N906,2)="L5"),AND(P906&lt;&gt;"",P906&lt;&gt;"N/A")),"CONFORME - Control Efectivo ISO 27001","OBSERVACIÓN - Revisar Controles")))</f>
        <v/>
      </c>
    </row>
    <row r="907">
      <c r="A907">
        <f>IF(INVENTARIO!A907="","",INVENTARIO!A907)</f>
        <v/>
      </c>
      <c r="B907">
        <f>IF(INVENTARIO!E907="","",INVENTARIO!E907)</f>
        <v/>
      </c>
      <c r="C907">
        <f>IF(INVENTARIO!F907="","",INVENTARIO!F907)</f>
        <v/>
      </c>
      <c r="D907">
        <f>IF(INVENTARIO!H907="","",INVENTARIO!H907)</f>
        <v/>
      </c>
      <c r="E907">
        <f>IF(INVENTARIO!I907="","",INVENTARIO!I907)</f>
        <v/>
      </c>
      <c r="F907">
        <f>IF(INVENTARIO!N907="","",INVENTARIO!N907)</f>
        <v/>
      </c>
      <c r="G907">
        <f>IF(INVENTARIO!P907="","",INVENTARIO!P907)</f>
        <v/>
      </c>
      <c r="H907">
        <f>IF(INVENTARIO!Q907="","",INVENTARIO!Q907)</f>
        <v/>
      </c>
      <c r="I907">
        <f>IF(INVENTARIO!R907="","",INVENTARIO!R907)</f>
        <v/>
      </c>
      <c r="J907">
        <f>IF(G907="PUBLICA(1)",1,IF(G907="USO INTERNO(2)",2,IF(G907="RESTRINGIDO(3)",3,0)))+IF(H907="BAJA(1)",1,IF(H907="MEDIA(2)",2,IF(H907="ALTA(3)",3,0)))+IF(I907="BAJA(1)",1,IF(I907="MEDIA(2)",2,IF(I907="ALTA(3)",3,0)))</f>
        <v/>
      </c>
      <c r="K907">
        <f>IF(J907="", "", IF(J907&gt;=8,"ALTA",IF(J907&gt;=6,"MEDIA","BAJA")))</f>
        <v/>
      </c>
      <c r="L907">
        <f>IF(INVENTARIO!Y907="","",INVENTARIO!Y907)</f>
        <v/>
      </c>
      <c r="M907">
        <f>IF(INVENTARIO!Z907="","",INVENTARIO!Z907)</f>
        <v/>
      </c>
      <c r="N907">
        <f>IF(INVENTARIO!AA907="","",INVENTARIO!AA907)</f>
        <v/>
      </c>
      <c r="O907">
        <f>IF(INVENTARIO!AB907="","",INVENTARIO!AB907)</f>
        <v/>
      </c>
      <c r="P907">
        <f>IF(INVENTARIO!AC907="","",INVENTARIO!AC907)</f>
        <v/>
      </c>
      <c r="Q907">
        <f>IF(AND(K907="",N907="",L907=""),"",IF(AND((K907="ALTA"),OR(LEFT(N907,2)="L0",LEFT(N907,2)="L1",L907="No Iniciado")),"CRÍTICO - Incumplimiento Normativo SEPS",IF(AND(OR(LEFT(N907,2)="L4",LEFT(N907,2)="L5"),AND(P907&lt;&gt;"",P907&lt;&gt;"N/A")),"CONFORME - Control Efectivo ISO 27001","OBSERVACIÓN - Revisar Controles")))</f>
        <v/>
      </c>
    </row>
    <row r="908">
      <c r="A908">
        <f>IF(INVENTARIO!A908="","",INVENTARIO!A908)</f>
        <v/>
      </c>
      <c r="B908">
        <f>IF(INVENTARIO!E908="","",INVENTARIO!E908)</f>
        <v/>
      </c>
      <c r="C908">
        <f>IF(INVENTARIO!F908="","",INVENTARIO!F908)</f>
        <v/>
      </c>
      <c r="D908">
        <f>IF(INVENTARIO!H908="","",INVENTARIO!H908)</f>
        <v/>
      </c>
      <c r="E908">
        <f>IF(INVENTARIO!I908="","",INVENTARIO!I908)</f>
        <v/>
      </c>
      <c r="F908">
        <f>IF(INVENTARIO!N908="","",INVENTARIO!N908)</f>
        <v/>
      </c>
      <c r="G908">
        <f>IF(INVENTARIO!P908="","",INVENTARIO!P908)</f>
        <v/>
      </c>
      <c r="H908">
        <f>IF(INVENTARIO!Q908="","",INVENTARIO!Q908)</f>
        <v/>
      </c>
      <c r="I908">
        <f>IF(INVENTARIO!R908="","",INVENTARIO!R908)</f>
        <v/>
      </c>
      <c r="J908">
        <f>IF(G908="PUBLICA(1)",1,IF(G908="USO INTERNO(2)",2,IF(G908="RESTRINGIDO(3)",3,0)))+IF(H908="BAJA(1)",1,IF(H908="MEDIA(2)",2,IF(H908="ALTA(3)",3,0)))+IF(I908="BAJA(1)",1,IF(I908="MEDIA(2)",2,IF(I908="ALTA(3)",3,0)))</f>
        <v/>
      </c>
      <c r="K908">
        <f>IF(J908="", "", IF(J908&gt;=8,"ALTA",IF(J908&gt;=6,"MEDIA","BAJA")))</f>
        <v/>
      </c>
      <c r="L908">
        <f>IF(INVENTARIO!Y908="","",INVENTARIO!Y908)</f>
        <v/>
      </c>
      <c r="M908">
        <f>IF(INVENTARIO!Z908="","",INVENTARIO!Z908)</f>
        <v/>
      </c>
      <c r="N908">
        <f>IF(INVENTARIO!AA908="","",INVENTARIO!AA908)</f>
        <v/>
      </c>
      <c r="O908">
        <f>IF(INVENTARIO!AB908="","",INVENTARIO!AB908)</f>
        <v/>
      </c>
      <c r="P908">
        <f>IF(INVENTARIO!AC908="","",INVENTARIO!AC908)</f>
        <v/>
      </c>
      <c r="Q908">
        <f>IF(AND(K908="",N908="",L908=""),"",IF(AND((K908="ALTA"),OR(LEFT(N908,2)="L0",LEFT(N908,2)="L1",L908="No Iniciado")),"CRÍTICO - Incumplimiento Normativo SEPS",IF(AND(OR(LEFT(N908,2)="L4",LEFT(N908,2)="L5"),AND(P908&lt;&gt;"",P908&lt;&gt;"N/A")),"CONFORME - Control Efectivo ISO 27001","OBSERVACIÓN - Revisar Controles")))</f>
        <v/>
      </c>
    </row>
    <row r="909">
      <c r="A909">
        <f>IF(INVENTARIO!A909="","",INVENTARIO!A909)</f>
        <v/>
      </c>
      <c r="B909">
        <f>IF(INVENTARIO!E909="","",INVENTARIO!E909)</f>
        <v/>
      </c>
      <c r="C909">
        <f>IF(INVENTARIO!F909="","",INVENTARIO!F909)</f>
        <v/>
      </c>
      <c r="D909">
        <f>IF(INVENTARIO!H909="","",INVENTARIO!H909)</f>
        <v/>
      </c>
      <c r="E909">
        <f>IF(INVENTARIO!I909="","",INVENTARIO!I909)</f>
        <v/>
      </c>
      <c r="F909">
        <f>IF(INVENTARIO!N909="","",INVENTARIO!N909)</f>
        <v/>
      </c>
      <c r="G909">
        <f>IF(INVENTARIO!P909="","",INVENTARIO!P909)</f>
        <v/>
      </c>
      <c r="H909">
        <f>IF(INVENTARIO!Q909="","",INVENTARIO!Q909)</f>
        <v/>
      </c>
      <c r="I909">
        <f>IF(INVENTARIO!R909="","",INVENTARIO!R909)</f>
        <v/>
      </c>
      <c r="J909">
        <f>IF(G909="PUBLICA(1)",1,IF(G909="USO INTERNO(2)",2,IF(G909="RESTRINGIDO(3)",3,0)))+IF(H909="BAJA(1)",1,IF(H909="MEDIA(2)",2,IF(H909="ALTA(3)",3,0)))+IF(I909="BAJA(1)",1,IF(I909="MEDIA(2)",2,IF(I909="ALTA(3)",3,0)))</f>
        <v/>
      </c>
      <c r="K909">
        <f>IF(J909="", "", IF(J909&gt;=8,"ALTA",IF(J909&gt;=6,"MEDIA","BAJA")))</f>
        <v/>
      </c>
      <c r="L909">
        <f>IF(INVENTARIO!Y909="","",INVENTARIO!Y909)</f>
        <v/>
      </c>
      <c r="M909">
        <f>IF(INVENTARIO!Z909="","",INVENTARIO!Z909)</f>
        <v/>
      </c>
      <c r="N909">
        <f>IF(INVENTARIO!AA909="","",INVENTARIO!AA909)</f>
        <v/>
      </c>
      <c r="O909">
        <f>IF(INVENTARIO!AB909="","",INVENTARIO!AB909)</f>
        <v/>
      </c>
      <c r="P909">
        <f>IF(INVENTARIO!AC909="","",INVENTARIO!AC909)</f>
        <v/>
      </c>
      <c r="Q909">
        <f>IF(AND(K909="",N909="",L909=""),"",IF(AND((K909="ALTA"),OR(LEFT(N909,2)="L0",LEFT(N909,2)="L1",L909="No Iniciado")),"CRÍTICO - Incumplimiento Normativo SEPS",IF(AND(OR(LEFT(N909,2)="L4",LEFT(N909,2)="L5"),AND(P909&lt;&gt;"",P909&lt;&gt;"N/A")),"CONFORME - Control Efectivo ISO 27001","OBSERVACIÓN - Revisar Controles")))</f>
        <v/>
      </c>
    </row>
    <row r="910">
      <c r="A910">
        <f>IF(INVENTARIO!A910="","",INVENTARIO!A910)</f>
        <v/>
      </c>
      <c r="B910">
        <f>IF(INVENTARIO!E910="","",INVENTARIO!E910)</f>
        <v/>
      </c>
      <c r="C910">
        <f>IF(INVENTARIO!F910="","",INVENTARIO!F910)</f>
        <v/>
      </c>
      <c r="D910">
        <f>IF(INVENTARIO!H910="","",INVENTARIO!H910)</f>
        <v/>
      </c>
      <c r="E910">
        <f>IF(INVENTARIO!I910="","",INVENTARIO!I910)</f>
        <v/>
      </c>
      <c r="F910">
        <f>IF(INVENTARIO!N910="","",INVENTARIO!N910)</f>
        <v/>
      </c>
      <c r="G910">
        <f>IF(INVENTARIO!P910="","",INVENTARIO!P910)</f>
        <v/>
      </c>
      <c r="H910">
        <f>IF(INVENTARIO!Q910="","",INVENTARIO!Q910)</f>
        <v/>
      </c>
      <c r="I910">
        <f>IF(INVENTARIO!R910="","",INVENTARIO!R910)</f>
        <v/>
      </c>
      <c r="J910">
        <f>IF(G910="PUBLICA(1)",1,IF(G910="USO INTERNO(2)",2,IF(G910="RESTRINGIDO(3)",3,0)))+IF(H910="BAJA(1)",1,IF(H910="MEDIA(2)",2,IF(H910="ALTA(3)",3,0)))+IF(I910="BAJA(1)",1,IF(I910="MEDIA(2)",2,IF(I910="ALTA(3)",3,0)))</f>
        <v/>
      </c>
      <c r="K910">
        <f>IF(J910="", "", IF(J910&gt;=8,"ALTA",IF(J910&gt;=6,"MEDIA","BAJA")))</f>
        <v/>
      </c>
      <c r="L910">
        <f>IF(INVENTARIO!Y910="","",INVENTARIO!Y910)</f>
        <v/>
      </c>
      <c r="M910">
        <f>IF(INVENTARIO!Z910="","",INVENTARIO!Z910)</f>
        <v/>
      </c>
      <c r="N910">
        <f>IF(INVENTARIO!AA910="","",INVENTARIO!AA910)</f>
        <v/>
      </c>
      <c r="O910">
        <f>IF(INVENTARIO!AB910="","",INVENTARIO!AB910)</f>
        <v/>
      </c>
      <c r="P910">
        <f>IF(INVENTARIO!AC910="","",INVENTARIO!AC910)</f>
        <v/>
      </c>
      <c r="Q910">
        <f>IF(AND(K910="",N910="",L910=""),"",IF(AND((K910="ALTA"),OR(LEFT(N910,2)="L0",LEFT(N910,2)="L1",L910="No Iniciado")),"CRÍTICO - Incumplimiento Normativo SEPS",IF(AND(OR(LEFT(N910,2)="L4",LEFT(N910,2)="L5"),AND(P910&lt;&gt;"",P910&lt;&gt;"N/A")),"CONFORME - Control Efectivo ISO 27001","OBSERVACIÓN - Revisar Controles")))</f>
        <v/>
      </c>
    </row>
    <row r="911">
      <c r="A911">
        <f>IF(INVENTARIO!A911="","",INVENTARIO!A911)</f>
        <v/>
      </c>
      <c r="B911">
        <f>IF(INVENTARIO!E911="","",INVENTARIO!E911)</f>
        <v/>
      </c>
      <c r="C911">
        <f>IF(INVENTARIO!F911="","",INVENTARIO!F911)</f>
        <v/>
      </c>
      <c r="D911">
        <f>IF(INVENTARIO!H911="","",INVENTARIO!H911)</f>
        <v/>
      </c>
      <c r="E911">
        <f>IF(INVENTARIO!I911="","",INVENTARIO!I911)</f>
        <v/>
      </c>
      <c r="F911">
        <f>IF(INVENTARIO!N911="","",INVENTARIO!N911)</f>
        <v/>
      </c>
      <c r="G911">
        <f>IF(INVENTARIO!P911="","",INVENTARIO!P911)</f>
        <v/>
      </c>
      <c r="H911">
        <f>IF(INVENTARIO!Q911="","",INVENTARIO!Q911)</f>
        <v/>
      </c>
      <c r="I911">
        <f>IF(INVENTARIO!R911="","",INVENTARIO!R911)</f>
        <v/>
      </c>
      <c r="J911">
        <f>IF(G911="PUBLICA(1)",1,IF(G911="USO INTERNO(2)",2,IF(G911="RESTRINGIDO(3)",3,0)))+IF(H911="BAJA(1)",1,IF(H911="MEDIA(2)",2,IF(H911="ALTA(3)",3,0)))+IF(I911="BAJA(1)",1,IF(I911="MEDIA(2)",2,IF(I911="ALTA(3)",3,0)))</f>
        <v/>
      </c>
      <c r="K911">
        <f>IF(J911="", "", IF(J911&gt;=8,"ALTA",IF(J911&gt;=6,"MEDIA","BAJA")))</f>
        <v/>
      </c>
      <c r="L911">
        <f>IF(INVENTARIO!Y911="","",INVENTARIO!Y911)</f>
        <v/>
      </c>
      <c r="M911">
        <f>IF(INVENTARIO!Z911="","",INVENTARIO!Z911)</f>
        <v/>
      </c>
      <c r="N911">
        <f>IF(INVENTARIO!AA911="","",INVENTARIO!AA911)</f>
        <v/>
      </c>
      <c r="O911">
        <f>IF(INVENTARIO!AB911="","",INVENTARIO!AB911)</f>
        <v/>
      </c>
      <c r="P911">
        <f>IF(INVENTARIO!AC911="","",INVENTARIO!AC911)</f>
        <v/>
      </c>
      <c r="Q911">
        <f>IF(AND(K911="",N911="",L911=""),"",IF(AND((K911="ALTA"),OR(LEFT(N911,2)="L0",LEFT(N911,2)="L1",L911="No Iniciado")),"CRÍTICO - Incumplimiento Normativo SEPS",IF(AND(OR(LEFT(N911,2)="L4",LEFT(N911,2)="L5"),AND(P911&lt;&gt;"",P911&lt;&gt;"N/A")),"CONFORME - Control Efectivo ISO 27001","OBSERVACIÓN - Revisar Controles")))</f>
        <v/>
      </c>
    </row>
    <row r="912">
      <c r="A912">
        <f>IF(INVENTARIO!A912="","",INVENTARIO!A912)</f>
        <v/>
      </c>
      <c r="B912">
        <f>IF(INVENTARIO!E912="","",INVENTARIO!E912)</f>
        <v/>
      </c>
      <c r="C912">
        <f>IF(INVENTARIO!F912="","",INVENTARIO!F912)</f>
        <v/>
      </c>
      <c r="D912">
        <f>IF(INVENTARIO!H912="","",INVENTARIO!H912)</f>
        <v/>
      </c>
      <c r="E912">
        <f>IF(INVENTARIO!I912="","",INVENTARIO!I912)</f>
        <v/>
      </c>
      <c r="F912">
        <f>IF(INVENTARIO!N912="","",INVENTARIO!N912)</f>
        <v/>
      </c>
      <c r="G912">
        <f>IF(INVENTARIO!P912="","",INVENTARIO!P912)</f>
        <v/>
      </c>
      <c r="H912">
        <f>IF(INVENTARIO!Q912="","",INVENTARIO!Q912)</f>
        <v/>
      </c>
      <c r="I912">
        <f>IF(INVENTARIO!R912="","",INVENTARIO!R912)</f>
        <v/>
      </c>
      <c r="J912">
        <f>IF(G912="PUBLICA(1)",1,IF(G912="USO INTERNO(2)",2,IF(G912="RESTRINGIDO(3)",3,0)))+IF(H912="BAJA(1)",1,IF(H912="MEDIA(2)",2,IF(H912="ALTA(3)",3,0)))+IF(I912="BAJA(1)",1,IF(I912="MEDIA(2)",2,IF(I912="ALTA(3)",3,0)))</f>
        <v/>
      </c>
      <c r="K912">
        <f>IF(J912="", "", IF(J912&gt;=8,"ALTA",IF(J912&gt;=6,"MEDIA","BAJA")))</f>
        <v/>
      </c>
      <c r="L912">
        <f>IF(INVENTARIO!Y912="","",INVENTARIO!Y912)</f>
        <v/>
      </c>
      <c r="M912">
        <f>IF(INVENTARIO!Z912="","",INVENTARIO!Z912)</f>
        <v/>
      </c>
      <c r="N912">
        <f>IF(INVENTARIO!AA912="","",INVENTARIO!AA912)</f>
        <v/>
      </c>
      <c r="O912">
        <f>IF(INVENTARIO!AB912="","",INVENTARIO!AB912)</f>
        <v/>
      </c>
      <c r="P912">
        <f>IF(INVENTARIO!AC912="","",INVENTARIO!AC912)</f>
        <v/>
      </c>
      <c r="Q912">
        <f>IF(AND(K912="",N912="",L912=""),"",IF(AND((K912="ALTA"),OR(LEFT(N912,2)="L0",LEFT(N912,2)="L1",L912="No Iniciado")),"CRÍTICO - Incumplimiento Normativo SEPS",IF(AND(OR(LEFT(N912,2)="L4",LEFT(N912,2)="L5"),AND(P912&lt;&gt;"",P912&lt;&gt;"N/A")),"CONFORME - Control Efectivo ISO 27001","OBSERVACIÓN - Revisar Controles")))</f>
        <v/>
      </c>
    </row>
    <row r="913">
      <c r="A913">
        <f>IF(INVENTARIO!A913="","",INVENTARIO!A913)</f>
        <v/>
      </c>
      <c r="B913">
        <f>IF(INVENTARIO!E913="","",INVENTARIO!E913)</f>
        <v/>
      </c>
      <c r="C913">
        <f>IF(INVENTARIO!F913="","",INVENTARIO!F913)</f>
        <v/>
      </c>
      <c r="D913">
        <f>IF(INVENTARIO!H913="","",INVENTARIO!H913)</f>
        <v/>
      </c>
      <c r="E913">
        <f>IF(INVENTARIO!I913="","",INVENTARIO!I913)</f>
        <v/>
      </c>
      <c r="F913">
        <f>IF(INVENTARIO!N913="","",INVENTARIO!N913)</f>
        <v/>
      </c>
      <c r="G913">
        <f>IF(INVENTARIO!P913="","",INVENTARIO!P913)</f>
        <v/>
      </c>
      <c r="H913">
        <f>IF(INVENTARIO!Q913="","",INVENTARIO!Q913)</f>
        <v/>
      </c>
      <c r="I913">
        <f>IF(INVENTARIO!R913="","",INVENTARIO!R913)</f>
        <v/>
      </c>
      <c r="J913">
        <f>IF(G913="PUBLICA(1)",1,IF(G913="USO INTERNO(2)",2,IF(G913="RESTRINGIDO(3)",3,0)))+IF(H913="BAJA(1)",1,IF(H913="MEDIA(2)",2,IF(H913="ALTA(3)",3,0)))+IF(I913="BAJA(1)",1,IF(I913="MEDIA(2)",2,IF(I913="ALTA(3)",3,0)))</f>
        <v/>
      </c>
      <c r="K913">
        <f>IF(J913="", "", IF(J913&gt;=8,"ALTA",IF(J913&gt;=6,"MEDIA","BAJA")))</f>
        <v/>
      </c>
      <c r="L913">
        <f>IF(INVENTARIO!Y913="","",INVENTARIO!Y913)</f>
        <v/>
      </c>
      <c r="M913">
        <f>IF(INVENTARIO!Z913="","",INVENTARIO!Z913)</f>
        <v/>
      </c>
      <c r="N913">
        <f>IF(INVENTARIO!AA913="","",INVENTARIO!AA913)</f>
        <v/>
      </c>
      <c r="O913">
        <f>IF(INVENTARIO!AB913="","",INVENTARIO!AB913)</f>
        <v/>
      </c>
      <c r="P913">
        <f>IF(INVENTARIO!AC913="","",INVENTARIO!AC913)</f>
        <v/>
      </c>
      <c r="Q913">
        <f>IF(AND(K913="",N913="",L913=""),"",IF(AND((K913="ALTA"),OR(LEFT(N913,2)="L0",LEFT(N913,2)="L1",L913="No Iniciado")),"CRÍTICO - Incumplimiento Normativo SEPS",IF(AND(OR(LEFT(N913,2)="L4",LEFT(N913,2)="L5"),AND(P913&lt;&gt;"",P913&lt;&gt;"N/A")),"CONFORME - Control Efectivo ISO 27001","OBSERVACIÓN - Revisar Controles")))</f>
        <v/>
      </c>
    </row>
    <row r="914">
      <c r="A914">
        <f>IF(INVENTARIO!A914="","",INVENTARIO!A914)</f>
        <v/>
      </c>
      <c r="B914">
        <f>IF(INVENTARIO!E914="","",INVENTARIO!E914)</f>
        <v/>
      </c>
      <c r="C914">
        <f>IF(INVENTARIO!F914="","",INVENTARIO!F914)</f>
        <v/>
      </c>
      <c r="D914">
        <f>IF(INVENTARIO!H914="","",INVENTARIO!H914)</f>
        <v/>
      </c>
      <c r="E914">
        <f>IF(INVENTARIO!I914="","",INVENTARIO!I914)</f>
        <v/>
      </c>
      <c r="F914">
        <f>IF(INVENTARIO!N914="","",INVENTARIO!N914)</f>
        <v/>
      </c>
      <c r="G914">
        <f>IF(INVENTARIO!P914="","",INVENTARIO!P914)</f>
        <v/>
      </c>
      <c r="H914">
        <f>IF(INVENTARIO!Q914="","",INVENTARIO!Q914)</f>
        <v/>
      </c>
      <c r="I914">
        <f>IF(INVENTARIO!R914="","",INVENTARIO!R914)</f>
        <v/>
      </c>
      <c r="J914">
        <f>IF(G914="PUBLICA(1)",1,IF(G914="USO INTERNO(2)",2,IF(G914="RESTRINGIDO(3)",3,0)))+IF(H914="BAJA(1)",1,IF(H914="MEDIA(2)",2,IF(H914="ALTA(3)",3,0)))+IF(I914="BAJA(1)",1,IF(I914="MEDIA(2)",2,IF(I914="ALTA(3)",3,0)))</f>
        <v/>
      </c>
      <c r="K914">
        <f>IF(J914="", "", IF(J914&gt;=8,"ALTA",IF(J914&gt;=6,"MEDIA","BAJA")))</f>
        <v/>
      </c>
      <c r="L914">
        <f>IF(INVENTARIO!Y914="","",INVENTARIO!Y914)</f>
        <v/>
      </c>
      <c r="M914">
        <f>IF(INVENTARIO!Z914="","",INVENTARIO!Z914)</f>
        <v/>
      </c>
      <c r="N914">
        <f>IF(INVENTARIO!AA914="","",INVENTARIO!AA914)</f>
        <v/>
      </c>
      <c r="O914">
        <f>IF(INVENTARIO!AB914="","",INVENTARIO!AB914)</f>
        <v/>
      </c>
      <c r="P914">
        <f>IF(INVENTARIO!AC914="","",INVENTARIO!AC914)</f>
        <v/>
      </c>
      <c r="Q914">
        <f>IF(AND(K914="",N914="",L914=""),"",IF(AND((K914="ALTA"),OR(LEFT(N914,2)="L0",LEFT(N914,2)="L1",L914="No Iniciado")),"CRÍTICO - Incumplimiento Normativo SEPS",IF(AND(OR(LEFT(N914,2)="L4",LEFT(N914,2)="L5"),AND(P914&lt;&gt;"",P914&lt;&gt;"N/A")),"CONFORME - Control Efectivo ISO 27001","OBSERVACIÓN - Revisar Controles")))</f>
        <v/>
      </c>
    </row>
    <row r="915">
      <c r="A915">
        <f>IF(INVENTARIO!A915="","",INVENTARIO!A915)</f>
        <v/>
      </c>
      <c r="B915">
        <f>IF(INVENTARIO!E915="","",INVENTARIO!E915)</f>
        <v/>
      </c>
      <c r="C915">
        <f>IF(INVENTARIO!F915="","",INVENTARIO!F915)</f>
        <v/>
      </c>
      <c r="D915">
        <f>IF(INVENTARIO!H915="","",INVENTARIO!H915)</f>
        <v/>
      </c>
      <c r="E915">
        <f>IF(INVENTARIO!I915="","",INVENTARIO!I915)</f>
        <v/>
      </c>
      <c r="F915">
        <f>IF(INVENTARIO!N915="","",INVENTARIO!N915)</f>
        <v/>
      </c>
      <c r="G915">
        <f>IF(INVENTARIO!P915="","",INVENTARIO!P915)</f>
        <v/>
      </c>
      <c r="H915">
        <f>IF(INVENTARIO!Q915="","",INVENTARIO!Q915)</f>
        <v/>
      </c>
      <c r="I915">
        <f>IF(INVENTARIO!R915="","",INVENTARIO!R915)</f>
        <v/>
      </c>
      <c r="J915">
        <f>IF(G915="PUBLICA(1)",1,IF(G915="USO INTERNO(2)",2,IF(G915="RESTRINGIDO(3)",3,0)))+IF(H915="BAJA(1)",1,IF(H915="MEDIA(2)",2,IF(H915="ALTA(3)",3,0)))+IF(I915="BAJA(1)",1,IF(I915="MEDIA(2)",2,IF(I915="ALTA(3)",3,0)))</f>
        <v/>
      </c>
      <c r="K915">
        <f>IF(J915="", "", IF(J915&gt;=8,"ALTA",IF(J915&gt;=6,"MEDIA","BAJA")))</f>
        <v/>
      </c>
      <c r="L915">
        <f>IF(INVENTARIO!Y915="","",INVENTARIO!Y915)</f>
        <v/>
      </c>
      <c r="M915">
        <f>IF(INVENTARIO!Z915="","",INVENTARIO!Z915)</f>
        <v/>
      </c>
      <c r="N915">
        <f>IF(INVENTARIO!AA915="","",INVENTARIO!AA915)</f>
        <v/>
      </c>
      <c r="O915">
        <f>IF(INVENTARIO!AB915="","",INVENTARIO!AB915)</f>
        <v/>
      </c>
      <c r="P915">
        <f>IF(INVENTARIO!AC915="","",INVENTARIO!AC915)</f>
        <v/>
      </c>
      <c r="Q915">
        <f>IF(AND(K915="",N915="",L915=""),"",IF(AND((K915="ALTA"),OR(LEFT(N915,2)="L0",LEFT(N915,2)="L1",L915="No Iniciado")),"CRÍTICO - Incumplimiento Normativo SEPS",IF(AND(OR(LEFT(N915,2)="L4",LEFT(N915,2)="L5"),AND(P915&lt;&gt;"",P915&lt;&gt;"N/A")),"CONFORME - Control Efectivo ISO 27001","OBSERVACIÓN - Revisar Controles")))</f>
        <v/>
      </c>
    </row>
    <row r="916">
      <c r="A916">
        <f>IF(INVENTARIO!A916="","",INVENTARIO!A916)</f>
        <v/>
      </c>
      <c r="B916">
        <f>IF(INVENTARIO!E916="","",INVENTARIO!E916)</f>
        <v/>
      </c>
      <c r="C916">
        <f>IF(INVENTARIO!F916="","",INVENTARIO!F916)</f>
        <v/>
      </c>
      <c r="D916">
        <f>IF(INVENTARIO!H916="","",INVENTARIO!H916)</f>
        <v/>
      </c>
      <c r="E916">
        <f>IF(INVENTARIO!I916="","",INVENTARIO!I916)</f>
        <v/>
      </c>
      <c r="F916">
        <f>IF(INVENTARIO!N916="","",INVENTARIO!N916)</f>
        <v/>
      </c>
      <c r="G916">
        <f>IF(INVENTARIO!P916="","",INVENTARIO!P916)</f>
        <v/>
      </c>
      <c r="H916">
        <f>IF(INVENTARIO!Q916="","",INVENTARIO!Q916)</f>
        <v/>
      </c>
      <c r="I916">
        <f>IF(INVENTARIO!R916="","",INVENTARIO!R916)</f>
        <v/>
      </c>
      <c r="J916">
        <f>IF(G916="PUBLICA(1)",1,IF(G916="USO INTERNO(2)",2,IF(G916="RESTRINGIDO(3)",3,0)))+IF(H916="BAJA(1)",1,IF(H916="MEDIA(2)",2,IF(H916="ALTA(3)",3,0)))+IF(I916="BAJA(1)",1,IF(I916="MEDIA(2)",2,IF(I916="ALTA(3)",3,0)))</f>
        <v/>
      </c>
      <c r="K916">
        <f>IF(J916="", "", IF(J916&gt;=8,"ALTA",IF(J916&gt;=6,"MEDIA","BAJA")))</f>
        <v/>
      </c>
      <c r="L916">
        <f>IF(INVENTARIO!Y916="","",INVENTARIO!Y916)</f>
        <v/>
      </c>
      <c r="M916">
        <f>IF(INVENTARIO!Z916="","",INVENTARIO!Z916)</f>
        <v/>
      </c>
      <c r="N916">
        <f>IF(INVENTARIO!AA916="","",INVENTARIO!AA916)</f>
        <v/>
      </c>
      <c r="O916">
        <f>IF(INVENTARIO!AB916="","",INVENTARIO!AB916)</f>
        <v/>
      </c>
      <c r="P916">
        <f>IF(INVENTARIO!AC916="","",INVENTARIO!AC916)</f>
        <v/>
      </c>
      <c r="Q916">
        <f>IF(AND(K916="",N916="",L916=""),"",IF(AND((K916="ALTA"),OR(LEFT(N916,2)="L0",LEFT(N916,2)="L1",L916="No Iniciado")),"CRÍTICO - Incumplimiento Normativo SEPS",IF(AND(OR(LEFT(N916,2)="L4",LEFT(N916,2)="L5"),AND(P916&lt;&gt;"",P916&lt;&gt;"N/A")),"CONFORME - Control Efectivo ISO 27001","OBSERVACIÓN - Revisar Controles")))</f>
        <v/>
      </c>
    </row>
    <row r="917">
      <c r="A917">
        <f>IF(INVENTARIO!A917="","",INVENTARIO!A917)</f>
        <v/>
      </c>
      <c r="B917">
        <f>IF(INVENTARIO!E917="","",INVENTARIO!E917)</f>
        <v/>
      </c>
      <c r="C917">
        <f>IF(INVENTARIO!F917="","",INVENTARIO!F917)</f>
        <v/>
      </c>
      <c r="D917">
        <f>IF(INVENTARIO!H917="","",INVENTARIO!H917)</f>
        <v/>
      </c>
      <c r="E917">
        <f>IF(INVENTARIO!I917="","",INVENTARIO!I917)</f>
        <v/>
      </c>
      <c r="F917">
        <f>IF(INVENTARIO!N917="","",INVENTARIO!N917)</f>
        <v/>
      </c>
      <c r="G917">
        <f>IF(INVENTARIO!P917="","",INVENTARIO!P917)</f>
        <v/>
      </c>
      <c r="H917">
        <f>IF(INVENTARIO!Q917="","",INVENTARIO!Q917)</f>
        <v/>
      </c>
      <c r="I917">
        <f>IF(INVENTARIO!R917="","",INVENTARIO!R917)</f>
        <v/>
      </c>
      <c r="J917">
        <f>IF(G917="PUBLICA(1)",1,IF(G917="USO INTERNO(2)",2,IF(G917="RESTRINGIDO(3)",3,0)))+IF(H917="BAJA(1)",1,IF(H917="MEDIA(2)",2,IF(H917="ALTA(3)",3,0)))+IF(I917="BAJA(1)",1,IF(I917="MEDIA(2)",2,IF(I917="ALTA(3)",3,0)))</f>
        <v/>
      </c>
      <c r="K917">
        <f>IF(J917="", "", IF(J917&gt;=8,"ALTA",IF(J917&gt;=6,"MEDIA","BAJA")))</f>
        <v/>
      </c>
      <c r="L917">
        <f>IF(INVENTARIO!Y917="","",INVENTARIO!Y917)</f>
        <v/>
      </c>
      <c r="M917">
        <f>IF(INVENTARIO!Z917="","",INVENTARIO!Z917)</f>
        <v/>
      </c>
      <c r="N917">
        <f>IF(INVENTARIO!AA917="","",INVENTARIO!AA917)</f>
        <v/>
      </c>
      <c r="O917">
        <f>IF(INVENTARIO!AB917="","",INVENTARIO!AB917)</f>
        <v/>
      </c>
      <c r="P917">
        <f>IF(INVENTARIO!AC917="","",INVENTARIO!AC917)</f>
        <v/>
      </c>
      <c r="Q917">
        <f>IF(AND(K917="",N917="",L917=""),"",IF(AND((K917="ALTA"),OR(LEFT(N917,2)="L0",LEFT(N917,2)="L1",L917="No Iniciado")),"CRÍTICO - Incumplimiento Normativo SEPS",IF(AND(OR(LEFT(N917,2)="L4",LEFT(N917,2)="L5"),AND(P917&lt;&gt;"",P917&lt;&gt;"N/A")),"CONFORME - Control Efectivo ISO 27001","OBSERVACIÓN - Revisar Controles")))</f>
        <v/>
      </c>
    </row>
    <row r="918">
      <c r="A918">
        <f>IF(INVENTARIO!A918="","",INVENTARIO!A918)</f>
        <v/>
      </c>
      <c r="B918">
        <f>IF(INVENTARIO!E918="","",INVENTARIO!E918)</f>
        <v/>
      </c>
      <c r="C918">
        <f>IF(INVENTARIO!F918="","",INVENTARIO!F918)</f>
        <v/>
      </c>
      <c r="D918">
        <f>IF(INVENTARIO!H918="","",INVENTARIO!H918)</f>
        <v/>
      </c>
      <c r="E918">
        <f>IF(INVENTARIO!I918="","",INVENTARIO!I918)</f>
        <v/>
      </c>
      <c r="F918">
        <f>IF(INVENTARIO!N918="","",INVENTARIO!N918)</f>
        <v/>
      </c>
      <c r="G918">
        <f>IF(INVENTARIO!P918="","",INVENTARIO!P918)</f>
        <v/>
      </c>
      <c r="H918">
        <f>IF(INVENTARIO!Q918="","",INVENTARIO!Q918)</f>
        <v/>
      </c>
      <c r="I918">
        <f>IF(INVENTARIO!R918="","",INVENTARIO!R918)</f>
        <v/>
      </c>
      <c r="J918">
        <f>IF(G918="PUBLICA(1)",1,IF(G918="USO INTERNO(2)",2,IF(G918="RESTRINGIDO(3)",3,0)))+IF(H918="BAJA(1)",1,IF(H918="MEDIA(2)",2,IF(H918="ALTA(3)",3,0)))+IF(I918="BAJA(1)",1,IF(I918="MEDIA(2)",2,IF(I918="ALTA(3)",3,0)))</f>
        <v/>
      </c>
      <c r="K918">
        <f>IF(J918="", "", IF(J918&gt;=8,"ALTA",IF(J918&gt;=6,"MEDIA","BAJA")))</f>
        <v/>
      </c>
      <c r="L918">
        <f>IF(INVENTARIO!Y918="","",INVENTARIO!Y918)</f>
        <v/>
      </c>
      <c r="M918">
        <f>IF(INVENTARIO!Z918="","",INVENTARIO!Z918)</f>
        <v/>
      </c>
      <c r="N918">
        <f>IF(INVENTARIO!AA918="","",INVENTARIO!AA918)</f>
        <v/>
      </c>
      <c r="O918">
        <f>IF(INVENTARIO!AB918="","",INVENTARIO!AB918)</f>
        <v/>
      </c>
      <c r="P918">
        <f>IF(INVENTARIO!AC918="","",INVENTARIO!AC918)</f>
        <v/>
      </c>
      <c r="Q918">
        <f>IF(AND(K918="",N918="",L918=""),"",IF(AND((K918="ALTA"),OR(LEFT(N918,2)="L0",LEFT(N918,2)="L1",L918="No Iniciado")),"CRÍTICO - Incumplimiento Normativo SEPS",IF(AND(OR(LEFT(N918,2)="L4",LEFT(N918,2)="L5"),AND(P918&lt;&gt;"",P918&lt;&gt;"N/A")),"CONFORME - Control Efectivo ISO 27001","OBSERVACIÓN - Revisar Controles")))</f>
        <v/>
      </c>
    </row>
    <row r="919">
      <c r="A919">
        <f>IF(INVENTARIO!A919="","",INVENTARIO!A919)</f>
        <v/>
      </c>
      <c r="B919">
        <f>IF(INVENTARIO!E919="","",INVENTARIO!E919)</f>
        <v/>
      </c>
      <c r="C919">
        <f>IF(INVENTARIO!F919="","",INVENTARIO!F919)</f>
        <v/>
      </c>
      <c r="D919">
        <f>IF(INVENTARIO!H919="","",INVENTARIO!H919)</f>
        <v/>
      </c>
      <c r="E919">
        <f>IF(INVENTARIO!I919="","",INVENTARIO!I919)</f>
        <v/>
      </c>
      <c r="F919">
        <f>IF(INVENTARIO!N919="","",INVENTARIO!N919)</f>
        <v/>
      </c>
      <c r="G919">
        <f>IF(INVENTARIO!P919="","",INVENTARIO!P919)</f>
        <v/>
      </c>
      <c r="H919">
        <f>IF(INVENTARIO!Q919="","",INVENTARIO!Q919)</f>
        <v/>
      </c>
      <c r="I919">
        <f>IF(INVENTARIO!R919="","",INVENTARIO!R919)</f>
        <v/>
      </c>
      <c r="J919">
        <f>IF(G919="PUBLICA(1)",1,IF(G919="USO INTERNO(2)",2,IF(G919="RESTRINGIDO(3)",3,0)))+IF(H919="BAJA(1)",1,IF(H919="MEDIA(2)",2,IF(H919="ALTA(3)",3,0)))+IF(I919="BAJA(1)",1,IF(I919="MEDIA(2)",2,IF(I919="ALTA(3)",3,0)))</f>
        <v/>
      </c>
      <c r="K919">
        <f>IF(J919="", "", IF(J919&gt;=8,"ALTA",IF(J919&gt;=6,"MEDIA","BAJA")))</f>
        <v/>
      </c>
      <c r="L919">
        <f>IF(INVENTARIO!Y919="","",INVENTARIO!Y919)</f>
        <v/>
      </c>
      <c r="M919">
        <f>IF(INVENTARIO!Z919="","",INVENTARIO!Z919)</f>
        <v/>
      </c>
      <c r="N919">
        <f>IF(INVENTARIO!AA919="","",INVENTARIO!AA919)</f>
        <v/>
      </c>
      <c r="O919">
        <f>IF(INVENTARIO!AB919="","",INVENTARIO!AB919)</f>
        <v/>
      </c>
      <c r="P919">
        <f>IF(INVENTARIO!AC919="","",INVENTARIO!AC919)</f>
        <v/>
      </c>
      <c r="Q919">
        <f>IF(AND(K919="",N919="",L919=""),"",IF(AND((K919="ALTA"),OR(LEFT(N919,2)="L0",LEFT(N919,2)="L1",L919="No Iniciado")),"CRÍTICO - Incumplimiento Normativo SEPS",IF(AND(OR(LEFT(N919,2)="L4",LEFT(N919,2)="L5"),AND(P919&lt;&gt;"",P919&lt;&gt;"N/A")),"CONFORME - Control Efectivo ISO 27001","OBSERVACIÓN - Revisar Controles")))</f>
        <v/>
      </c>
    </row>
    <row r="920">
      <c r="A920">
        <f>IF(INVENTARIO!A920="","",INVENTARIO!A920)</f>
        <v/>
      </c>
      <c r="B920">
        <f>IF(INVENTARIO!E920="","",INVENTARIO!E920)</f>
        <v/>
      </c>
      <c r="C920">
        <f>IF(INVENTARIO!F920="","",INVENTARIO!F920)</f>
        <v/>
      </c>
      <c r="D920">
        <f>IF(INVENTARIO!H920="","",INVENTARIO!H920)</f>
        <v/>
      </c>
      <c r="E920">
        <f>IF(INVENTARIO!I920="","",INVENTARIO!I920)</f>
        <v/>
      </c>
      <c r="F920">
        <f>IF(INVENTARIO!N920="","",INVENTARIO!N920)</f>
        <v/>
      </c>
      <c r="G920">
        <f>IF(INVENTARIO!P920="","",INVENTARIO!P920)</f>
        <v/>
      </c>
      <c r="H920">
        <f>IF(INVENTARIO!Q920="","",INVENTARIO!Q920)</f>
        <v/>
      </c>
      <c r="I920">
        <f>IF(INVENTARIO!R920="","",INVENTARIO!R920)</f>
        <v/>
      </c>
      <c r="J920">
        <f>IF(G920="PUBLICA(1)",1,IF(G920="USO INTERNO(2)",2,IF(G920="RESTRINGIDO(3)",3,0)))+IF(H920="BAJA(1)",1,IF(H920="MEDIA(2)",2,IF(H920="ALTA(3)",3,0)))+IF(I920="BAJA(1)",1,IF(I920="MEDIA(2)",2,IF(I920="ALTA(3)",3,0)))</f>
        <v/>
      </c>
      <c r="K920">
        <f>IF(J920="", "", IF(J920&gt;=8,"ALTA",IF(J920&gt;=6,"MEDIA","BAJA")))</f>
        <v/>
      </c>
      <c r="L920">
        <f>IF(INVENTARIO!Y920="","",INVENTARIO!Y920)</f>
        <v/>
      </c>
      <c r="M920">
        <f>IF(INVENTARIO!Z920="","",INVENTARIO!Z920)</f>
        <v/>
      </c>
      <c r="N920">
        <f>IF(INVENTARIO!AA920="","",INVENTARIO!AA920)</f>
        <v/>
      </c>
      <c r="O920">
        <f>IF(INVENTARIO!AB920="","",INVENTARIO!AB920)</f>
        <v/>
      </c>
      <c r="P920">
        <f>IF(INVENTARIO!AC920="","",INVENTARIO!AC920)</f>
        <v/>
      </c>
      <c r="Q920">
        <f>IF(AND(K920="",N920="",L920=""),"",IF(AND((K920="ALTA"),OR(LEFT(N920,2)="L0",LEFT(N920,2)="L1",L920="No Iniciado")),"CRÍTICO - Incumplimiento Normativo SEPS",IF(AND(OR(LEFT(N920,2)="L4",LEFT(N920,2)="L5"),AND(P920&lt;&gt;"",P920&lt;&gt;"N/A")),"CONFORME - Control Efectivo ISO 27001","OBSERVACIÓN - Revisar Controles")))</f>
        <v/>
      </c>
    </row>
    <row r="921">
      <c r="A921">
        <f>IF(INVENTARIO!A921="","",INVENTARIO!A921)</f>
        <v/>
      </c>
      <c r="B921">
        <f>IF(INVENTARIO!E921="","",INVENTARIO!E921)</f>
        <v/>
      </c>
      <c r="C921">
        <f>IF(INVENTARIO!F921="","",INVENTARIO!F921)</f>
        <v/>
      </c>
      <c r="D921">
        <f>IF(INVENTARIO!H921="","",INVENTARIO!H921)</f>
        <v/>
      </c>
      <c r="E921">
        <f>IF(INVENTARIO!I921="","",INVENTARIO!I921)</f>
        <v/>
      </c>
      <c r="F921">
        <f>IF(INVENTARIO!N921="","",INVENTARIO!N921)</f>
        <v/>
      </c>
      <c r="G921">
        <f>IF(INVENTARIO!P921="","",INVENTARIO!P921)</f>
        <v/>
      </c>
      <c r="H921">
        <f>IF(INVENTARIO!Q921="","",INVENTARIO!Q921)</f>
        <v/>
      </c>
      <c r="I921">
        <f>IF(INVENTARIO!R921="","",INVENTARIO!R921)</f>
        <v/>
      </c>
      <c r="J921">
        <f>IF(G921="PUBLICA(1)",1,IF(G921="USO INTERNO(2)",2,IF(G921="RESTRINGIDO(3)",3,0)))+IF(H921="BAJA(1)",1,IF(H921="MEDIA(2)",2,IF(H921="ALTA(3)",3,0)))+IF(I921="BAJA(1)",1,IF(I921="MEDIA(2)",2,IF(I921="ALTA(3)",3,0)))</f>
        <v/>
      </c>
      <c r="K921">
        <f>IF(J921="", "", IF(J921&gt;=8,"ALTA",IF(J921&gt;=6,"MEDIA","BAJA")))</f>
        <v/>
      </c>
      <c r="L921">
        <f>IF(INVENTARIO!Y921="","",INVENTARIO!Y921)</f>
        <v/>
      </c>
      <c r="M921">
        <f>IF(INVENTARIO!Z921="","",INVENTARIO!Z921)</f>
        <v/>
      </c>
      <c r="N921">
        <f>IF(INVENTARIO!AA921="","",INVENTARIO!AA921)</f>
        <v/>
      </c>
      <c r="O921">
        <f>IF(INVENTARIO!AB921="","",INVENTARIO!AB921)</f>
        <v/>
      </c>
      <c r="P921">
        <f>IF(INVENTARIO!AC921="","",INVENTARIO!AC921)</f>
        <v/>
      </c>
      <c r="Q921">
        <f>IF(AND(K921="",N921="",L921=""),"",IF(AND((K921="ALTA"),OR(LEFT(N921,2)="L0",LEFT(N921,2)="L1",L921="No Iniciado")),"CRÍTICO - Incumplimiento Normativo SEPS",IF(AND(OR(LEFT(N921,2)="L4",LEFT(N921,2)="L5"),AND(P921&lt;&gt;"",P921&lt;&gt;"N/A")),"CONFORME - Control Efectivo ISO 27001","OBSERVACIÓN - Revisar Controles")))</f>
        <v/>
      </c>
    </row>
    <row r="922">
      <c r="A922">
        <f>IF(INVENTARIO!A922="","",INVENTARIO!A922)</f>
        <v/>
      </c>
      <c r="B922">
        <f>IF(INVENTARIO!E922="","",INVENTARIO!E922)</f>
        <v/>
      </c>
      <c r="C922">
        <f>IF(INVENTARIO!F922="","",INVENTARIO!F922)</f>
        <v/>
      </c>
      <c r="D922">
        <f>IF(INVENTARIO!H922="","",INVENTARIO!H922)</f>
        <v/>
      </c>
      <c r="E922">
        <f>IF(INVENTARIO!I922="","",INVENTARIO!I922)</f>
        <v/>
      </c>
      <c r="F922">
        <f>IF(INVENTARIO!N922="","",INVENTARIO!N922)</f>
        <v/>
      </c>
      <c r="G922">
        <f>IF(INVENTARIO!P922="","",INVENTARIO!P922)</f>
        <v/>
      </c>
      <c r="H922">
        <f>IF(INVENTARIO!Q922="","",INVENTARIO!Q922)</f>
        <v/>
      </c>
      <c r="I922">
        <f>IF(INVENTARIO!R922="","",INVENTARIO!R922)</f>
        <v/>
      </c>
      <c r="J922">
        <f>IF(G922="PUBLICA(1)",1,IF(G922="USO INTERNO(2)",2,IF(G922="RESTRINGIDO(3)",3,0)))+IF(H922="BAJA(1)",1,IF(H922="MEDIA(2)",2,IF(H922="ALTA(3)",3,0)))+IF(I922="BAJA(1)",1,IF(I922="MEDIA(2)",2,IF(I922="ALTA(3)",3,0)))</f>
        <v/>
      </c>
      <c r="K922">
        <f>IF(J922="", "", IF(J922&gt;=8,"ALTA",IF(J922&gt;=6,"MEDIA","BAJA")))</f>
        <v/>
      </c>
      <c r="L922">
        <f>IF(INVENTARIO!Y922="","",INVENTARIO!Y922)</f>
        <v/>
      </c>
      <c r="M922">
        <f>IF(INVENTARIO!Z922="","",INVENTARIO!Z922)</f>
        <v/>
      </c>
      <c r="N922">
        <f>IF(INVENTARIO!AA922="","",INVENTARIO!AA922)</f>
        <v/>
      </c>
      <c r="O922">
        <f>IF(INVENTARIO!AB922="","",INVENTARIO!AB922)</f>
        <v/>
      </c>
      <c r="P922">
        <f>IF(INVENTARIO!AC922="","",INVENTARIO!AC922)</f>
        <v/>
      </c>
      <c r="Q922">
        <f>IF(AND(K922="",N922="",L922=""),"",IF(AND((K922="ALTA"),OR(LEFT(N922,2)="L0",LEFT(N922,2)="L1",L922="No Iniciado")),"CRÍTICO - Incumplimiento Normativo SEPS",IF(AND(OR(LEFT(N922,2)="L4",LEFT(N922,2)="L5"),AND(P922&lt;&gt;"",P922&lt;&gt;"N/A")),"CONFORME - Control Efectivo ISO 27001","OBSERVACIÓN - Revisar Controles")))</f>
        <v/>
      </c>
    </row>
    <row r="923">
      <c r="A923">
        <f>IF(INVENTARIO!A923="","",INVENTARIO!A923)</f>
        <v/>
      </c>
      <c r="B923">
        <f>IF(INVENTARIO!E923="","",INVENTARIO!E923)</f>
        <v/>
      </c>
      <c r="C923">
        <f>IF(INVENTARIO!F923="","",INVENTARIO!F923)</f>
        <v/>
      </c>
      <c r="D923">
        <f>IF(INVENTARIO!H923="","",INVENTARIO!H923)</f>
        <v/>
      </c>
      <c r="E923">
        <f>IF(INVENTARIO!I923="","",INVENTARIO!I923)</f>
        <v/>
      </c>
      <c r="F923">
        <f>IF(INVENTARIO!N923="","",INVENTARIO!N923)</f>
        <v/>
      </c>
      <c r="G923">
        <f>IF(INVENTARIO!P923="","",INVENTARIO!P923)</f>
        <v/>
      </c>
      <c r="H923">
        <f>IF(INVENTARIO!Q923="","",INVENTARIO!Q923)</f>
        <v/>
      </c>
      <c r="I923">
        <f>IF(INVENTARIO!R923="","",INVENTARIO!R923)</f>
        <v/>
      </c>
      <c r="J923">
        <f>IF(G923="PUBLICA(1)",1,IF(G923="USO INTERNO(2)",2,IF(G923="RESTRINGIDO(3)",3,0)))+IF(H923="BAJA(1)",1,IF(H923="MEDIA(2)",2,IF(H923="ALTA(3)",3,0)))+IF(I923="BAJA(1)",1,IF(I923="MEDIA(2)",2,IF(I923="ALTA(3)",3,0)))</f>
        <v/>
      </c>
      <c r="K923">
        <f>IF(J923="", "", IF(J923&gt;=8,"ALTA",IF(J923&gt;=6,"MEDIA","BAJA")))</f>
        <v/>
      </c>
      <c r="L923">
        <f>IF(INVENTARIO!Y923="","",INVENTARIO!Y923)</f>
        <v/>
      </c>
      <c r="M923">
        <f>IF(INVENTARIO!Z923="","",INVENTARIO!Z923)</f>
        <v/>
      </c>
      <c r="N923">
        <f>IF(INVENTARIO!AA923="","",INVENTARIO!AA923)</f>
        <v/>
      </c>
      <c r="O923">
        <f>IF(INVENTARIO!AB923="","",INVENTARIO!AB923)</f>
        <v/>
      </c>
      <c r="P923">
        <f>IF(INVENTARIO!AC923="","",INVENTARIO!AC923)</f>
        <v/>
      </c>
      <c r="Q923">
        <f>IF(AND(K923="",N923="",L923=""),"",IF(AND((K923="ALTA"),OR(LEFT(N923,2)="L0",LEFT(N923,2)="L1",L923="No Iniciado")),"CRÍTICO - Incumplimiento Normativo SEPS",IF(AND(OR(LEFT(N923,2)="L4",LEFT(N923,2)="L5"),AND(P923&lt;&gt;"",P923&lt;&gt;"N/A")),"CONFORME - Control Efectivo ISO 27001","OBSERVACIÓN - Revisar Controles")))</f>
        <v/>
      </c>
    </row>
    <row r="924">
      <c r="A924">
        <f>IF(INVENTARIO!A924="","",INVENTARIO!A924)</f>
        <v/>
      </c>
      <c r="B924">
        <f>IF(INVENTARIO!E924="","",INVENTARIO!E924)</f>
        <v/>
      </c>
      <c r="C924">
        <f>IF(INVENTARIO!F924="","",INVENTARIO!F924)</f>
        <v/>
      </c>
      <c r="D924">
        <f>IF(INVENTARIO!H924="","",INVENTARIO!H924)</f>
        <v/>
      </c>
      <c r="E924">
        <f>IF(INVENTARIO!I924="","",INVENTARIO!I924)</f>
        <v/>
      </c>
      <c r="F924">
        <f>IF(INVENTARIO!N924="","",INVENTARIO!N924)</f>
        <v/>
      </c>
      <c r="G924">
        <f>IF(INVENTARIO!P924="","",INVENTARIO!P924)</f>
        <v/>
      </c>
      <c r="H924">
        <f>IF(INVENTARIO!Q924="","",INVENTARIO!Q924)</f>
        <v/>
      </c>
      <c r="I924">
        <f>IF(INVENTARIO!R924="","",INVENTARIO!R924)</f>
        <v/>
      </c>
      <c r="J924">
        <f>IF(G924="PUBLICA(1)",1,IF(G924="USO INTERNO(2)",2,IF(G924="RESTRINGIDO(3)",3,0)))+IF(H924="BAJA(1)",1,IF(H924="MEDIA(2)",2,IF(H924="ALTA(3)",3,0)))+IF(I924="BAJA(1)",1,IF(I924="MEDIA(2)",2,IF(I924="ALTA(3)",3,0)))</f>
        <v/>
      </c>
      <c r="K924">
        <f>IF(J924="", "", IF(J924&gt;=8,"ALTA",IF(J924&gt;=6,"MEDIA","BAJA")))</f>
        <v/>
      </c>
      <c r="L924">
        <f>IF(INVENTARIO!Y924="","",INVENTARIO!Y924)</f>
        <v/>
      </c>
      <c r="M924">
        <f>IF(INVENTARIO!Z924="","",INVENTARIO!Z924)</f>
        <v/>
      </c>
      <c r="N924">
        <f>IF(INVENTARIO!AA924="","",INVENTARIO!AA924)</f>
        <v/>
      </c>
      <c r="O924">
        <f>IF(INVENTARIO!AB924="","",INVENTARIO!AB924)</f>
        <v/>
      </c>
      <c r="P924">
        <f>IF(INVENTARIO!AC924="","",INVENTARIO!AC924)</f>
        <v/>
      </c>
      <c r="Q924">
        <f>IF(AND(K924="",N924="",L924=""),"",IF(AND((K924="ALTA"),OR(LEFT(N924,2)="L0",LEFT(N924,2)="L1",L924="No Iniciado")),"CRÍTICO - Incumplimiento Normativo SEPS",IF(AND(OR(LEFT(N924,2)="L4",LEFT(N924,2)="L5"),AND(P924&lt;&gt;"",P924&lt;&gt;"N/A")),"CONFORME - Control Efectivo ISO 27001","OBSERVACIÓN - Revisar Controles")))</f>
        <v/>
      </c>
    </row>
    <row r="925">
      <c r="A925">
        <f>IF(INVENTARIO!A925="","",INVENTARIO!A925)</f>
        <v/>
      </c>
      <c r="B925">
        <f>IF(INVENTARIO!E925="","",INVENTARIO!E925)</f>
        <v/>
      </c>
      <c r="C925">
        <f>IF(INVENTARIO!F925="","",INVENTARIO!F925)</f>
        <v/>
      </c>
      <c r="D925">
        <f>IF(INVENTARIO!H925="","",INVENTARIO!H925)</f>
        <v/>
      </c>
      <c r="E925">
        <f>IF(INVENTARIO!I925="","",INVENTARIO!I925)</f>
        <v/>
      </c>
      <c r="F925">
        <f>IF(INVENTARIO!N925="","",INVENTARIO!N925)</f>
        <v/>
      </c>
      <c r="G925">
        <f>IF(INVENTARIO!P925="","",INVENTARIO!P925)</f>
        <v/>
      </c>
      <c r="H925">
        <f>IF(INVENTARIO!Q925="","",INVENTARIO!Q925)</f>
        <v/>
      </c>
      <c r="I925">
        <f>IF(INVENTARIO!R925="","",INVENTARIO!R925)</f>
        <v/>
      </c>
      <c r="J925">
        <f>IF(G925="PUBLICA(1)",1,IF(G925="USO INTERNO(2)",2,IF(G925="RESTRINGIDO(3)",3,0)))+IF(H925="BAJA(1)",1,IF(H925="MEDIA(2)",2,IF(H925="ALTA(3)",3,0)))+IF(I925="BAJA(1)",1,IF(I925="MEDIA(2)",2,IF(I925="ALTA(3)",3,0)))</f>
        <v/>
      </c>
      <c r="K925">
        <f>IF(J925="", "", IF(J925&gt;=8,"ALTA",IF(J925&gt;=6,"MEDIA","BAJA")))</f>
        <v/>
      </c>
      <c r="L925">
        <f>IF(INVENTARIO!Y925="","",INVENTARIO!Y925)</f>
        <v/>
      </c>
      <c r="M925">
        <f>IF(INVENTARIO!Z925="","",INVENTARIO!Z925)</f>
        <v/>
      </c>
      <c r="N925">
        <f>IF(INVENTARIO!AA925="","",INVENTARIO!AA925)</f>
        <v/>
      </c>
      <c r="O925">
        <f>IF(INVENTARIO!AB925="","",INVENTARIO!AB925)</f>
        <v/>
      </c>
      <c r="P925">
        <f>IF(INVENTARIO!AC925="","",INVENTARIO!AC925)</f>
        <v/>
      </c>
      <c r="Q925">
        <f>IF(AND(K925="",N925="",L925=""),"",IF(AND((K925="ALTA"),OR(LEFT(N925,2)="L0",LEFT(N925,2)="L1",L925="No Iniciado")),"CRÍTICO - Incumplimiento Normativo SEPS",IF(AND(OR(LEFT(N925,2)="L4",LEFT(N925,2)="L5"),AND(P925&lt;&gt;"",P925&lt;&gt;"N/A")),"CONFORME - Control Efectivo ISO 27001","OBSERVACIÓN - Revisar Controles")))</f>
        <v/>
      </c>
    </row>
    <row r="926">
      <c r="A926">
        <f>IF(INVENTARIO!A926="","",INVENTARIO!A926)</f>
        <v/>
      </c>
      <c r="B926">
        <f>IF(INVENTARIO!E926="","",INVENTARIO!E926)</f>
        <v/>
      </c>
      <c r="C926">
        <f>IF(INVENTARIO!F926="","",INVENTARIO!F926)</f>
        <v/>
      </c>
      <c r="D926">
        <f>IF(INVENTARIO!H926="","",INVENTARIO!H926)</f>
        <v/>
      </c>
      <c r="E926">
        <f>IF(INVENTARIO!I926="","",INVENTARIO!I926)</f>
        <v/>
      </c>
      <c r="F926">
        <f>IF(INVENTARIO!N926="","",INVENTARIO!N926)</f>
        <v/>
      </c>
      <c r="G926">
        <f>IF(INVENTARIO!P926="","",INVENTARIO!P926)</f>
        <v/>
      </c>
      <c r="H926">
        <f>IF(INVENTARIO!Q926="","",INVENTARIO!Q926)</f>
        <v/>
      </c>
      <c r="I926">
        <f>IF(INVENTARIO!R926="","",INVENTARIO!R926)</f>
        <v/>
      </c>
      <c r="J926">
        <f>IF(G926="PUBLICA(1)",1,IF(G926="USO INTERNO(2)",2,IF(G926="RESTRINGIDO(3)",3,0)))+IF(H926="BAJA(1)",1,IF(H926="MEDIA(2)",2,IF(H926="ALTA(3)",3,0)))+IF(I926="BAJA(1)",1,IF(I926="MEDIA(2)",2,IF(I926="ALTA(3)",3,0)))</f>
        <v/>
      </c>
      <c r="K926">
        <f>IF(J926="", "", IF(J926&gt;=8,"ALTA",IF(J926&gt;=6,"MEDIA","BAJA")))</f>
        <v/>
      </c>
      <c r="L926">
        <f>IF(INVENTARIO!Y926="","",INVENTARIO!Y926)</f>
        <v/>
      </c>
      <c r="M926">
        <f>IF(INVENTARIO!Z926="","",INVENTARIO!Z926)</f>
        <v/>
      </c>
      <c r="N926">
        <f>IF(INVENTARIO!AA926="","",INVENTARIO!AA926)</f>
        <v/>
      </c>
      <c r="O926">
        <f>IF(INVENTARIO!AB926="","",INVENTARIO!AB926)</f>
        <v/>
      </c>
      <c r="P926">
        <f>IF(INVENTARIO!AC926="","",INVENTARIO!AC926)</f>
        <v/>
      </c>
      <c r="Q926">
        <f>IF(AND(K926="",N926="",L926=""),"",IF(AND((K926="ALTA"),OR(LEFT(N926,2)="L0",LEFT(N926,2)="L1",L926="No Iniciado")),"CRÍTICO - Incumplimiento Normativo SEPS",IF(AND(OR(LEFT(N926,2)="L4",LEFT(N926,2)="L5"),AND(P926&lt;&gt;"",P926&lt;&gt;"N/A")),"CONFORME - Control Efectivo ISO 27001","OBSERVACIÓN - Revisar Controles")))</f>
        <v/>
      </c>
    </row>
    <row r="927">
      <c r="A927">
        <f>IF(INVENTARIO!A927="","",INVENTARIO!A927)</f>
        <v/>
      </c>
      <c r="B927">
        <f>IF(INVENTARIO!E927="","",INVENTARIO!E927)</f>
        <v/>
      </c>
      <c r="C927">
        <f>IF(INVENTARIO!F927="","",INVENTARIO!F927)</f>
        <v/>
      </c>
      <c r="D927">
        <f>IF(INVENTARIO!H927="","",INVENTARIO!H927)</f>
        <v/>
      </c>
      <c r="E927">
        <f>IF(INVENTARIO!I927="","",INVENTARIO!I927)</f>
        <v/>
      </c>
      <c r="F927">
        <f>IF(INVENTARIO!N927="","",INVENTARIO!N927)</f>
        <v/>
      </c>
      <c r="G927">
        <f>IF(INVENTARIO!P927="","",INVENTARIO!P927)</f>
        <v/>
      </c>
      <c r="H927">
        <f>IF(INVENTARIO!Q927="","",INVENTARIO!Q927)</f>
        <v/>
      </c>
      <c r="I927">
        <f>IF(INVENTARIO!R927="","",INVENTARIO!R927)</f>
        <v/>
      </c>
      <c r="J927">
        <f>IF(G927="PUBLICA(1)",1,IF(G927="USO INTERNO(2)",2,IF(G927="RESTRINGIDO(3)",3,0)))+IF(H927="BAJA(1)",1,IF(H927="MEDIA(2)",2,IF(H927="ALTA(3)",3,0)))+IF(I927="BAJA(1)",1,IF(I927="MEDIA(2)",2,IF(I927="ALTA(3)",3,0)))</f>
        <v/>
      </c>
      <c r="K927">
        <f>IF(J927="", "", IF(J927&gt;=8,"ALTA",IF(J927&gt;=6,"MEDIA","BAJA")))</f>
        <v/>
      </c>
      <c r="L927">
        <f>IF(INVENTARIO!Y927="","",INVENTARIO!Y927)</f>
        <v/>
      </c>
      <c r="M927">
        <f>IF(INVENTARIO!Z927="","",INVENTARIO!Z927)</f>
        <v/>
      </c>
      <c r="N927">
        <f>IF(INVENTARIO!AA927="","",INVENTARIO!AA927)</f>
        <v/>
      </c>
      <c r="O927">
        <f>IF(INVENTARIO!AB927="","",INVENTARIO!AB927)</f>
        <v/>
      </c>
      <c r="P927">
        <f>IF(INVENTARIO!AC927="","",INVENTARIO!AC927)</f>
        <v/>
      </c>
      <c r="Q927">
        <f>IF(AND(K927="",N927="",L927=""),"",IF(AND((K927="ALTA"),OR(LEFT(N927,2)="L0",LEFT(N927,2)="L1",L927="No Iniciado")),"CRÍTICO - Incumplimiento Normativo SEPS",IF(AND(OR(LEFT(N927,2)="L4",LEFT(N927,2)="L5"),AND(P927&lt;&gt;"",P927&lt;&gt;"N/A")),"CONFORME - Control Efectivo ISO 27001","OBSERVACIÓN - Revisar Controles")))</f>
        <v/>
      </c>
    </row>
    <row r="928">
      <c r="A928">
        <f>IF(INVENTARIO!A928="","",INVENTARIO!A928)</f>
        <v/>
      </c>
      <c r="B928">
        <f>IF(INVENTARIO!E928="","",INVENTARIO!E928)</f>
        <v/>
      </c>
      <c r="C928">
        <f>IF(INVENTARIO!F928="","",INVENTARIO!F928)</f>
        <v/>
      </c>
      <c r="D928">
        <f>IF(INVENTARIO!H928="","",INVENTARIO!H928)</f>
        <v/>
      </c>
      <c r="E928">
        <f>IF(INVENTARIO!I928="","",INVENTARIO!I928)</f>
        <v/>
      </c>
      <c r="F928">
        <f>IF(INVENTARIO!N928="","",INVENTARIO!N928)</f>
        <v/>
      </c>
      <c r="G928">
        <f>IF(INVENTARIO!P928="","",INVENTARIO!P928)</f>
        <v/>
      </c>
      <c r="H928">
        <f>IF(INVENTARIO!Q928="","",INVENTARIO!Q928)</f>
        <v/>
      </c>
      <c r="I928">
        <f>IF(INVENTARIO!R928="","",INVENTARIO!R928)</f>
        <v/>
      </c>
      <c r="J928">
        <f>IF(G928="PUBLICA(1)",1,IF(G928="USO INTERNO(2)",2,IF(G928="RESTRINGIDO(3)",3,0)))+IF(H928="BAJA(1)",1,IF(H928="MEDIA(2)",2,IF(H928="ALTA(3)",3,0)))+IF(I928="BAJA(1)",1,IF(I928="MEDIA(2)",2,IF(I928="ALTA(3)",3,0)))</f>
        <v/>
      </c>
      <c r="K928">
        <f>IF(J928="", "", IF(J928&gt;=8,"ALTA",IF(J928&gt;=6,"MEDIA","BAJA")))</f>
        <v/>
      </c>
      <c r="L928">
        <f>IF(INVENTARIO!Y928="","",INVENTARIO!Y928)</f>
        <v/>
      </c>
      <c r="M928">
        <f>IF(INVENTARIO!Z928="","",INVENTARIO!Z928)</f>
        <v/>
      </c>
      <c r="N928">
        <f>IF(INVENTARIO!AA928="","",INVENTARIO!AA928)</f>
        <v/>
      </c>
      <c r="O928">
        <f>IF(INVENTARIO!AB928="","",INVENTARIO!AB928)</f>
        <v/>
      </c>
      <c r="P928">
        <f>IF(INVENTARIO!AC928="","",INVENTARIO!AC928)</f>
        <v/>
      </c>
      <c r="Q928">
        <f>IF(AND(K928="",N928="",L928=""),"",IF(AND((K928="ALTA"),OR(LEFT(N928,2)="L0",LEFT(N928,2)="L1",L928="No Iniciado")),"CRÍTICO - Incumplimiento Normativo SEPS",IF(AND(OR(LEFT(N928,2)="L4",LEFT(N928,2)="L5"),AND(P928&lt;&gt;"",P928&lt;&gt;"N/A")),"CONFORME - Control Efectivo ISO 27001","OBSERVACIÓN - Revisar Controles")))</f>
        <v/>
      </c>
    </row>
    <row r="929">
      <c r="A929">
        <f>IF(INVENTARIO!A929="","",INVENTARIO!A929)</f>
        <v/>
      </c>
      <c r="B929">
        <f>IF(INVENTARIO!E929="","",INVENTARIO!E929)</f>
        <v/>
      </c>
      <c r="C929">
        <f>IF(INVENTARIO!F929="","",INVENTARIO!F929)</f>
        <v/>
      </c>
      <c r="D929">
        <f>IF(INVENTARIO!H929="","",INVENTARIO!H929)</f>
        <v/>
      </c>
      <c r="E929">
        <f>IF(INVENTARIO!I929="","",INVENTARIO!I929)</f>
        <v/>
      </c>
      <c r="F929">
        <f>IF(INVENTARIO!N929="","",INVENTARIO!N929)</f>
        <v/>
      </c>
      <c r="G929">
        <f>IF(INVENTARIO!P929="","",INVENTARIO!P929)</f>
        <v/>
      </c>
      <c r="H929">
        <f>IF(INVENTARIO!Q929="","",INVENTARIO!Q929)</f>
        <v/>
      </c>
      <c r="I929">
        <f>IF(INVENTARIO!R929="","",INVENTARIO!R929)</f>
        <v/>
      </c>
      <c r="J929">
        <f>IF(G929="PUBLICA(1)",1,IF(G929="USO INTERNO(2)",2,IF(G929="RESTRINGIDO(3)",3,0)))+IF(H929="BAJA(1)",1,IF(H929="MEDIA(2)",2,IF(H929="ALTA(3)",3,0)))+IF(I929="BAJA(1)",1,IF(I929="MEDIA(2)",2,IF(I929="ALTA(3)",3,0)))</f>
        <v/>
      </c>
      <c r="K929">
        <f>IF(J929="", "", IF(J929&gt;=8,"ALTA",IF(J929&gt;=6,"MEDIA","BAJA")))</f>
        <v/>
      </c>
      <c r="L929">
        <f>IF(INVENTARIO!Y929="","",INVENTARIO!Y929)</f>
        <v/>
      </c>
      <c r="M929">
        <f>IF(INVENTARIO!Z929="","",INVENTARIO!Z929)</f>
        <v/>
      </c>
      <c r="N929">
        <f>IF(INVENTARIO!AA929="","",INVENTARIO!AA929)</f>
        <v/>
      </c>
      <c r="O929">
        <f>IF(INVENTARIO!AB929="","",INVENTARIO!AB929)</f>
        <v/>
      </c>
      <c r="P929">
        <f>IF(INVENTARIO!AC929="","",INVENTARIO!AC929)</f>
        <v/>
      </c>
      <c r="Q929">
        <f>IF(AND(K929="",N929="",L929=""),"",IF(AND((K929="ALTA"),OR(LEFT(N929,2)="L0",LEFT(N929,2)="L1",L929="No Iniciado")),"CRÍTICO - Incumplimiento Normativo SEPS",IF(AND(OR(LEFT(N929,2)="L4",LEFT(N929,2)="L5"),AND(P929&lt;&gt;"",P929&lt;&gt;"N/A")),"CONFORME - Control Efectivo ISO 27001","OBSERVACIÓN - Revisar Controles")))</f>
        <v/>
      </c>
    </row>
    <row r="930">
      <c r="A930">
        <f>IF(INVENTARIO!A930="","",INVENTARIO!A930)</f>
        <v/>
      </c>
      <c r="B930">
        <f>IF(INVENTARIO!E930="","",INVENTARIO!E930)</f>
        <v/>
      </c>
      <c r="C930">
        <f>IF(INVENTARIO!F930="","",INVENTARIO!F930)</f>
        <v/>
      </c>
      <c r="D930">
        <f>IF(INVENTARIO!H930="","",INVENTARIO!H930)</f>
        <v/>
      </c>
      <c r="E930">
        <f>IF(INVENTARIO!I930="","",INVENTARIO!I930)</f>
        <v/>
      </c>
      <c r="F930">
        <f>IF(INVENTARIO!N930="","",INVENTARIO!N930)</f>
        <v/>
      </c>
      <c r="G930">
        <f>IF(INVENTARIO!P930="","",INVENTARIO!P930)</f>
        <v/>
      </c>
      <c r="H930">
        <f>IF(INVENTARIO!Q930="","",INVENTARIO!Q930)</f>
        <v/>
      </c>
      <c r="I930">
        <f>IF(INVENTARIO!R930="","",INVENTARIO!R930)</f>
        <v/>
      </c>
      <c r="J930">
        <f>IF(G930="PUBLICA(1)",1,IF(G930="USO INTERNO(2)",2,IF(G930="RESTRINGIDO(3)",3,0)))+IF(H930="BAJA(1)",1,IF(H930="MEDIA(2)",2,IF(H930="ALTA(3)",3,0)))+IF(I930="BAJA(1)",1,IF(I930="MEDIA(2)",2,IF(I930="ALTA(3)",3,0)))</f>
        <v/>
      </c>
      <c r="K930">
        <f>IF(J930="", "", IF(J930&gt;=8,"ALTA",IF(J930&gt;=6,"MEDIA","BAJA")))</f>
        <v/>
      </c>
      <c r="L930">
        <f>IF(INVENTARIO!Y930="","",INVENTARIO!Y930)</f>
        <v/>
      </c>
      <c r="M930">
        <f>IF(INVENTARIO!Z930="","",INVENTARIO!Z930)</f>
        <v/>
      </c>
      <c r="N930">
        <f>IF(INVENTARIO!AA930="","",INVENTARIO!AA930)</f>
        <v/>
      </c>
      <c r="O930">
        <f>IF(INVENTARIO!AB930="","",INVENTARIO!AB930)</f>
        <v/>
      </c>
      <c r="P930">
        <f>IF(INVENTARIO!AC930="","",INVENTARIO!AC930)</f>
        <v/>
      </c>
      <c r="Q930">
        <f>IF(AND(K930="",N930="",L930=""),"",IF(AND((K930="ALTA"),OR(LEFT(N930,2)="L0",LEFT(N930,2)="L1",L930="No Iniciado")),"CRÍTICO - Incumplimiento Normativo SEPS",IF(AND(OR(LEFT(N930,2)="L4",LEFT(N930,2)="L5"),AND(P930&lt;&gt;"",P930&lt;&gt;"N/A")),"CONFORME - Control Efectivo ISO 27001","OBSERVACIÓN - Revisar Controles")))</f>
        <v/>
      </c>
    </row>
    <row r="931">
      <c r="A931">
        <f>IF(INVENTARIO!A931="","",INVENTARIO!A931)</f>
        <v/>
      </c>
      <c r="B931">
        <f>IF(INVENTARIO!E931="","",INVENTARIO!E931)</f>
        <v/>
      </c>
      <c r="C931">
        <f>IF(INVENTARIO!F931="","",INVENTARIO!F931)</f>
        <v/>
      </c>
      <c r="D931">
        <f>IF(INVENTARIO!H931="","",INVENTARIO!H931)</f>
        <v/>
      </c>
      <c r="E931">
        <f>IF(INVENTARIO!I931="","",INVENTARIO!I931)</f>
        <v/>
      </c>
      <c r="F931">
        <f>IF(INVENTARIO!N931="","",INVENTARIO!N931)</f>
        <v/>
      </c>
      <c r="G931">
        <f>IF(INVENTARIO!P931="","",INVENTARIO!P931)</f>
        <v/>
      </c>
      <c r="H931">
        <f>IF(INVENTARIO!Q931="","",INVENTARIO!Q931)</f>
        <v/>
      </c>
      <c r="I931">
        <f>IF(INVENTARIO!R931="","",INVENTARIO!R931)</f>
        <v/>
      </c>
      <c r="J931">
        <f>IF(G931="PUBLICA(1)",1,IF(G931="USO INTERNO(2)",2,IF(G931="RESTRINGIDO(3)",3,0)))+IF(H931="BAJA(1)",1,IF(H931="MEDIA(2)",2,IF(H931="ALTA(3)",3,0)))+IF(I931="BAJA(1)",1,IF(I931="MEDIA(2)",2,IF(I931="ALTA(3)",3,0)))</f>
        <v/>
      </c>
      <c r="K931">
        <f>IF(J931="", "", IF(J931&gt;=8,"ALTA",IF(J931&gt;=6,"MEDIA","BAJA")))</f>
        <v/>
      </c>
      <c r="L931">
        <f>IF(INVENTARIO!Y931="","",INVENTARIO!Y931)</f>
        <v/>
      </c>
      <c r="M931">
        <f>IF(INVENTARIO!Z931="","",INVENTARIO!Z931)</f>
        <v/>
      </c>
      <c r="N931">
        <f>IF(INVENTARIO!AA931="","",INVENTARIO!AA931)</f>
        <v/>
      </c>
      <c r="O931">
        <f>IF(INVENTARIO!AB931="","",INVENTARIO!AB931)</f>
        <v/>
      </c>
      <c r="P931">
        <f>IF(INVENTARIO!AC931="","",INVENTARIO!AC931)</f>
        <v/>
      </c>
      <c r="Q931">
        <f>IF(AND(K931="",N931="",L931=""),"",IF(AND((K931="ALTA"),OR(LEFT(N931,2)="L0",LEFT(N931,2)="L1",L931="No Iniciado")),"CRÍTICO - Incumplimiento Normativo SEPS",IF(AND(OR(LEFT(N931,2)="L4",LEFT(N931,2)="L5"),AND(P931&lt;&gt;"",P931&lt;&gt;"N/A")),"CONFORME - Control Efectivo ISO 27001","OBSERVACIÓN - Revisar Controles")))</f>
        <v/>
      </c>
    </row>
    <row r="932">
      <c r="A932">
        <f>IF(INVENTARIO!A932="","",INVENTARIO!A932)</f>
        <v/>
      </c>
      <c r="B932">
        <f>IF(INVENTARIO!E932="","",INVENTARIO!E932)</f>
        <v/>
      </c>
      <c r="C932">
        <f>IF(INVENTARIO!F932="","",INVENTARIO!F932)</f>
        <v/>
      </c>
      <c r="D932">
        <f>IF(INVENTARIO!H932="","",INVENTARIO!H932)</f>
        <v/>
      </c>
      <c r="E932">
        <f>IF(INVENTARIO!I932="","",INVENTARIO!I932)</f>
        <v/>
      </c>
      <c r="F932">
        <f>IF(INVENTARIO!N932="","",INVENTARIO!N932)</f>
        <v/>
      </c>
      <c r="G932">
        <f>IF(INVENTARIO!P932="","",INVENTARIO!P932)</f>
        <v/>
      </c>
      <c r="H932">
        <f>IF(INVENTARIO!Q932="","",INVENTARIO!Q932)</f>
        <v/>
      </c>
      <c r="I932">
        <f>IF(INVENTARIO!R932="","",INVENTARIO!R932)</f>
        <v/>
      </c>
      <c r="J932">
        <f>IF(G932="PUBLICA(1)",1,IF(G932="USO INTERNO(2)",2,IF(G932="RESTRINGIDO(3)",3,0)))+IF(H932="BAJA(1)",1,IF(H932="MEDIA(2)",2,IF(H932="ALTA(3)",3,0)))+IF(I932="BAJA(1)",1,IF(I932="MEDIA(2)",2,IF(I932="ALTA(3)",3,0)))</f>
        <v/>
      </c>
      <c r="K932">
        <f>IF(J932="", "", IF(J932&gt;=8,"ALTA",IF(J932&gt;=6,"MEDIA","BAJA")))</f>
        <v/>
      </c>
      <c r="L932">
        <f>IF(INVENTARIO!Y932="","",INVENTARIO!Y932)</f>
        <v/>
      </c>
      <c r="M932">
        <f>IF(INVENTARIO!Z932="","",INVENTARIO!Z932)</f>
        <v/>
      </c>
      <c r="N932">
        <f>IF(INVENTARIO!AA932="","",INVENTARIO!AA932)</f>
        <v/>
      </c>
      <c r="O932">
        <f>IF(INVENTARIO!AB932="","",INVENTARIO!AB932)</f>
        <v/>
      </c>
      <c r="P932">
        <f>IF(INVENTARIO!AC932="","",INVENTARIO!AC932)</f>
        <v/>
      </c>
      <c r="Q932">
        <f>IF(AND(K932="",N932="",L932=""),"",IF(AND((K932="ALTA"),OR(LEFT(N932,2)="L0",LEFT(N932,2)="L1",L932="No Iniciado")),"CRÍTICO - Incumplimiento Normativo SEPS",IF(AND(OR(LEFT(N932,2)="L4",LEFT(N932,2)="L5"),AND(P932&lt;&gt;"",P932&lt;&gt;"N/A")),"CONFORME - Control Efectivo ISO 27001","OBSERVACIÓN - Revisar Controles")))</f>
        <v/>
      </c>
    </row>
    <row r="933">
      <c r="A933">
        <f>IF(INVENTARIO!A933="","",INVENTARIO!A933)</f>
        <v/>
      </c>
      <c r="B933">
        <f>IF(INVENTARIO!E933="","",INVENTARIO!E933)</f>
        <v/>
      </c>
      <c r="C933">
        <f>IF(INVENTARIO!F933="","",INVENTARIO!F933)</f>
        <v/>
      </c>
      <c r="D933">
        <f>IF(INVENTARIO!H933="","",INVENTARIO!H933)</f>
        <v/>
      </c>
      <c r="E933">
        <f>IF(INVENTARIO!I933="","",INVENTARIO!I933)</f>
        <v/>
      </c>
      <c r="F933">
        <f>IF(INVENTARIO!N933="","",INVENTARIO!N933)</f>
        <v/>
      </c>
      <c r="G933">
        <f>IF(INVENTARIO!P933="","",INVENTARIO!P933)</f>
        <v/>
      </c>
      <c r="H933">
        <f>IF(INVENTARIO!Q933="","",INVENTARIO!Q933)</f>
        <v/>
      </c>
      <c r="I933">
        <f>IF(INVENTARIO!R933="","",INVENTARIO!R933)</f>
        <v/>
      </c>
      <c r="J933">
        <f>IF(G933="PUBLICA(1)",1,IF(G933="USO INTERNO(2)",2,IF(G933="RESTRINGIDO(3)",3,0)))+IF(H933="BAJA(1)",1,IF(H933="MEDIA(2)",2,IF(H933="ALTA(3)",3,0)))+IF(I933="BAJA(1)",1,IF(I933="MEDIA(2)",2,IF(I933="ALTA(3)",3,0)))</f>
        <v/>
      </c>
      <c r="K933">
        <f>IF(J933="", "", IF(J933&gt;=8,"ALTA",IF(J933&gt;=6,"MEDIA","BAJA")))</f>
        <v/>
      </c>
      <c r="L933">
        <f>IF(INVENTARIO!Y933="","",INVENTARIO!Y933)</f>
        <v/>
      </c>
      <c r="M933">
        <f>IF(INVENTARIO!Z933="","",INVENTARIO!Z933)</f>
        <v/>
      </c>
      <c r="N933">
        <f>IF(INVENTARIO!AA933="","",INVENTARIO!AA933)</f>
        <v/>
      </c>
      <c r="O933">
        <f>IF(INVENTARIO!AB933="","",INVENTARIO!AB933)</f>
        <v/>
      </c>
      <c r="P933">
        <f>IF(INVENTARIO!AC933="","",INVENTARIO!AC933)</f>
        <v/>
      </c>
      <c r="Q933">
        <f>IF(AND(K933="",N933="",L933=""),"",IF(AND((K933="ALTA"),OR(LEFT(N933,2)="L0",LEFT(N933,2)="L1",L933="No Iniciado")),"CRÍTICO - Incumplimiento Normativo SEPS",IF(AND(OR(LEFT(N933,2)="L4",LEFT(N933,2)="L5"),AND(P933&lt;&gt;"",P933&lt;&gt;"N/A")),"CONFORME - Control Efectivo ISO 27001","OBSERVACIÓN - Revisar Controles")))</f>
        <v/>
      </c>
    </row>
    <row r="934">
      <c r="A934">
        <f>IF(INVENTARIO!A934="","",INVENTARIO!A934)</f>
        <v/>
      </c>
      <c r="B934">
        <f>IF(INVENTARIO!E934="","",INVENTARIO!E934)</f>
        <v/>
      </c>
      <c r="C934">
        <f>IF(INVENTARIO!F934="","",INVENTARIO!F934)</f>
        <v/>
      </c>
      <c r="D934">
        <f>IF(INVENTARIO!H934="","",INVENTARIO!H934)</f>
        <v/>
      </c>
      <c r="E934">
        <f>IF(INVENTARIO!I934="","",INVENTARIO!I934)</f>
        <v/>
      </c>
      <c r="F934">
        <f>IF(INVENTARIO!N934="","",INVENTARIO!N934)</f>
        <v/>
      </c>
      <c r="G934">
        <f>IF(INVENTARIO!P934="","",INVENTARIO!P934)</f>
        <v/>
      </c>
      <c r="H934">
        <f>IF(INVENTARIO!Q934="","",INVENTARIO!Q934)</f>
        <v/>
      </c>
      <c r="I934">
        <f>IF(INVENTARIO!R934="","",INVENTARIO!R934)</f>
        <v/>
      </c>
      <c r="J934">
        <f>IF(G934="PUBLICA(1)",1,IF(G934="USO INTERNO(2)",2,IF(G934="RESTRINGIDO(3)",3,0)))+IF(H934="BAJA(1)",1,IF(H934="MEDIA(2)",2,IF(H934="ALTA(3)",3,0)))+IF(I934="BAJA(1)",1,IF(I934="MEDIA(2)",2,IF(I934="ALTA(3)",3,0)))</f>
        <v/>
      </c>
      <c r="K934">
        <f>IF(J934="", "", IF(J934&gt;=8,"ALTA",IF(J934&gt;=6,"MEDIA","BAJA")))</f>
        <v/>
      </c>
      <c r="L934">
        <f>IF(INVENTARIO!Y934="","",INVENTARIO!Y934)</f>
        <v/>
      </c>
      <c r="M934">
        <f>IF(INVENTARIO!Z934="","",INVENTARIO!Z934)</f>
        <v/>
      </c>
      <c r="N934">
        <f>IF(INVENTARIO!AA934="","",INVENTARIO!AA934)</f>
        <v/>
      </c>
      <c r="O934">
        <f>IF(INVENTARIO!AB934="","",INVENTARIO!AB934)</f>
        <v/>
      </c>
      <c r="P934">
        <f>IF(INVENTARIO!AC934="","",INVENTARIO!AC934)</f>
        <v/>
      </c>
      <c r="Q934">
        <f>IF(AND(K934="",N934="",L934=""),"",IF(AND((K934="ALTA"),OR(LEFT(N934,2)="L0",LEFT(N934,2)="L1",L934="No Iniciado")),"CRÍTICO - Incumplimiento Normativo SEPS",IF(AND(OR(LEFT(N934,2)="L4",LEFT(N934,2)="L5"),AND(P934&lt;&gt;"",P934&lt;&gt;"N/A")),"CONFORME - Control Efectivo ISO 27001","OBSERVACIÓN - Revisar Controles")))</f>
        <v/>
      </c>
    </row>
    <row r="935">
      <c r="A935">
        <f>IF(INVENTARIO!A935="","",INVENTARIO!A935)</f>
        <v/>
      </c>
      <c r="B935">
        <f>IF(INVENTARIO!E935="","",INVENTARIO!E935)</f>
        <v/>
      </c>
      <c r="C935">
        <f>IF(INVENTARIO!F935="","",INVENTARIO!F935)</f>
        <v/>
      </c>
      <c r="D935">
        <f>IF(INVENTARIO!H935="","",INVENTARIO!H935)</f>
        <v/>
      </c>
      <c r="E935">
        <f>IF(INVENTARIO!I935="","",INVENTARIO!I935)</f>
        <v/>
      </c>
      <c r="F935">
        <f>IF(INVENTARIO!N935="","",INVENTARIO!N935)</f>
        <v/>
      </c>
      <c r="G935">
        <f>IF(INVENTARIO!P935="","",INVENTARIO!P935)</f>
        <v/>
      </c>
      <c r="H935">
        <f>IF(INVENTARIO!Q935="","",INVENTARIO!Q935)</f>
        <v/>
      </c>
      <c r="I935">
        <f>IF(INVENTARIO!R935="","",INVENTARIO!R935)</f>
        <v/>
      </c>
      <c r="J935">
        <f>IF(G935="PUBLICA(1)",1,IF(G935="USO INTERNO(2)",2,IF(G935="RESTRINGIDO(3)",3,0)))+IF(H935="BAJA(1)",1,IF(H935="MEDIA(2)",2,IF(H935="ALTA(3)",3,0)))+IF(I935="BAJA(1)",1,IF(I935="MEDIA(2)",2,IF(I935="ALTA(3)",3,0)))</f>
        <v/>
      </c>
      <c r="K935">
        <f>IF(J935="", "", IF(J935&gt;=8,"ALTA",IF(J935&gt;=6,"MEDIA","BAJA")))</f>
        <v/>
      </c>
      <c r="L935">
        <f>IF(INVENTARIO!Y935="","",INVENTARIO!Y935)</f>
        <v/>
      </c>
      <c r="M935">
        <f>IF(INVENTARIO!Z935="","",INVENTARIO!Z935)</f>
        <v/>
      </c>
      <c r="N935">
        <f>IF(INVENTARIO!AA935="","",INVENTARIO!AA935)</f>
        <v/>
      </c>
      <c r="O935">
        <f>IF(INVENTARIO!AB935="","",INVENTARIO!AB935)</f>
        <v/>
      </c>
      <c r="P935">
        <f>IF(INVENTARIO!AC935="","",INVENTARIO!AC935)</f>
        <v/>
      </c>
      <c r="Q935">
        <f>IF(AND(K935="",N935="",L935=""),"",IF(AND((K935="ALTA"),OR(LEFT(N935,2)="L0",LEFT(N935,2)="L1",L935="No Iniciado")),"CRÍTICO - Incumplimiento Normativo SEPS",IF(AND(OR(LEFT(N935,2)="L4",LEFT(N935,2)="L5"),AND(P935&lt;&gt;"",P935&lt;&gt;"N/A")),"CONFORME - Control Efectivo ISO 27001","OBSERVACIÓN - Revisar Controles")))</f>
        <v/>
      </c>
    </row>
    <row r="936">
      <c r="A936">
        <f>IF(INVENTARIO!A936="","",INVENTARIO!A936)</f>
        <v/>
      </c>
      <c r="B936">
        <f>IF(INVENTARIO!E936="","",INVENTARIO!E936)</f>
        <v/>
      </c>
      <c r="C936">
        <f>IF(INVENTARIO!F936="","",INVENTARIO!F936)</f>
        <v/>
      </c>
      <c r="D936">
        <f>IF(INVENTARIO!H936="","",INVENTARIO!H936)</f>
        <v/>
      </c>
      <c r="E936">
        <f>IF(INVENTARIO!I936="","",INVENTARIO!I936)</f>
        <v/>
      </c>
      <c r="F936">
        <f>IF(INVENTARIO!N936="","",INVENTARIO!N936)</f>
        <v/>
      </c>
      <c r="G936">
        <f>IF(INVENTARIO!P936="","",INVENTARIO!P936)</f>
        <v/>
      </c>
      <c r="H936">
        <f>IF(INVENTARIO!Q936="","",INVENTARIO!Q936)</f>
        <v/>
      </c>
      <c r="I936">
        <f>IF(INVENTARIO!R936="","",INVENTARIO!R936)</f>
        <v/>
      </c>
      <c r="J936">
        <f>IF(G936="PUBLICA(1)",1,IF(G936="USO INTERNO(2)",2,IF(G936="RESTRINGIDO(3)",3,0)))+IF(H936="BAJA(1)",1,IF(H936="MEDIA(2)",2,IF(H936="ALTA(3)",3,0)))+IF(I936="BAJA(1)",1,IF(I936="MEDIA(2)",2,IF(I936="ALTA(3)",3,0)))</f>
        <v/>
      </c>
      <c r="K936">
        <f>IF(J936="", "", IF(J936&gt;=8,"ALTA",IF(J936&gt;=6,"MEDIA","BAJA")))</f>
        <v/>
      </c>
      <c r="L936">
        <f>IF(INVENTARIO!Y936="","",INVENTARIO!Y936)</f>
        <v/>
      </c>
      <c r="M936">
        <f>IF(INVENTARIO!Z936="","",INVENTARIO!Z936)</f>
        <v/>
      </c>
      <c r="N936">
        <f>IF(INVENTARIO!AA936="","",INVENTARIO!AA936)</f>
        <v/>
      </c>
      <c r="O936">
        <f>IF(INVENTARIO!AB936="","",INVENTARIO!AB936)</f>
        <v/>
      </c>
      <c r="P936">
        <f>IF(INVENTARIO!AC936="","",INVENTARIO!AC936)</f>
        <v/>
      </c>
      <c r="Q936">
        <f>IF(AND(K936="",N936="",L936=""),"",IF(AND((K936="ALTA"),OR(LEFT(N936,2)="L0",LEFT(N936,2)="L1",L936="No Iniciado")),"CRÍTICO - Incumplimiento Normativo SEPS",IF(AND(OR(LEFT(N936,2)="L4",LEFT(N936,2)="L5"),AND(P936&lt;&gt;"",P936&lt;&gt;"N/A")),"CONFORME - Control Efectivo ISO 27001","OBSERVACIÓN - Revisar Controles")))</f>
        <v/>
      </c>
    </row>
    <row r="937">
      <c r="A937">
        <f>IF(INVENTARIO!A937="","",INVENTARIO!A937)</f>
        <v/>
      </c>
      <c r="B937">
        <f>IF(INVENTARIO!E937="","",INVENTARIO!E937)</f>
        <v/>
      </c>
      <c r="C937">
        <f>IF(INVENTARIO!F937="","",INVENTARIO!F937)</f>
        <v/>
      </c>
      <c r="D937">
        <f>IF(INVENTARIO!H937="","",INVENTARIO!H937)</f>
        <v/>
      </c>
      <c r="E937">
        <f>IF(INVENTARIO!I937="","",INVENTARIO!I937)</f>
        <v/>
      </c>
      <c r="F937">
        <f>IF(INVENTARIO!N937="","",INVENTARIO!N937)</f>
        <v/>
      </c>
      <c r="G937">
        <f>IF(INVENTARIO!P937="","",INVENTARIO!P937)</f>
        <v/>
      </c>
      <c r="H937">
        <f>IF(INVENTARIO!Q937="","",INVENTARIO!Q937)</f>
        <v/>
      </c>
      <c r="I937">
        <f>IF(INVENTARIO!R937="","",INVENTARIO!R937)</f>
        <v/>
      </c>
      <c r="J937">
        <f>IF(G937="PUBLICA(1)",1,IF(G937="USO INTERNO(2)",2,IF(G937="RESTRINGIDO(3)",3,0)))+IF(H937="BAJA(1)",1,IF(H937="MEDIA(2)",2,IF(H937="ALTA(3)",3,0)))+IF(I937="BAJA(1)",1,IF(I937="MEDIA(2)",2,IF(I937="ALTA(3)",3,0)))</f>
        <v/>
      </c>
      <c r="K937">
        <f>IF(J937="", "", IF(J937&gt;=8,"ALTA",IF(J937&gt;=6,"MEDIA","BAJA")))</f>
        <v/>
      </c>
      <c r="L937">
        <f>IF(INVENTARIO!Y937="","",INVENTARIO!Y937)</f>
        <v/>
      </c>
      <c r="M937">
        <f>IF(INVENTARIO!Z937="","",INVENTARIO!Z937)</f>
        <v/>
      </c>
      <c r="N937">
        <f>IF(INVENTARIO!AA937="","",INVENTARIO!AA937)</f>
        <v/>
      </c>
      <c r="O937">
        <f>IF(INVENTARIO!AB937="","",INVENTARIO!AB937)</f>
        <v/>
      </c>
      <c r="P937">
        <f>IF(INVENTARIO!AC937="","",INVENTARIO!AC937)</f>
        <v/>
      </c>
      <c r="Q937">
        <f>IF(AND(K937="",N937="",L937=""),"",IF(AND((K937="ALTA"),OR(LEFT(N937,2)="L0",LEFT(N937,2)="L1",L937="No Iniciado")),"CRÍTICO - Incumplimiento Normativo SEPS",IF(AND(OR(LEFT(N937,2)="L4",LEFT(N937,2)="L5"),AND(P937&lt;&gt;"",P937&lt;&gt;"N/A")),"CONFORME - Control Efectivo ISO 27001","OBSERVACIÓN - Revisar Controles")))</f>
        <v/>
      </c>
    </row>
    <row r="938">
      <c r="A938">
        <f>IF(INVENTARIO!A938="","",INVENTARIO!A938)</f>
        <v/>
      </c>
      <c r="B938">
        <f>IF(INVENTARIO!E938="","",INVENTARIO!E938)</f>
        <v/>
      </c>
      <c r="C938">
        <f>IF(INVENTARIO!F938="","",INVENTARIO!F938)</f>
        <v/>
      </c>
      <c r="D938">
        <f>IF(INVENTARIO!H938="","",INVENTARIO!H938)</f>
        <v/>
      </c>
      <c r="E938">
        <f>IF(INVENTARIO!I938="","",INVENTARIO!I938)</f>
        <v/>
      </c>
      <c r="F938">
        <f>IF(INVENTARIO!N938="","",INVENTARIO!N938)</f>
        <v/>
      </c>
      <c r="G938">
        <f>IF(INVENTARIO!P938="","",INVENTARIO!P938)</f>
        <v/>
      </c>
      <c r="H938">
        <f>IF(INVENTARIO!Q938="","",INVENTARIO!Q938)</f>
        <v/>
      </c>
      <c r="I938">
        <f>IF(INVENTARIO!R938="","",INVENTARIO!R938)</f>
        <v/>
      </c>
      <c r="J938">
        <f>IF(G938="PUBLICA(1)",1,IF(G938="USO INTERNO(2)",2,IF(G938="RESTRINGIDO(3)",3,0)))+IF(H938="BAJA(1)",1,IF(H938="MEDIA(2)",2,IF(H938="ALTA(3)",3,0)))+IF(I938="BAJA(1)",1,IF(I938="MEDIA(2)",2,IF(I938="ALTA(3)",3,0)))</f>
        <v/>
      </c>
      <c r="K938">
        <f>IF(J938="", "", IF(J938&gt;=8,"ALTA",IF(J938&gt;=6,"MEDIA","BAJA")))</f>
        <v/>
      </c>
      <c r="L938">
        <f>IF(INVENTARIO!Y938="","",INVENTARIO!Y938)</f>
        <v/>
      </c>
      <c r="M938">
        <f>IF(INVENTARIO!Z938="","",INVENTARIO!Z938)</f>
        <v/>
      </c>
      <c r="N938">
        <f>IF(INVENTARIO!AA938="","",INVENTARIO!AA938)</f>
        <v/>
      </c>
      <c r="O938">
        <f>IF(INVENTARIO!AB938="","",INVENTARIO!AB938)</f>
        <v/>
      </c>
      <c r="P938">
        <f>IF(INVENTARIO!AC938="","",INVENTARIO!AC938)</f>
        <v/>
      </c>
      <c r="Q938">
        <f>IF(AND(K938="",N938="",L938=""),"",IF(AND((K938="ALTA"),OR(LEFT(N938,2)="L0",LEFT(N938,2)="L1",L938="No Iniciado")),"CRÍTICO - Incumplimiento Normativo SEPS",IF(AND(OR(LEFT(N938,2)="L4",LEFT(N938,2)="L5"),AND(P938&lt;&gt;"",P938&lt;&gt;"N/A")),"CONFORME - Control Efectivo ISO 27001","OBSERVACIÓN - Revisar Controles")))</f>
        <v/>
      </c>
    </row>
    <row r="939">
      <c r="A939">
        <f>IF(INVENTARIO!A939="","",INVENTARIO!A939)</f>
        <v/>
      </c>
      <c r="B939">
        <f>IF(INVENTARIO!E939="","",INVENTARIO!E939)</f>
        <v/>
      </c>
      <c r="C939">
        <f>IF(INVENTARIO!F939="","",INVENTARIO!F939)</f>
        <v/>
      </c>
      <c r="D939">
        <f>IF(INVENTARIO!H939="","",INVENTARIO!H939)</f>
        <v/>
      </c>
      <c r="E939">
        <f>IF(INVENTARIO!I939="","",INVENTARIO!I939)</f>
        <v/>
      </c>
      <c r="F939">
        <f>IF(INVENTARIO!N939="","",INVENTARIO!N939)</f>
        <v/>
      </c>
      <c r="G939">
        <f>IF(INVENTARIO!P939="","",INVENTARIO!P939)</f>
        <v/>
      </c>
      <c r="H939">
        <f>IF(INVENTARIO!Q939="","",INVENTARIO!Q939)</f>
        <v/>
      </c>
      <c r="I939">
        <f>IF(INVENTARIO!R939="","",INVENTARIO!R939)</f>
        <v/>
      </c>
      <c r="J939">
        <f>IF(G939="PUBLICA(1)",1,IF(G939="USO INTERNO(2)",2,IF(G939="RESTRINGIDO(3)",3,0)))+IF(H939="BAJA(1)",1,IF(H939="MEDIA(2)",2,IF(H939="ALTA(3)",3,0)))+IF(I939="BAJA(1)",1,IF(I939="MEDIA(2)",2,IF(I939="ALTA(3)",3,0)))</f>
        <v/>
      </c>
      <c r="K939">
        <f>IF(J939="", "", IF(J939&gt;=8,"ALTA",IF(J939&gt;=6,"MEDIA","BAJA")))</f>
        <v/>
      </c>
      <c r="L939">
        <f>IF(INVENTARIO!Y939="","",INVENTARIO!Y939)</f>
        <v/>
      </c>
      <c r="M939">
        <f>IF(INVENTARIO!Z939="","",INVENTARIO!Z939)</f>
        <v/>
      </c>
      <c r="N939">
        <f>IF(INVENTARIO!AA939="","",INVENTARIO!AA939)</f>
        <v/>
      </c>
      <c r="O939">
        <f>IF(INVENTARIO!AB939="","",INVENTARIO!AB939)</f>
        <v/>
      </c>
      <c r="P939">
        <f>IF(INVENTARIO!AC939="","",INVENTARIO!AC939)</f>
        <v/>
      </c>
      <c r="Q939">
        <f>IF(AND(K939="",N939="",L939=""),"",IF(AND((K939="ALTA"),OR(LEFT(N939,2)="L0",LEFT(N939,2)="L1",L939="No Iniciado")),"CRÍTICO - Incumplimiento Normativo SEPS",IF(AND(OR(LEFT(N939,2)="L4",LEFT(N939,2)="L5"),AND(P939&lt;&gt;"",P939&lt;&gt;"N/A")),"CONFORME - Control Efectivo ISO 27001","OBSERVACIÓN - Revisar Controles")))</f>
        <v/>
      </c>
    </row>
    <row r="940">
      <c r="A940">
        <f>IF(INVENTARIO!A940="","",INVENTARIO!A940)</f>
        <v/>
      </c>
      <c r="B940">
        <f>IF(INVENTARIO!E940="","",INVENTARIO!E940)</f>
        <v/>
      </c>
      <c r="C940">
        <f>IF(INVENTARIO!F940="","",INVENTARIO!F940)</f>
        <v/>
      </c>
      <c r="D940">
        <f>IF(INVENTARIO!H940="","",INVENTARIO!H940)</f>
        <v/>
      </c>
      <c r="E940">
        <f>IF(INVENTARIO!I940="","",INVENTARIO!I940)</f>
        <v/>
      </c>
      <c r="F940">
        <f>IF(INVENTARIO!N940="","",INVENTARIO!N940)</f>
        <v/>
      </c>
      <c r="G940">
        <f>IF(INVENTARIO!P940="","",INVENTARIO!P940)</f>
        <v/>
      </c>
      <c r="H940">
        <f>IF(INVENTARIO!Q940="","",INVENTARIO!Q940)</f>
        <v/>
      </c>
      <c r="I940">
        <f>IF(INVENTARIO!R940="","",INVENTARIO!R940)</f>
        <v/>
      </c>
      <c r="J940">
        <f>IF(G940="PUBLICA(1)",1,IF(G940="USO INTERNO(2)",2,IF(G940="RESTRINGIDO(3)",3,0)))+IF(H940="BAJA(1)",1,IF(H940="MEDIA(2)",2,IF(H940="ALTA(3)",3,0)))+IF(I940="BAJA(1)",1,IF(I940="MEDIA(2)",2,IF(I940="ALTA(3)",3,0)))</f>
        <v/>
      </c>
      <c r="K940">
        <f>IF(J940="", "", IF(J940&gt;=8,"ALTA",IF(J940&gt;=6,"MEDIA","BAJA")))</f>
        <v/>
      </c>
      <c r="L940">
        <f>IF(INVENTARIO!Y940="","",INVENTARIO!Y940)</f>
        <v/>
      </c>
      <c r="M940">
        <f>IF(INVENTARIO!Z940="","",INVENTARIO!Z940)</f>
        <v/>
      </c>
      <c r="N940">
        <f>IF(INVENTARIO!AA940="","",INVENTARIO!AA940)</f>
        <v/>
      </c>
      <c r="O940">
        <f>IF(INVENTARIO!AB940="","",INVENTARIO!AB940)</f>
        <v/>
      </c>
      <c r="P940">
        <f>IF(INVENTARIO!AC940="","",INVENTARIO!AC940)</f>
        <v/>
      </c>
      <c r="Q940">
        <f>IF(AND(K940="",N940="",L940=""),"",IF(AND((K940="ALTA"),OR(LEFT(N940,2)="L0",LEFT(N940,2)="L1",L940="No Iniciado")),"CRÍTICO - Incumplimiento Normativo SEPS",IF(AND(OR(LEFT(N940,2)="L4",LEFT(N940,2)="L5"),AND(P940&lt;&gt;"",P940&lt;&gt;"N/A")),"CONFORME - Control Efectivo ISO 27001","OBSERVACIÓN - Revisar Controles")))</f>
        <v/>
      </c>
    </row>
    <row r="941">
      <c r="A941">
        <f>IF(INVENTARIO!A941="","",INVENTARIO!A941)</f>
        <v/>
      </c>
      <c r="B941">
        <f>IF(INVENTARIO!E941="","",INVENTARIO!E941)</f>
        <v/>
      </c>
      <c r="C941">
        <f>IF(INVENTARIO!F941="","",INVENTARIO!F941)</f>
        <v/>
      </c>
      <c r="D941">
        <f>IF(INVENTARIO!H941="","",INVENTARIO!H941)</f>
        <v/>
      </c>
      <c r="E941">
        <f>IF(INVENTARIO!I941="","",INVENTARIO!I941)</f>
        <v/>
      </c>
      <c r="F941">
        <f>IF(INVENTARIO!N941="","",INVENTARIO!N941)</f>
        <v/>
      </c>
      <c r="G941">
        <f>IF(INVENTARIO!P941="","",INVENTARIO!P941)</f>
        <v/>
      </c>
      <c r="H941">
        <f>IF(INVENTARIO!Q941="","",INVENTARIO!Q941)</f>
        <v/>
      </c>
      <c r="I941">
        <f>IF(INVENTARIO!R941="","",INVENTARIO!R941)</f>
        <v/>
      </c>
      <c r="J941">
        <f>IF(G941="PUBLICA(1)",1,IF(G941="USO INTERNO(2)",2,IF(G941="RESTRINGIDO(3)",3,0)))+IF(H941="BAJA(1)",1,IF(H941="MEDIA(2)",2,IF(H941="ALTA(3)",3,0)))+IF(I941="BAJA(1)",1,IF(I941="MEDIA(2)",2,IF(I941="ALTA(3)",3,0)))</f>
        <v/>
      </c>
      <c r="K941">
        <f>IF(J941="", "", IF(J941&gt;=8,"ALTA",IF(J941&gt;=6,"MEDIA","BAJA")))</f>
        <v/>
      </c>
      <c r="L941">
        <f>IF(INVENTARIO!Y941="","",INVENTARIO!Y941)</f>
        <v/>
      </c>
      <c r="M941">
        <f>IF(INVENTARIO!Z941="","",INVENTARIO!Z941)</f>
        <v/>
      </c>
      <c r="N941">
        <f>IF(INVENTARIO!AA941="","",INVENTARIO!AA941)</f>
        <v/>
      </c>
      <c r="O941">
        <f>IF(INVENTARIO!AB941="","",INVENTARIO!AB941)</f>
        <v/>
      </c>
      <c r="P941">
        <f>IF(INVENTARIO!AC941="","",INVENTARIO!AC941)</f>
        <v/>
      </c>
      <c r="Q941">
        <f>IF(AND(K941="",N941="",L941=""),"",IF(AND((K941="ALTA"),OR(LEFT(N941,2)="L0",LEFT(N941,2)="L1",L941="No Iniciado")),"CRÍTICO - Incumplimiento Normativo SEPS",IF(AND(OR(LEFT(N941,2)="L4",LEFT(N941,2)="L5"),AND(P941&lt;&gt;"",P941&lt;&gt;"N/A")),"CONFORME - Control Efectivo ISO 27001","OBSERVACIÓN - Revisar Controles")))</f>
        <v/>
      </c>
    </row>
    <row r="942">
      <c r="A942">
        <f>IF(INVENTARIO!A942="","",INVENTARIO!A942)</f>
        <v/>
      </c>
      <c r="B942">
        <f>IF(INVENTARIO!E942="","",INVENTARIO!E942)</f>
        <v/>
      </c>
      <c r="C942">
        <f>IF(INVENTARIO!F942="","",INVENTARIO!F942)</f>
        <v/>
      </c>
      <c r="D942">
        <f>IF(INVENTARIO!H942="","",INVENTARIO!H942)</f>
        <v/>
      </c>
      <c r="E942">
        <f>IF(INVENTARIO!I942="","",INVENTARIO!I942)</f>
        <v/>
      </c>
      <c r="F942">
        <f>IF(INVENTARIO!N942="","",INVENTARIO!N942)</f>
        <v/>
      </c>
      <c r="G942">
        <f>IF(INVENTARIO!P942="","",INVENTARIO!P942)</f>
        <v/>
      </c>
      <c r="H942">
        <f>IF(INVENTARIO!Q942="","",INVENTARIO!Q942)</f>
        <v/>
      </c>
      <c r="I942">
        <f>IF(INVENTARIO!R942="","",INVENTARIO!R942)</f>
        <v/>
      </c>
      <c r="J942">
        <f>IF(G942="PUBLICA(1)",1,IF(G942="USO INTERNO(2)",2,IF(G942="RESTRINGIDO(3)",3,0)))+IF(H942="BAJA(1)",1,IF(H942="MEDIA(2)",2,IF(H942="ALTA(3)",3,0)))+IF(I942="BAJA(1)",1,IF(I942="MEDIA(2)",2,IF(I942="ALTA(3)",3,0)))</f>
        <v/>
      </c>
      <c r="K942">
        <f>IF(J942="", "", IF(J942&gt;=8,"ALTA",IF(J942&gt;=6,"MEDIA","BAJA")))</f>
        <v/>
      </c>
      <c r="L942">
        <f>IF(INVENTARIO!Y942="","",INVENTARIO!Y942)</f>
        <v/>
      </c>
      <c r="M942">
        <f>IF(INVENTARIO!Z942="","",INVENTARIO!Z942)</f>
        <v/>
      </c>
      <c r="N942">
        <f>IF(INVENTARIO!AA942="","",INVENTARIO!AA942)</f>
        <v/>
      </c>
      <c r="O942">
        <f>IF(INVENTARIO!AB942="","",INVENTARIO!AB942)</f>
        <v/>
      </c>
      <c r="P942">
        <f>IF(INVENTARIO!AC942="","",INVENTARIO!AC942)</f>
        <v/>
      </c>
      <c r="Q942">
        <f>IF(AND(K942="",N942="",L942=""),"",IF(AND((K942="ALTA"),OR(LEFT(N942,2)="L0",LEFT(N942,2)="L1",L942="No Iniciado")),"CRÍTICO - Incumplimiento Normativo SEPS",IF(AND(OR(LEFT(N942,2)="L4",LEFT(N942,2)="L5"),AND(P942&lt;&gt;"",P942&lt;&gt;"N/A")),"CONFORME - Control Efectivo ISO 27001","OBSERVACIÓN - Revisar Controles")))</f>
        <v/>
      </c>
    </row>
    <row r="943">
      <c r="A943">
        <f>IF(INVENTARIO!A943="","",INVENTARIO!A943)</f>
        <v/>
      </c>
      <c r="B943">
        <f>IF(INVENTARIO!E943="","",INVENTARIO!E943)</f>
        <v/>
      </c>
      <c r="C943">
        <f>IF(INVENTARIO!F943="","",INVENTARIO!F943)</f>
        <v/>
      </c>
      <c r="D943">
        <f>IF(INVENTARIO!H943="","",INVENTARIO!H943)</f>
        <v/>
      </c>
      <c r="E943">
        <f>IF(INVENTARIO!I943="","",INVENTARIO!I943)</f>
        <v/>
      </c>
      <c r="F943">
        <f>IF(INVENTARIO!N943="","",INVENTARIO!N943)</f>
        <v/>
      </c>
      <c r="G943">
        <f>IF(INVENTARIO!P943="","",INVENTARIO!P943)</f>
        <v/>
      </c>
      <c r="H943">
        <f>IF(INVENTARIO!Q943="","",INVENTARIO!Q943)</f>
        <v/>
      </c>
      <c r="I943">
        <f>IF(INVENTARIO!R943="","",INVENTARIO!R943)</f>
        <v/>
      </c>
      <c r="J943">
        <f>IF(G943="PUBLICA(1)",1,IF(G943="USO INTERNO(2)",2,IF(G943="RESTRINGIDO(3)",3,0)))+IF(H943="BAJA(1)",1,IF(H943="MEDIA(2)",2,IF(H943="ALTA(3)",3,0)))+IF(I943="BAJA(1)",1,IF(I943="MEDIA(2)",2,IF(I943="ALTA(3)",3,0)))</f>
        <v/>
      </c>
      <c r="K943">
        <f>IF(J943="", "", IF(J943&gt;=8,"ALTA",IF(J943&gt;=6,"MEDIA","BAJA")))</f>
        <v/>
      </c>
      <c r="L943">
        <f>IF(INVENTARIO!Y943="","",INVENTARIO!Y943)</f>
        <v/>
      </c>
      <c r="M943">
        <f>IF(INVENTARIO!Z943="","",INVENTARIO!Z943)</f>
        <v/>
      </c>
      <c r="N943">
        <f>IF(INVENTARIO!AA943="","",INVENTARIO!AA943)</f>
        <v/>
      </c>
      <c r="O943">
        <f>IF(INVENTARIO!AB943="","",INVENTARIO!AB943)</f>
        <v/>
      </c>
      <c r="P943">
        <f>IF(INVENTARIO!AC943="","",INVENTARIO!AC943)</f>
        <v/>
      </c>
      <c r="Q943">
        <f>IF(AND(K943="",N943="",L943=""),"",IF(AND((K943="ALTA"),OR(LEFT(N943,2)="L0",LEFT(N943,2)="L1",L943="No Iniciado")),"CRÍTICO - Incumplimiento Normativo SEPS",IF(AND(OR(LEFT(N943,2)="L4",LEFT(N943,2)="L5"),AND(P943&lt;&gt;"",P943&lt;&gt;"N/A")),"CONFORME - Control Efectivo ISO 27001","OBSERVACIÓN - Revisar Controles")))</f>
        <v/>
      </c>
    </row>
    <row r="944">
      <c r="A944">
        <f>IF(INVENTARIO!A944="","",INVENTARIO!A944)</f>
        <v/>
      </c>
      <c r="B944">
        <f>IF(INVENTARIO!E944="","",INVENTARIO!E944)</f>
        <v/>
      </c>
      <c r="C944">
        <f>IF(INVENTARIO!F944="","",INVENTARIO!F944)</f>
        <v/>
      </c>
      <c r="D944">
        <f>IF(INVENTARIO!H944="","",INVENTARIO!H944)</f>
        <v/>
      </c>
      <c r="E944">
        <f>IF(INVENTARIO!I944="","",INVENTARIO!I944)</f>
        <v/>
      </c>
      <c r="F944">
        <f>IF(INVENTARIO!N944="","",INVENTARIO!N944)</f>
        <v/>
      </c>
      <c r="G944">
        <f>IF(INVENTARIO!P944="","",INVENTARIO!P944)</f>
        <v/>
      </c>
      <c r="H944">
        <f>IF(INVENTARIO!Q944="","",INVENTARIO!Q944)</f>
        <v/>
      </c>
      <c r="I944">
        <f>IF(INVENTARIO!R944="","",INVENTARIO!R944)</f>
        <v/>
      </c>
      <c r="J944">
        <f>IF(G944="PUBLICA(1)",1,IF(G944="USO INTERNO(2)",2,IF(G944="RESTRINGIDO(3)",3,0)))+IF(H944="BAJA(1)",1,IF(H944="MEDIA(2)",2,IF(H944="ALTA(3)",3,0)))+IF(I944="BAJA(1)",1,IF(I944="MEDIA(2)",2,IF(I944="ALTA(3)",3,0)))</f>
        <v/>
      </c>
      <c r="K944">
        <f>IF(J944="", "", IF(J944&gt;=8,"ALTA",IF(J944&gt;=6,"MEDIA","BAJA")))</f>
        <v/>
      </c>
      <c r="L944">
        <f>IF(INVENTARIO!Y944="","",INVENTARIO!Y944)</f>
        <v/>
      </c>
      <c r="M944">
        <f>IF(INVENTARIO!Z944="","",INVENTARIO!Z944)</f>
        <v/>
      </c>
      <c r="N944">
        <f>IF(INVENTARIO!AA944="","",INVENTARIO!AA944)</f>
        <v/>
      </c>
      <c r="O944">
        <f>IF(INVENTARIO!AB944="","",INVENTARIO!AB944)</f>
        <v/>
      </c>
      <c r="P944">
        <f>IF(INVENTARIO!AC944="","",INVENTARIO!AC944)</f>
        <v/>
      </c>
      <c r="Q944">
        <f>IF(AND(K944="",N944="",L944=""),"",IF(AND((K944="ALTA"),OR(LEFT(N944,2)="L0",LEFT(N944,2)="L1",L944="No Iniciado")),"CRÍTICO - Incumplimiento Normativo SEPS",IF(AND(OR(LEFT(N944,2)="L4",LEFT(N944,2)="L5"),AND(P944&lt;&gt;"",P944&lt;&gt;"N/A")),"CONFORME - Control Efectivo ISO 27001","OBSERVACIÓN - Revisar Controles")))</f>
        <v/>
      </c>
    </row>
    <row r="945">
      <c r="A945">
        <f>IF(INVENTARIO!A945="","",INVENTARIO!A945)</f>
        <v/>
      </c>
      <c r="B945">
        <f>IF(INVENTARIO!E945="","",INVENTARIO!E945)</f>
        <v/>
      </c>
      <c r="C945">
        <f>IF(INVENTARIO!F945="","",INVENTARIO!F945)</f>
        <v/>
      </c>
      <c r="D945">
        <f>IF(INVENTARIO!H945="","",INVENTARIO!H945)</f>
        <v/>
      </c>
      <c r="E945">
        <f>IF(INVENTARIO!I945="","",INVENTARIO!I945)</f>
        <v/>
      </c>
      <c r="F945">
        <f>IF(INVENTARIO!N945="","",INVENTARIO!N945)</f>
        <v/>
      </c>
      <c r="G945">
        <f>IF(INVENTARIO!P945="","",INVENTARIO!P945)</f>
        <v/>
      </c>
      <c r="H945">
        <f>IF(INVENTARIO!Q945="","",INVENTARIO!Q945)</f>
        <v/>
      </c>
      <c r="I945">
        <f>IF(INVENTARIO!R945="","",INVENTARIO!R945)</f>
        <v/>
      </c>
      <c r="J945">
        <f>IF(G945="PUBLICA(1)",1,IF(G945="USO INTERNO(2)",2,IF(G945="RESTRINGIDO(3)",3,0)))+IF(H945="BAJA(1)",1,IF(H945="MEDIA(2)",2,IF(H945="ALTA(3)",3,0)))+IF(I945="BAJA(1)",1,IF(I945="MEDIA(2)",2,IF(I945="ALTA(3)",3,0)))</f>
        <v/>
      </c>
      <c r="K945">
        <f>IF(J945="", "", IF(J945&gt;=8,"ALTA",IF(J945&gt;=6,"MEDIA","BAJA")))</f>
        <v/>
      </c>
      <c r="L945">
        <f>IF(INVENTARIO!Y945="","",INVENTARIO!Y945)</f>
        <v/>
      </c>
      <c r="M945">
        <f>IF(INVENTARIO!Z945="","",INVENTARIO!Z945)</f>
        <v/>
      </c>
      <c r="N945">
        <f>IF(INVENTARIO!AA945="","",INVENTARIO!AA945)</f>
        <v/>
      </c>
      <c r="O945">
        <f>IF(INVENTARIO!AB945="","",INVENTARIO!AB945)</f>
        <v/>
      </c>
      <c r="P945">
        <f>IF(INVENTARIO!AC945="","",INVENTARIO!AC945)</f>
        <v/>
      </c>
      <c r="Q945">
        <f>IF(AND(K945="",N945="",L945=""),"",IF(AND((K945="ALTA"),OR(LEFT(N945,2)="L0",LEFT(N945,2)="L1",L945="No Iniciado")),"CRÍTICO - Incumplimiento Normativo SEPS",IF(AND(OR(LEFT(N945,2)="L4",LEFT(N945,2)="L5"),AND(P945&lt;&gt;"",P945&lt;&gt;"N/A")),"CONFORME - Control Efectivo ISO 27001","OBSERVACIÓN - Revisar Controles")))</f>
        <v/>
      </c>
    </row>
    <row r="946">
      <c r="A946">
        <f>IF(INVENTARIO!A946="","",INVENTARIO!A946)</f>
        <v/>
      </c>
      <c r="B946">
        <f>IF(INVENTARIO!E946="","",INVENTARIO!E946)</f>
        <v/>
      </c>
      <c r="C946">
        <f>IF(INVENTARIO!F946="","",INVENTARIO!F946)</f>
        <v/>
      </c>
      <c r="D946">
        <f>IF(INVENTARIO!H946="","",INVENTARIO!H946)</f>
        <v/>
      </c>
      <c r="E946">
        <f>IF(INVENTARIO!I946="","",INVENTARIO!I946)</f>
        <v/>
      </c>
      <c r="F946">
        <f>IF(INVENTARIO!N946="","",INVENTARIO!N946)</f>
        <v/>
      </c>
      <c r="G946">
        <f>IF(INVENTARIO!P946="","",INVENTARIO!P946)</f>
        <v/>
      </c>
      <c r="H946">
        <f>IF(INVENTARIO!Q946="","",INVENTARIO!Q946)</f>
        <v/>
      </c>
      <c r="I946">
        <f>IF(INVENTARIO!R946="","",INVENTARIO!R946)</f>
        <v/>
      </c>
      <c r="J946">
        <f>IF(G946="PUBLICA(1)",1,IF(G946="USO INTERNO(2)",2,IF(G946="RESTRINGIDO(3)",3,0)))+IF(H946="BAJA(1)",1,IF(H946="MEDIA(2)",2,IF(H946="ALTA(3)",3,0)))+IF(I946="BAJA(1)",1,IF(I946="MEDIA(2)",2,IF(I946="ALTA(3)",3,0)))</f>
        <v/>
      </c>
      <c r="K946">
        <f>IF(J946="", "", IF(J946&gt;=8,"ALTA",IF(J946&gt;=6,"MEDIA","BAJA")))</f>
        <v/>
      </c>
      <c r="L946">
        <f>IF(INVENTARIO!Y946="","",INVENTARIO!Y946)</f>
        <v/>
      </c>
      <c r="M946">
        <f>IF(INVENTARIO!Z946="","",INVENTARIO!Z946)</f>
        <v/>
      </c>
      <c r="N946">
        <f>IF(INVENTARIO!AA946="","",INVENTARIO!AA946)</f>
        <v/>
      </c>
      <c r="O946">
        <f>IF(INVENTARIO!AB946="","",INVENTARIO!AB946)</f>
        <v/>
      </c>
      <c r="P946">
        <f>IF(INVENTARIO!AC946="","",INVENTARIO!AC946)</f>
        <v/>
      </c>
      <c r="Q946">
        <f>IF(AND(K946="",N946="",L946=""),"",IF(AND((K946="ALTA"),OR(LEFT(N946,2)="L0",LEFT(N946,2)="L1",L946="No Iniciado")),"CRÍTICO - Incumplimiento Normativo SEPS",IF(AND(OR(LEFT(N946,2)="L4",LEFT(N946,2)="L5"),AND(P946&lt;&gt;"",P946&lt;&gt;"N/A")),"CONFORME - Control Efectivo ISO 27001","OBSERVACIÓN - Revisar Controles")))</f>
        <v/>
      </c>
    </row>
    <row r="947">
      <c r="A947">
        <f>IF(INVENTARIO!A947="","",INVENTARIO!A947)</f>
        <v/>
      </c>
      <c r="B947">
        <f>IF(INVENTARIO!E947="","",INVENTARIO!E947)</f>
        <v/>
      </c>
      <c r="C947">
        <f>IF(INVENTARIO!F947="","",INVENTARIO!F947)</f>
        <v/>
      </c>
      <c r="D947">
        <f>IF(INVENTARIO!H947="","",INVENTARIO!H947)</f>
        <v/>
      </c>
      <c r="E947">
        <f>IF(INVENTARIO!I947="","",INVENTARIO!I947)</f>
        <v/>
      </c>
      <c r="F947">
        <f>IF(INVENTARIO!N947="","",INVENTARIO!N947)</f>
        <v/>
      </c>
      <c r="G947">
        <f>IF(INVENTARIO!P947="","",INVENTARIO!P947)</f>
        <v/>
      </c>
      <c r="H947">
        <f>IF(INVENTARIO!Q947="","",INVENTARIO!Q947)</f>
        <v/>
      </c>
      <c r="I947">
        <f>IF(INVENTARIO!R947="","",INVENTARIO!R947)</f>
        <v/>
      </c>
      <c r="J947">
        <f>IF(G947="PUBLICA(1)",1,IF(G947="USO INTERNO(2)",2,IF(G947="RESTRINGIDO(3)",3,0)))+IF(H947="BAJA(1)",1,IF(H947="MEDIA(2)",2,IF(H947="ALTA(3)",3,0)))+IF(I947="BAJA(1)",1,IF(I947="MEDIA(2)",2,IF(I947="ALTA(3)",3,0)))</f>
        <v/>
      </c>
      <c r="K947">
        <f>IF(J947="", "", IF(J947&gt;=8,"ALTA",IF(J947&gt;=6,"MEDIA","BAJA")))</f>
        <v/>
      </c>
      <c r="L947">
        <f>IF(INVENTARIO!Y947="","",INVENTARIO!Y947)</f>
        <v/>
      </c>
      <c r="M947">
        <f>IF(INVENTARIO!Z947="","",INVENTARIO!Z947)</f>
        <v/>
      </c>
      <c r="N947">
        <f>IF(INVENTARIO!AA947="","",INVENTARIO!AA947)</f>
        <v/>
      </c>
      <c r="O947">
        <f>IF(INVENTARIO!AB947="","",INVENTARIO!AB947)</f>
        <v/>
      </c>
      <c r="P947">
        <f>IF(INVENTARIO!AC947="","",INVENTARIO!AC947)</f>
        <v/>
      </c>
      <c r="Q947">
        <f>IF(AND(K947="",N947="",L947=""),"",IF(AND((K947="ALTA"),OR(LEFT(N947,2)="L0",LEFT(N947,2)="L1",L947="No Iniciado")),"CRÍTICO - Incumplimiento Normativo SEPS",IF(AND(OR(LEFT(N947,2)="L4",LEFT(N947,2)="L5"),AND(P947&lt;&gt;"",P947&lt;&gt;"N/A")),"CONFORME - Control Efectivo ISO 27001","OBSERVACIÓN - Revisar Controles")))</f>
        <v/>
      </c>
    </row>
    <row r="948">
      <c r="A948">
        <f>IF(INVENTARIO!A948="","",INVENTARIO!A948)</f>
        <v/>
      </c>
      <c r="B948">
        <f>IF(INVENTARIO!E948="","",INVENTARIO!E948)</f>
        <v/>
      </c>
      <c r="C948">
        <f>IF(INVENTARIO!F948="","",INVENTARIO!F948)</f>
        <v/>
      </c>
      <c r="D948">
        <f>IF(INVENTARIO!H948="","",INVENTARIO!H948)</f>
        <v/>
      </c>
      <c r="E948">
        <f>IF(INVENTARIO!I948="","",INVENTARIO!I948)</f>
        <v/>
      </c>
      <c r="F948">
        <f>IF(INVENTARIO!N948="","",INVENTARIO!N948)</f>
        <v/>
      </c>
      <c r="G948">
        <f>IF(INVENTARIO!P948="","",INVENTARIO!P948)</f>
        <v/>
      </c>
      <c r="H948">
        <f>IF(INVENTARIO!Q948="","",INVENTARIO!Q948)</f>
        <v/>
      </c>
      <c r="I948">
        <f>IF(INVENTARIO!R948="","",INVENTARIO!R948)</f>
        <v/>
      </c>
      <c r="J948">
        <f>IF(G948="PUBLICA(1)",1,IF(G948="USO INTERNO(2)",2,IF(G948="RESTRINGIDO(3)",3,0)))+IF(H948="BAJA(1)",1,IF(H948="MEDIA(2)",2,IF(H948="ALTA(3)",3,0)))+IF(I948="BAJA(1)",1,IF(I948="MEDIA(2)",2,IF(I948="ALTA(3)",3,0)))</f>
        <v/>
      </c>
      <c r="K948">
        <f>IF(J948="", "", IF(J948&gt;=8,"ALTA",IF(J948&gt;=6,"MEDIA","BAJA")))</f>
        <v/>
      </c>
      <c r="L948">
        <f>IF(INVENTARIO!Y948="","",INVENTARIO!Y948)</f>
        <v/>
      </c>
      <c r="M948">
        <f>IF(INVENTARIO!Z948="","",INVENTARIO!Z948)</f>
        <v/>
      </c>
      <c r="N948">
        <f>IF(INVENTARIO!AA948="","",INVENTARIO!AA948)</f>
        <v/>
      </c>
      <c r="O948">
        <f>IF(INVENTARIO!AB948="","",INVENTARIO!AB948)</f>
        <v/>
      </c>
      <c r="P948">
        <f>IF(INVENTARIO!AC948="","",INVENTARIO!AC948)</f>
        <v/>
      </c>
      <c r="Q948">
        <f>IF(AND(K948="",N948="",L948=""),"",IF(AND((K948="ALTA"),OR(LEFT(N948,2)="L0",LEFT(N948,2)="L1",L948="No Iniciado")),"CRÍTICO - Incumplimiento Normativo SEPS",IF(AND(OR(LEFT(N948,2)="L4",LEFT(N948,2)="L5"),AND(P948&lt;&gt;"",P948&lt;&gt;"N/A")),"CONFORME - Control Efectivo ISO 27001","OBSERVACIÓN - Revisar Controles")))</f>
        <v/>
      </c>
    </row>
    <row r="949">
      <c r="A949">
        <f>IF(INVENTARIO!A949="","",INVENTARIO!A949)</f>
        <v/>
      </c>
      <c r="B949">
        <f>IF(INVENTARIO!E949="","",INVENTARIO!E949)</f>
        <v/>
      </c>
      <c r="C949">
        <f>IF(INVENTARIO!F949="","",INVENTARIO!F949)</f>
        <v/>
      </c>
      <c r="D949">
        <f>IF(INVENTARIO!H949="","",INVENTARIO!H949)</f>
        <v/>
      </c>
      <c r="E949">
        <f>IF(INVENTARIO!I949="","",INVENTARIO!I949)</f>
        <v/>
      </c>
      <c r="F949">
        <f>IF(INVENTARIO!N949="","",INVENTARIO!N949)</f>
        <v/>
      </c>
      <c r="G949">
        <f>IF(INVENTARIO!P949="","",INVENTARIO!P949)</f>
        <v/>
      </c>
      <c r="H949">
        <f>IF(INVENTARIO!Q949="","",INVENTARIO!Q949)</f>
        <v/>
      </c>
      <c r="I949">
        <f>IF(INVENTARIO!R949="","",INVENTARIO!R949)</f>
        <v/>
      </c>
      <c r="J949">
        <f>IF(G949="PUBLICA(1)",1,IF(G949="USO INTERNO(2)",2,IF(G949="RESTRINGIDO(3)",3,0)))+IF(H949="BAJA(1)",1,IF(H949="MEDIA(2)",2,IF(H949="ALTA(3)",3,0)))+IF(I949="BAJA(1)",1,IF(I949="MEDIA(2)",2,IF(I949="ALTA(3)",3,0)))</f>
        <v/>
      </c>
      <c r="K949">
        <f>IF(J949="", "", IF(J949&gt;=8,"ALTA",IF(J949&gt;=6,"MEDIA","BAJA")))</f>
        <v/>
      </c>
      <c r="L949">
        <f>IF(INVENTARIO!Y949="","",INVENTARIO!Y949)</f>
        <v/>
      </c>
      <c r="M949">
        <f>IF(INVENTARIO!Z949="","",INVENTARIO!Z949)</f>
        <v/>
      </c>
      <c r="N949">
        <f>IF(INVENTARIO!AA949="","",INVENTARIO!AA949)</f>
        <v/>
      </c>
      <c r="O949">
        <f>IF(INVENTARIO!AB949="","",INVENTARIO!AB949)</f>
        <v/>
      </c>
      <c r="P949">
        <f>IF(INVENTARIO!AC949="","",INVENTARIO!AC949)</f>
        <v/>
      </c>
      <c r="Q949">
        <f>IF(AND(K949="",N949="",L949=""),"",IF(AND((K949="ALTA"),OR(LEFT(N949,2)="L0",LEFT(N949,2)="L1",L949="No Iniciado")),"CRÍTICO - Incumplimiento Normativo SEPS",IF(AND(OR(LEFT(N949,2)="L4",LEFT(N949,2)="L5"),AND(P949&lt;&gt;"",P949&lt;&gt;"N/A")),"CONFORME - Control Efectivo ISO 27001","OBSERVACIÓN - Revisar Controles")))</f>
        <v/>
      </c>
    </row>
    <row r="950">
      <c r="A950">
        <f>IF(INVENTARIO!A950="","",INVENTARIO!A950)</f>
        <v/>
      </c>
      <c r="B950">
        <f>IF(INVENTARIO!E950="","",INVENTARIO!E950)</f>
        <v/>
      </c>
      <c r="C950">
        <f>IF(INVENTARIO!F950="","",INVENTARIO!F950)</f>
        <v/>
      </c>
      <c r="D950">
        <f>IF(INVENTARIO!H950="","",INVENTARIO!H950)</f>
        <v/>
      </c>
      <c r="E950">
        <f>IF(INVENTARIO!I950="","",INVENTARIO!I950)</f>
        <v/>
      </c>
      <c r="F950">
        <f>IF(INVENTARIO!N950="","",INVENTARIO!N950)</f>
        <v/>
      </c>
      <c r="G950">
        <f>IF(INVENTARIO!P950="","",INVENTARIO!P950)</f>
        <v/>
      </c>
      <c r="H950">
        <f>IF(INVENTARIO!Q950="","",INVENTARIO!Q950)</f>
        <v/>
      </c>
      <c r="I950">
        <f>IF(INVENTARIO!R950="","",INVENTARIO!R950)</f>
        <v/>
      </c>
      <c r="J950">
        <f>IF(G950="PUBLICA(1)",1,IF(G950="USO INTERNO(2)",2,IF(G950="RESTRINGIDO(3)",3,0)))+IF(H950="BAJA(1)",1,IF(H950="MEDIA(2)",2,IF(H950="ALTA(3)",3,0)))+IF(I950="BAJA(1)",1,IF(I950="MEDIA(2)",2,IF(I950="ALTA(3)",3,0)))</f>
        <v/>
      </c>
      <c r="K950">
        <f>IF(J950="", "", IF(J950&gt;=8,"ALTA",IF(J950&gt;=6,"MEDIA","BAJA")))</f>
        <v/>
      </c>
      <c r="L950">
        <f>IF(INVENTARIO!Y950="","",INVENTARIO!Y950)</f>
        <v/>
      </c>
      <c r="M950">
        <f>IF(INVENTARIO!Z950="","",INVENTARIO!Z950)</f>
        <v/>
      </c>
      <c r="N950">
        <f>IF(INVENTARIO!AA950="","",INVENTARIO!AA950)</f>
        <v/>
      </c>
      <c r="O950">
        <f>IF(INVENTARIO!AB950="","",INVENTARIO!AB950)</f>
        <v/>
      </c>
      <c r="P950">
        <f>IF(INVENTARIO!AC950="","",INVENTARIO!AC950)</f>
        <v/>
      </c>
      <c r="Q950">
        <f>IF(AND(K950="",N950="",L950=""),"",IF(AND((K950="ALTA"),OR(LEFT(N950,2)="L0",LEFT(N950,2)="L1",L950="No Iniciado")),"CRÍTICO - Incumplimiento Normativo SEPS",IF(AND(OR(LEFT(N950,2)="L4",LEFT(N950,2)="L5"),AND(P950&lt;&gt;"",P950&lt;&gt;"N/A")),"CONFORME - Control Efectivo ISO 27001","OBSERVACIÓN - Revisar Controles")))</f>
        <v/>
      </c>
    </row>
    <row r="951">
      <c r="A951">
        <f>IF(INVENTARIO!A951="","",INVENTARIO!A951)</f>
        <v/>
      </c>
      <c r="B951">
        <f>IF(INVENTARIO!E951="","",INVENTARIO!E951)</f>
        <v/>
      </c>
      <c r="C951">
        <f>IF(INVENTARIO!F951="","",INVENTARIO!F951)</f>
        <v/>
      </c>
      <c r="D951">
        <f>IF(INVENTARIO!H951="","",INVENTARIO!H951)</f>
        <v/>
      </c>
      <c r="E951">
        <f>IF(INVENTARIO!I951="","",INVENTARIO!I951)</f>
        <v/>
      </c>
      <c r="F951">
        <f>IF(INVENTARIO!N951="","",INVENTARIO!N951)</f>
        <v/>
      </c>
      <c r="G951">
        <f>IF(INVENTARIO!P951="","",INVENTARIO!P951)</f>
        <v/>
      </c>
      <c r="H951">
        <f>IF(INVENTARIO!Q951="","",INVENTARIO!Q951)</f>
        <v/>
      </c>
      <c r="I951">
        <f>IF(INVENTARIO!R951="","",INVENTARIO!R951)</f>
        <v/>
      </c>
      <c r="J951">
        <f>IF(G951="PUBLICA(1)",1,IF(G951="USO INTERNO(2)",2,IF(G951="RESTRINGIDO(3)",3,0)))+IF(H951="BAJA(1)",1,IF(H951="MEDIA(2)",2,IF(H951="ALTA(3)",3,0)))+IF(I951="BAJA(1)",1,IF(I951="MEDIA(2)",2,IF(I951="ALTA(3)",3,0)))</f>
        <v/>
      </c>
      <c r="K951">
        <f>IF(J951="", "", IF(J951&gt;=8,"ALTA",IF(J951&gt;=6,"MEDIA","BAJA")))</f>
        <v/>
      </c>
      <c r="L951">
        <f>IF(INVENTARIO!Y951="","",INVENTARIO!Y951)</f>
        <v/>
      </c>
      <c r="M951">
        <f>IF(INVENTARIO!Z951="","",INVENTARIO!Z951)</f>
        <v/>
      </c>
      <c r="N951">
        <f>IF(INVENTARIO!AA951="","",INVENTARIO!AA951)</f>
        <v/>
      </c>
      <c r="O951">
        <f>IF(INVENTARIO!AB951="","",INVENTARIO!AB951)</f>
        <v/>
      </c>
      <c r="P951">
        <f>IF(INVENTARIO!AC951="","",INVENTARIO!AC951)</f>
        <v/>
      </c>
      <c r="Q951">
        <f>IF(AND(K951="",N951="",L951=""),"",IF(AND((K951="ALTA"),OR(LEFT(N951,2)="L0",LEFT(N951,2)="L1",L951="No Iniciado")),"CRÍTICO - Incumplimiento Normativo SEPS",IF(AND(OR(LEFT(N951,2)="L4",LEFT(N951,2)="L5"),AND(P951&lt;&gt;"",P951&lt;&gt;"N/A")),"CONFORME - Control Efectivo ISO 27001","OBSERVACIÓN - Revisar Controles")))</f>
        <v/>
      </c>
    </row>
    <row r="952">
      <c r="A952">
        <f>IF(INVENTARIO!A952="","",INVENTARIO!A952)</f>
        <v/>
      </c>
      <c r="B952">
        <f>IF(INVENTARIO!E952="","",INVENTARIO!E952)</f>
        <v/>
      </c>
      <c r="C952">
        <f>IF(INVENTARIO!F952="","",INVENTARIO!F952)</f>
        <v/>
      </c>
      <c r="D952">
        <f>IF(INVENTARIO!H952="","",INVENTARIO!H952)</f>
        <v/>
      </c>
      <c r="E952">
        <f>IF(INVENTARIO!I952="","",INVENTARIO!I952)</f>
        <v/>
      </c>
      <c r="F952">
        <f>IF(INVENTARIO!N952="","",INVENTARIO!N952)</f>
        <v/>
      </c>
      <c r="G952">
        <f>IF(INVENTARIO!P952="","",INVENTARIO!P952)</f>
        <v/>
      </c>
      <c r="H952">
        <f>IF(INVENTARIO!Q952="","",INVENTARIO!Q952)</f>
        <v/>
      </c>
      <c r="I952">
        <f>IF(INVENTARIO!R952="","",INVENTARIO!R952)</f>
        <v/>
      </c>
      <c r="J952">
        <f>IF(G952="PUBLICA(1)",1,IF(G952="USO INTERNO(2)",2,IF(G952="RESTRINGIDO(3)",3,0)))+IF(H952="BAJA(1)",1,IF(H952="MEDIA(2)",2,IF(H952="ALTA(3)",3,0)))+IF(I952="BAJA(1)",1,IF(I952="MEDIA(2)",2,IF(I952="ALTA(3)",3,0)))</f>
        <v/>
      </c>
      <c r="K952">
        <f>IF(J952="", "", IF(J952&gt;=8,"ALTA",IF(J952&gt;=6,"MEDIA","BAJA")))</f>
        <v/>
      </c>
      <c r="L952">
        <f>IF(INVENTARIO!Y952="","",INVENTARIO!Y952)</f>
        <v/>
      </c>
      <c r="M952">
        <f>IF(INVENTARIO!Z952="","",INVENTARIO!Z952)</f>
        <v/>
      </c>
      <c r="N952">
        <f>IF(INVENTARIO!AA952="","",INVENTARIO!AA952)</f>
        <v/>
      </c>
      <c r="O952">
        <f>IF(INVENTARIO!AB952="","",INVENTARIO!AB952)</f>
        <v/>
      </c>
      <c r="P952">
        <f>IF(INVENTARIO!AC952="","",INVENTARIO!AC952)</f>
        <v/>
      </c>
      <c r="Q952">
        <f>IF(AND(K952="",N952="",L952=""),"",IF(AND((K952="ALTA"),OR(LEFT(N952,2)="L0",LEFT(N952,2)="L1",L952="No Iniciado")),"CRÍTICO - Incumplimiento Normativo SEPS",IF(AND(OR(LEFT(N952,2)="L4",LEFT(N952,2)="L5"),AND(P952&lt;&gt;"",P952&lt;&gt;"N/A")),"CONFORME - Control Efectivo ISO 27001","OBSERVACIÓN - Revisar Controles")))</f>
        <v/>
      </c>
    </row>
    <row r="953">
      <c r="A953">
        <f>IF(INVENTARIO!A953="","",INVENTARIO!A953)</f>
        <v/>
      </c>
      <c r="B953">
        <f>IF(INVENTARIO!E953="","",INVENTARIO!E953)</f>
        <v/>
      </c>
      <c r="C953">
        <f>IF(INVENTARIO!F953="","",INVENTARIO!F953)</f>
        <v/>
      </c>
      <c r="D953">
        <f>IF(INVENTARIO!H953="","",INVENTARIO!H953)</f>
        <v/>
      </c>
      <c r="E953">
        <f>IF(INVENTARIO!I953="","",INVENTARIO!I953)</f>
        <v/>
      </c>
      <c r="F953">
        <f>IF(INVENTARIO!N953="","",INVENTARIO!N953)</f>
        <v/>
      </c>
      <c r="G953">
        <f>IF(INVENTARIO!P953="","",INVENTARIO!P953)</f>
        <v/>
      </c>
      <c r="H953">
        <f>IF(INVENTARIO!Q953="","",INVENTARIO!Q953)</f>
        <v/>
      </c>
      <c r="I953">
        <f>IF(INVENTARIO!R953="","",INVENTARIO!R953)</f>
        <v/>
      </c>
      <c r="J953">
        <f>IF(G953="PUBLICA(1)",1,IF(G953="USO INTERNO(2)",2,IF(G953="RESTRINGIDO(3)",3,0)))+IF(H953="BAJA(1)",1,IF(H953="MEDIA(2)",2,IF(H953="ALTA(3)",3,0)))+IF(I953="BAJA(1)",1,IF(I953="MEDIA(2)",2,IF(I953="ALTA(3)",3,0)))</f>
        <v/>
      </c>
      <c r="K953">
        <f>IF(J953="", "", IF(J953&gt;=8,"ALTA",IF(J953&gt;=6,"MEDIA","BAJA")))</f>
        <v/>
      </c>
      <c r="L953">
        <f>IF(INVENTARIO!Y953="","",INVENTARIO!Y953)</f>
        <v/>
      </c>
      <c r="M953">
        <f>IF(INVENTARIO!Z953="","",INVENTARIO!Z953)</f>
        <v/>
      </c>
      <c r="N953">
        <f>IF(INVENTARIO!AA953="","",INVENTARIO!AA953)</f>
        <v/>
      </c>
      <c r="O953">
        <f>IF(INVENTARIO!AB953="","",INVENTARIO!AB953)</f>
        <v/>
      </c>
      <c r="P953">
        <f>IF(INVENTARIO!AC953="","",INVENTARIO!AC953)</f>
        <v/>
      </c>
      <c r="Q953">
        <f>IF(AND(K953="",N953="",L953=""),"",IF(AND((K953="ALTA"),OR(LEFT(N953,2)="L0",LEFT(N953,2)="L1",L953="No Iniciado")),"CRÍTICO - Incumplimiento Normativo SEPS",IF(AND(OR(LEFT(N953,2)="L4",LEFT(N953,2)="L5"),AND(P953&lt;&gt;"",P953&lt;&gt;"N/A")),"CONFORME - Control Efectivo ISO 27001","OBSERVACIÓN - Revisar Controles")))</f>
        <v/>
      </c>
    </row>
    <row r="954">
      <c r="A954">
        <f>IF(INVENTARIO!A954="","",INVENTARIO!A954)</f>
        <v/>
      </c>
      <c r="B954">
        <f>IF(INVENTARIO!E954="","",INVENTARIO!E954)</f>
        <v/>
      </c>
      <c r="C954">
        <f>IF(INVENTARIO!F954="","",INVENTARIO!F954)</f>
        <v/>
      </c>
      <c r="D954">
        <f>IF(INVENTARIO!H954="","",INVENTARIO!H954)</f>
        <v/>
      </c>
      <c r="E954">
        <f>IF(INVENTARIO!I954="","",INVENTARIO!I954)</f>
        <v/>
      </c>
      <c r="F954">
        <f>IF(INVENTARIO!N954="","",INVENTARIO!N954)</f>
        <v/>
      </c>
      <c r="G954">
        <f>IF(INVENTARIO!P954="","",INVENTARIO!P954)</f>
        <v/>
      </c>
      <c r="H954">
        <f>IF(INVENTARIO!Q954="","",INVENTARIO!Q954)</f>
        <v/>
      </c>
      <c r="I954">
        <f>IF(INVENTARIO!R954="","",INVENTARIO!R954)</f>
        <v/>
      </c>
      <c r="J954">
        <f>IF(G954="PUBLICA(1)",1,IF(G954="USO INTERNO(2)",2,IF(G954="RESTRINGIDO(3)",3,0)))+IF(H954="BAJA(1)",1,IF(H954="MEDIA(2)",2,IF(H954="ALTA(3)",3,0)))+IF(I954="BAJA(1)",1,IF(I954="MEDIA(2)",2,IF(I954="ALTA(3)",3,0)))</f>
        <v/>
      </c>
      <c r="K954">
        <f>IF(J954="", "", IF(J954&gt;=8,"ALTA",IF(J954&gt;=6,"MEDIA","BAJA")))</f>
        <v/>
      </c>
      <c r="L954">
        <f>IF(INVENTARIO!Y954="","",INVENTARIO!Y954)</f>
        <v/>
      </c>
      <c r="M954">
        <f>IF(INVENTARIO!Z954="","",INVENTARIO!Z954)</f>
        <v/>
      </c>
      <c r="N954">
        <f>IF(INVENTARIO!AA954="","",INVENTARIO!AA954)</f>
        <v/>
      </c>
      <c r="O954">
        <f>IF(INVENTARIO!AB954="","",INVENTARIO!AB954)</f>
        <v/>
      </c>
      <c r="P954">
        <f>IF(INVENTARIO!AC954="","",INVENTARIO!AC954)</f>
        <v/>
      </c>
      <c r="Q954">
        <f>IF(AND(K954="",N954="",L954=""),"",IF(AND((K954="ALTA"),OR(LEFT(N954,2)="L0",LEFT(N954,2)="L1",L954="No Iniciado")),"CRÍTICO - Incumplimiento Normativo SEPS",IF(AND(OR(LEFT(N954,2)="L4",LEFT(N954,2)="L5"),AND(P954&lt;&gt;"",P954&lt;&gt;"N/A")),"CONFORME - Control Efectivo ISO 27001","OBSERVACIÓN - Revisar Controles")))</f>
        <v/>
      </c>
    </row>
    <row r="955">
      <c r="A955">
        <f>IF(INVENTARIO!A955="","",INVENTARIO!A955)</f>
        <v/>
      </c>
      <c r="B955">
        <f>IF(INVENTARIO!E955="","",INVENTARIO!E955)</f>
        <v/>
      </c>
      <c r="C955">
        <f>IF(INVENTARIO!F955="","",INVENTARIO!F955)</f>
        <v/>
      </c>
      <c r="D955">
        <f>IF(INVENTARIO!H955="","",INVENTARIO!H955)</f>
        <v/>
      </c>
      <c r="E955">
        <f>IF(INVENTARIO!I955="","",INVENTARIO!I955)</f>
        <v/>
      </c>
      <c r="F955">
        <f>IF(INVENTARIO!N955="","",INVENTARIO!N955)</f>
        <v/>
      </c>
      <c r="G955">
        <f>IF(INVENTARIO!P955="","",INVENTARIO!P955)</f>
        <v/>
      </c>
      <c r="H955">
        <f>IF(INVENTARIO!Q955="","",INVENTARIO!Q955)</f>
        <v/>
      </c>
      <c r="I955">
        <f>IF(INVENTARIO!R955="","",INVENTARIO!R955)</f>
        <v/>
      </c>
      <c r="J955">
        <f>IF(G955="PUBLICA(1)",1,IF(G955="USO INTERNO(2)",2,IF(G955="RESTRINGIDO(3)",3,0)))+IF(H955="BAJA(1)",1,IF(H955="MEDIA(2)",2,IF(H955="ALTA(3)",3,0)))+IF(I955="BAJA(1)",1,IF(I955="MEDIA(2)",2,IF(I955="ALTA(3)",3,0)))</f>
        <v/>
      </c>
      <c r="K955">
        <f>IF(J955="", "", IF(J955&gt;=8,"ALTA",IF(J955&gt;=6,"MEDIA","BAJA")))</f>
        <v/>
      </c>
      <c r="L955">
        <f>IF(INVENTARIO!Y955="","",INVENTARIO!Y955)</f>
        <v/>
      </c>
      <c r="M955">
        <f>IF(INVENTARIO!Z955="","",INVENTARIO!Z955)</f>
        <v/>
      </c>
      <c r="N955">
        <f>IF(INVENTARIO!AA955="","",INVENTARIO!AA955)</f>
        <v/>
      </c>
      <c r="O955">
        <f>IF(INVENTARIO!AB955="","",INVENTARIO!AB955)</f>
        <v/>
      </c>
      <c r="P955">
        <f>IF(INVENTARIO!AC955="","",INVENTARIO!AC955)</f>
        <v/>
      </c>
      <c r="Q955">
        <f>IF(AND(K955="",N955="",L955=""),"",IF(AND((K955="ALTA"),OR(LEFT(N955,2)="L0",LEFT(N955,2)="L1",L955="No Iniciado")),"CRÍTICO - Incumplimiento Normativo SEPS",IF(AND(OR(LEFT(N955,2)="L4",LEFT(N955,2)="L5"),AND(P955&lt;&gt;"",P955&lt;&gt;"N/A")),"CONFORME - Control Efectivo ISO 27001","OBSERVACIÓN - Revisar Controles")))</f>
        <v/>
      </c>
    </row>
    <row r="956">
      <c r="A956">
        <f>IF(INVENTARIO!A956="","",INVENTARIO!A956)</f>
        <v/>
      </c>
      <c r="B956">
        <f>IF(INVENTARIO!E956="","",INVENTARIO!E956)</f>
        <v/>
      </c>
      <c r="C956">
        <f>IF(INVENTARIO!F956="","",INVENTARIO!F956)</f>
        <v/>
      </c>
      <c r="D956">
        <f>IF(INVENTARIO!H956="","",INVENTARIO!H956)</f>
        <v/>
      </c>
      <c r="E956">
        <f>IF(INVENTARIO!I956="","",INVENTARIO!I956)</f>
        <v/>
      </c>
      <c r="F956">
        <f>IF(INVENTARIO!N956="","",INVENTARIO!N956)</f>
        <v/>
      </c>
      <c r="G956">
        <f>IF(INVENTARIO!P956="","",INVENTARIO!P956)</f>
        <v/>
      </c>
      <c r="H956">
        <f>IF(INVENTARIO!Q956="","",INVENTARIO!Q956)</f>
        <v/>
      </c>
      <c r="I956">
        <f>IF(INVENTARIO!R956="","",INVENTARIO!R956)</f>
        <v/>
      </c>
      <c r="J956">
        <f>IF(G956="PUBLICA(1)",1,IF(G956="USO INTERNO(2)",2,IF(G956="RESTRINGIDO(3)",3,0)))+IF(H956="BAJA(1)",1,IF(H956="MEDIA(2)",2,IF(H956="ALTA(3)",3,0)))+IF(I956="BAJA(1)",1,IF(I956="MEDIA(2)",2,IF(I956="ALTA(3)",3,0)))</f>
        <v/>
      </c>
      <c r="K956">
        <f>IF(J956="", "", IF(J956&gt;=8,"ALTA",IF(J956&gt;=6,"MEDIA","BAJA")))</f>
        <v/>
      </c>
      <c r="L956">
        <f>IF(INVENTARIO!Y956="","",INVENTARIO!Y956)</f>
        <v/>
      </c>
      <c r="M956">
        <f>IF(INVENTARIO!Z956="","",INVENTARIO!Z956)</f>
        <v/>
      </c>
      <c r="N956">
        <f>IF(INVENTARIO!AA956="","",INVENTARIO!AA956)</f>
        <v/>
      </c>
      <c r="O956">
        <f>IF(INVENTARIO!AB956="","",INVENTARIO!AB956)</f>
        <v/>
      </c>
      <c r="P956">
        <f>IF(INVENTARIO!AC956="","",INVENTARIO!AC956)</f>
        <v/>
      </c>
      <c r="Q956">
        <f>IF(AND(K956="",N956="",L956=""),"",IF(AND((K956="ALTA"),OR(LEFT(N956,2)="L0",LEFT(N956,2)="L1",L956="No Iniciado")),"CRÍTICO - Incumplimiento Normativo SEPS",IF(AND(OR(LEFT(N956,2)="L4",LEFT(N956,2)="L5"),AND(P956&lt;&gt;"",P956&lt;&gt;"N/A")),"CONFORME - Control Efectivo ISO 27001","OBSERVACIÓN - Revisar Controles")))</f>
        <v/>
      </c>
    </row>
    <row r="957">
      <c r="A957">
        <f>IF(INVENTARIO!A957="","",INVENTARIO!A957)</f>
        <v/>
      </c>
      <c r="B957">
        <f>IF(INVENTARIO!E957="","",INVENTARIO!E957)</f>
        <v/>
      </c>
      <c r="C957">
        <f>IF(INVENTARIO!F957="","",INVENTARIO!F957)</f>
        <v/>
      </c>
      <c r="D957">
        <f>IF(INVENTARIO!H957="","",INVENTARIO!H957)</f>
        <v/>
      </c>
      <c r="E957">
        <f>IF(INVENTARIO!I957="","",INVENTARIO!I957)</f>
        <v/>
      </c>
      <c r="F957">
        <f>IF(INVENTARIO!N957="","",INVENTARIO!N957)</f>
        <v/>
      </c>
      <c r="G957">
        <f>IF(INVENTARIO!P957="","",INVENTARIO!P957)</f>
        <v/>
      </c>
      <c r="H957">
        <f>IF(INVENTARIO!Q957="","",INVENTARIO!Q957)</f>
        <v/>
      </c>
      <c r="I957">
        <f>IF(INVENTARIO!R957="","",INVENTARIO!R957)</f>
        <v/>
      </c>
      <c r="J957">
        <f>IF(G957="PUBLICA(1)",1,IF(G957="USO INTERNO(2)",2,IF(G957="RESTRINGIDO(3)",3,0)))+IF(H957="BAJA(1)",1,IF(H957="MEDIA(2)",2,IF(H957="ALTA(3)",3,0)))+IF(I957="BAJA(1)",1,IF(I957="MEDIA(2)",2,IF(I957="ALTA(3)",3,0)))</f>
        <v/>
      </c>
      <c r="K957">
        <f>IF(J957="", "", IF(J957&gt;=8,"ALTA",IF(J957&gt;=6,"MEDIA","BAJA")))</f>
        <v/>
      </c>
      <c r="L957">
        <f>IF(INVENTARIO!Y957="","",INVENTARIO!Y957)</f>
        <v/>
      </c>
      <c r="M957">
        <f>IF(INVENTARIO!Z957="","",INVENTARIO!Z957)</f>
        <v/>
      </c>
      <c r="N957">
        <f>IF(INVENTARIO!AA957="","",INVENTARIO!AA957)</f>
        <v/>
      </c>
      <c r="O957">
        <f>IF(INVENTARIO!AB957="","",INVENTARIO!AB957)</f>
        <v/>
      </c>
      <c r="P957">
        <f>IF(INVENTARIO!AC957="","",INVENTARIO!AC957)</f>
        <v/>
      </c>
      <c r="Q957">
        <f>IF(AND(K957="",N957="",L957=""),"",IF(AND((K957="ALTA"),OR(LEFT(N957,2)="L0",LEFT(N957,2)="L1",L957="No Iniciado")),"CRÍTICO - Incumplimiento Normativo SEPS",IF(AND(OR(LEFT(N957,2)="L4",LEFT(N957,2)="L5"),AND(P957&lt;&gt;"",P957&lt;&gt;"N/A")),"CONFORME - Control Efectivo ISO 27001","OBSERVACIÓN - Revisar Controles")))</f>
        <v/>
      </c>
    </row>
    <row r="958">
      <c r="A958">
        <f>IF(INVENTARIO!A958="","",INVENTARIO!A958)</f>
        <v/>
      </c>
      <c r="B958">
        <f>IF(INVENTARIO!E958="","",INVENTARIO!E958)</f>
        <v/>
      </c>
      <c r="C958">
        <f>IF(INVENTARIO!F958="","",INVENTARIO!F958)</f>
        <v/>
      </c>
      <c r="D958">
        <f>IF(INVENTARIO!H958="","",INVENTARIO!H958)</f>
        <v/>
      </c>
      <c r="E958">
        <f>IF(INVENTARIO!I958="","",INVENTARIO!I958)</f>
        <v/>
      </c>
      <c r="F958">
        <f>IF(INVENTARIO!N958="","",INVENTARIO!N958)</f>
        <v/>
      </c>
      <c r="G958">
        <f>IF(INVENTARIO!P958="","",INVENTARIO!P958)</f>
        <v/>
      </c>
      <c r="H958">
        <f>IF(INVENTARIO!Q958="","",INVENTARIO!Q958)</f>
        <v/>
      </c>
      <c r="I958">
        <f>IF(INVENTARIO!R958="","",INVENTARIO!R958)</f>
        <v/>
      </c>
      <c r="J958">
        <f>IF(G958="PUBLICA(1)",1,IF(G958="USO INTERNO(2)",2,IF(G958="RESTRINGIDO(3)",3,0)))+IF(H958="BAJA(1)",1,IF(H958="MEDIA(2)",2,IF(H958="ALTA(3)",3,0)))+IF(I958="BAJA(1)",1,IF(I958="MEDIA(2)",2,IF(I958="ALTA(3)",3,0)))</f>
        <v/>
      </c>
      <c r="K958">
        <f>IF(J958="", "", IF(J958&gt;=8,"ALTA",IF(J958&gt;=6,"MEDIA","BAJA")))</f>
        <v/>
      </c>
      <c r="L958">
        <f>IF(INVENTARIO!Y958="","",INVENTARIO!Y958)</f>
        <v/>
      </c>
      <c r="M958">
        <f>IF(INVENTARIO!Z958="","",INVENTARIO!Z958)</f>
        <v/>
      </c>
      <c r="N958">
        <f>IF(INVENTARIO!AA958="","",INVENTARIO!AA958)</f>
        <v/>
      </c>
      <c r="O958">
        <f>IF(INVENTARIO!AB958="","",INVENTARIO!AB958)</f>
        <v/>
      </c>
      <c r="P958">
        <f>IF(INVENTARIO!AC958="","",INVENTARIO!AC958)</f>
        <v/>
      </c>
      <c r="Q958">
        <f>IF(AND(K958="",N958="",L958=""),"",IF(AND((K958="ALTA"),OR(LEFT(N958,2)="L0",LEFT(N958,2)="L1",L958="No Iniciado")),"CRÍTICO - Incumplimiento Normativo SEPS",IF(AND(OR(LEFT(N958,2)="L4",LEFT(N958,2)="L5"),AND(P958&lt;&gt;"",P958&lt;&gt;"N/A")),"CONFORME - Control Efectivo ISO 27001","OBSERVACIÓN - Revisar Controles")))</f>
        <v/>
      </c>
    </row>
    <row r="959">
      <c r="A959">
        <f>IF(INVENTARIO!A959="","",INVENTARIO!A959)</f>
        <v/>
      </c>
      <c r="B959">
        <f>IF(INVENTARIO!E959="","",INVENTARIO!E959)</f>
        <v/>
      </c>
      <c r="C959">
        <f>IF(INVENTARIO!F959="","",INVENTARIO!F959)</f>
        <v/>
      </c>
      <c r="D959">
        <f>IF(INVENTARIO!H959="","",INVENTARIO!H959)</f>
        <v/>
      </c>
      <c r="E959">
        <f>IF(INVENTARIO!I959="","",INVENTARIO!I959)</f>
        <v/>
      </c>
      <c r="F959">
        <f>IF(INVENTARIO!N959="","",INVENTARIO!N959)</f>
        <v/>
      </c>
      <c r="G959">
        <f>IF(INVENTARIO!P959="","",INVENTARIO!P959)</f>
        <v/>
      </c>
      <c r="H959">
        <f>IF(INVENTARIO!Q959="","",INVENTARIO!Q959)</f>
        <v/>
      </c>
      <c r="I959">
        <f>IF(INVENTARIO!R959="","",INVENTARIO!R959)</f>
        <v/>
      </c>
      <c r="J959">
        <f>IF(G959="PUBLICA(1)",1,IF(G959="USO INTERNO(2)",2,IF(G959="RESTRINGIDO(3)",3,0)))+IF(H959="BAJA(1)",1,IF(H959="MEDIA(2)",2,IF(H959="ALTA(3)",3,0)))+IF(I959="BAJA(1)",1,IF(I959="MEDIA(2)",2,IF(I959="ALTA(3)",3,0)))</f>
        <v/>
      </c>
      <c r="K959">
        <f>IF(J959="", "", IF(J959&gt;=8,"ALTA",IF(J959&gt;=6,"MEDIA","BAJA")))</f>
        <v/>
      </c>
      <c r="L959">
        <f>IF(INVENTARIO!Y959="","",INVENTARIO!Y959)</f>
        <v/>
      </c>
      <c r="M959">
        <f>IF(INVENTARIO!Z959="","",INVENTARIO!Z959)</f>
        <v/>
      </c>
      <c r="N959">
        <f>IF(INVENTARIO!AA959="","",INVENTARIO!AA959)</f>
        <v/>
      </c>
      <c r="O959">
        <f>IF(INVENTARIO!AB959="","",INVENTARIO!AB959)</f>
        <v/>
      </c>
      <c r="P959">
        <f>IF(INVENTARIO!AC959="","",INVENTARIO!AC959)</f>
        <v/>
      </c>
      <c r="Q959">
        <f>IF(AND(K959="",N959="",L959=""),"",IF(AND((K959="ALTA"),OR(LEFT(N959,2)="L0",LEFT(N959,2)="L1",L959="No Iniciado")),"CRÍTICO - Incumplimiento Normativo SEPS",IF(AND(OR(LEFT(N959,2)="L4",LEFT(N959,2)="L5"),AND(P959&lt;&gt;"",P959&lt;&gt;"N/A")),"CONFORME - Control Efectivo ISO 27001","OBSERVACIÓN - Revisar Controles")))</f>
        <v/>
      </c>
    </row>
    <row r="960">
      <c r="A960">
        <f>IF(INVENTARIO!A960="","",INVENTARIO!A960)</f>
        <v/>
      </c>
      <c r="B960">
        <f>IF(INVENTARIO!E960="","",INVENTARIO!E960)</f>
        <v/>
      </c>
      <c r="C960">
        <f>IF(INVENTARIO!F960="","",INVENTARIO!F960)</f>
        <v/>
      </c>
      <c r="D960">
        <f>IF(INVENTARIO!H960="","",INVENTARIO!H960)</f>
        <v/>
      </c>
      <c r="E960">
        <f>IF(INVENTARIO!I960="","",INVENTARIO!I960)</f>
        <v/>
      </c>
      <c r="F960">
        <f>IF(INVENTARIO!N960="","",INVENTARIO!N960)</f>
        <v/>
      </c>
      <c r="G960">
        <f>IF(INVENTARIO!P960="","",INVENTARIO!P960)</f>
        <v/>
      </c>
      <c r="H960">
        <f>IF(INVENTARIO!Q960="","",INVENTARIO!Q960)</f>
        <v/>
      </c>
      <c r="I960">
        <f>IF(INVENTARIO!R960="","",INVENTARIO!R960)</f>
        <v/>
      </c>
      <c r="J960">
        <f>IF(G960="PUBLICA(1)",1,IF(G960="USO INTERNO(2)",2,IF(G960="RESTRINGIDO(3)",3,0)))+IF(H960="BAJA(1)",1,IF(H960="MEDIA(2)",2,IF(H960="ALTA(3)",3,0)))+IF(I960="BAJA(1)",1,IF(I960="MEDIA(2)",2,IF(I960="ALTA(3)",3,0)))</f>
        <v/>
      </c>
      <c r="K960">
        <f>IF(J960="", "", IF(J960&gt;=8,"ALTA",IF(J960&gt;=6,"MEDIA","BAJA")))</f>
        <v/>
      </c>
      <c r="L960">
        <f>IF(INVENTARIO!Y960="","",INVENTARIO!Y960)</f>
        <v/>
      </c>
      <c r="M960">
        <f>IF(INVENTARIO!Z960="","",INVENTARIO!Z960)</f>
        <v/>
      </c>
      <c r="N960">
        <f>IF(INVENTARIO!AA960="","",INVENTARIO!AA960)</f>
        <v/>
      </c>
      <c r="O960">
        <f>IF(INVENTARIO!AB960="","",INVENTARIO!AB960)</f>
        <v/>
      </c>
      <c r="P960">
        <f>IF(INVENTARIO!AC960="","",INVENTARIO!AC960)</f>
        <v/>
      </c>
      <c r="Q960">
        <f>IF(AND(K960="",N960="",L960=""),"",IF(AND((K960="ALTA"),OR(LEFT(N960,2)="L0",LEFT(N960,2)="L1",L960="No Iniciado")),"CRÍTICO - Incumplimiento Normativo SEPS",IF(AND(OR(LEFT(N960,2)="L4",LEFT(N960,2)="L5"),AND(P960&lt;&gt;"",P960&lt;&gt;"N/A")),"CONFORME - Control Efectivo ISO 27001","OBSERVACIÓN - Revisar Controles")))</f>
        <v/>
      </c>
    </row>
    <row r="961">
      <c r="A961">
        <f>IF(INVENTARIO!A961="","",INVENTARIO!A961)</f>
        <v/>
      </c>
      <c r="B961">
        <f>IF(INVENTARIO!E961="","",INVENTARIO!E961)</f>
        <v/>
      </c>
      <c r="C961">
        <f>IF(INVENTARIO!F961="","",INVENTARIO!F961)</f>
        <v/>
      </c>
      <c r="D961">
        <f>IF(INVENTARIO!H961="","",INVENTARIO!H961)</f>
        <v/>
      </c>
      <c r="E961">
        <f>IF(INVENTARIO!I961="","",INVENTARIO!I961)</f>
        <v/>
      </c>
      <c r="F961">
        <f>IF(INVENTARIO!N961="","",INVENTARIO!N961)</f>
        <v/>
      </c>
      <c r="G961">
        <f>IF(INVENTARIO!P961="","",INVENTARIO!P961)</f>
        <v/>
      </c>
      <c r="H961">
        <f>IF(INVENTARIO!Q961="","",INVENTARIO!Q961)</f>
        <v/>
      </c>
      <c r="I961">
        <f>IF(INVENTARIO!R961="","",INVENTARIO!R961)</f>
        <v/>
      </c>
      <c r="J961">
        <f>IF(G961="PUBLICA(1)",1,IF(G961="USO INTERNO(2)",2,IF(G961="RESTRINGIDO(3)",3,0)))+IF(H961="BAJA(1)",1,IF(H961="MEDIA(2)",2,IF(H961="ALTA(3)",3,0)))+IF(I961="BAJA(1)",1,IF(I961="MEDIA(2)",2,IF(I961="ALTA(3)",3,0)))</f>
        <v/>
      </c>
      <c r="K961">
        <f>IF(J961="", "", IF(J961&gt;=8,"ALTA",IF(J961&gt;=6,"MEDIA","BAJA")))</f>
        <v/>
      </c>
      <c r="L961">
        <f>IF(INVENTARIO!Y961="","",INVENTARIO!Y961)</f>
        <v/>
      </c>
      <c r="M961">
        <f>IF(INVENTARIO!Z961="","",INVENTARIO!Z961)</f>
        <v/>
      </c>
      <c r="N961">
        <f>IF(INVENTARIO!AA961="","",INVENTARIO!AA961)</f>
        <v/>
      </c>
      <c r="O961">
        <f>IF(INVENTARIO!AB961="","",INVENTARIO!AB961)</f>
        <v/>
      </c>
      <c r="P961">
        <f>IF(INVENTARIO!AC961="","",INVENTARIO!AC961)</f>
        <v/>
      </c>
      <c r="Q961">
        <f>IF(AND(K961="",N961="",L961=""),"",IF(AND((K961="ALTA"),OR(LEFT(N961,2)="L0",LEFT(N961,2)="L1",L961="No Iniciado")),"CRÍTICO - Incumplimiento Normativo SEPS",IF(AND(OR(LEFT(N961,2)="L4",LEFT(N961,2)="L5"),AND(P961&lt;&gt;"",P961&lt;&gt;"N/A")),"CONFORME - Control Efectivo ISO 27001","OBSERVACIÓN - Revisar Controles")))</f>
        <v/>
      </c>
    </row>
    <row r="962">
      <c r="A962">
        <f>IF(INVENTARIO!A962="","",INVENTARIO!A962)</f>
        <v/>
      </c>
      <c r="B962">
        <f>IF(INVENTARIO!E962="","",INVENTARIO!E962)</f>
        <v/>
      </c>
      <c r="C962">
        <f>IF(INVENTARIO!F962="","",INVENTARIO!F962)</f>
        <v/>
      </c>
      <c r="D962">
        <f>IF(INVENTARIO!H962="","",INVENTARIO!H962)</f>
        <v/>
      </c>
      <c r="E962">
        <f>IF(INVENTARIO!I962="","",INVENTARIO!I962)</f>
        <v/>
      </c>
      <c r="F962">
        <f>IF(INVENTARIO!N962="","",INVENTARIO!N962)</f>
        <v/>
      </c>
      <c r="G962">
        <f>IF(INVENTARIO!P962="","",INVENTARIO!P962)</f>
        <v/>
      </c>
      <c r="H962">
        <f>IF(INVENTARIO!Q962="","",INVENTARIO!Q962)</f>
        <v/>
      </c>
      <c r="I962">
        <f>IF(INVENTARIO!R962="","",INVENTARIO!R962)</f>
        <v/>
      </c>
      <c r="J962">
        <f>IF(G962="PUBLICA(1)",1,IF(G962="USO INTERNO(2)",2,IF(G962="RESTRINGIDO(3)",3,0)))+IF(H962="BAJA(1)",1,IF(H962="MEDIA(2)",2,IF(H962="ALTA(3)",3,0)))+IF(I962="BAJA(1)",1,IF(I962="MEDIA(2)",2,IF(I962="ALTA(3)",3,0)))</f>
        <v/>
      </c>
      <c r="K962">
        <f>IF(J962="", "", IF(J962&gt;=8,"ALTA",IF(J962&gt;=6,"MEDIA","BAJA")))</f>
        <v/>
      </c>
      <c r="L962">
        <f>IF(INVENTARIO!Y962="","",INVENTARIO!Y962)</f>
        <v/>
      </c>
      <c r="M962">
        <f>IF(INVENTARIO!Z962="","",INVENTARIO!Z962)</f>
        <v/>
      </c>
      <c r="N962">
        <f>IF(INVENTARIO!AA962="","",INVENTARIO!AA962)</f>
        <v/>
      </c>
      <c r="O962">
        <f>IF(INVENTARIO!AB962="","",INVENTARIO!AB962)</f>
        <v/>
      </c>
      <c r="P962">
        <f>IF(INVENTARIO!AC962="","",INVENTARIO!AC962)</f>
        <v/>
      </c>
      <c r="Q962">
        <f>IF(AND(K962="",N962="",L962=""),"",IF(AND((K962="ALTA"),OR(LEFT(N962,2)="L0",LEFT(N962,2)="L1",L962="No Iniciado")),"CRÍTICO - Incumplimiento Normativo SEPS",IF(AND(OR(LEFT(N962,2)="L4",LEFT(N962,2)="L5"),AND(P962&lt;&gt;"",P962&lt;&gt;"N/A")),"CONFORME - Control Efectivo ISO 27001","OBSERVACIÓN - Revisar Controles")))</f>
        <v/>
      </c>
    </row>
    <row r="963">
      <c r="A963">
        <f>IF(INVENTARIO!A963="","",INVENTARIO!A963)</f>
        <v/>
      </c>
      <c r="B963">
        <f>IF(INVENTARIO!E963="","",INVENTARIO!E963)</f>
        <v/>
      </c>
      <c r="C963">
        <f>IF(INVENTARIO!F963="","",INVENTARIO!F963)</f>
        <v/>
      </c>
      <c r="D963">
        <f>IF(INVENTARIO!H963="","",INVENTARIO!H963)</f>
        <v/>
      </c>
      <c r="E963">
        <f>IF(INVENTARIO!I963="","",INVENTARIO!I963)</f>
        <v/>
      </c>
      <c r="F963">
        <f>IF(INVENTARIO!N963="","",INVENTARIO!N963)</f>
        <v/>
      </c>
      <c r="G963">
        <f>IF(INVENTARIO!P963="","",INVENTARIO!P963)</f>
        <v/>
      </c>
      <c r="H963">
        <f>IF(INVENTARIO!Q963="","",INVENTARIO!Q963)</f>
        <v/>
      </c>
      <c r="I963">
        <f>IF(INVENTARIO!R963="","",INVENTARIO!R963)</f>
        <v/>
      </c>
      <c r="J963">
        <f>IF(G963="PUBLICA(1)",1,IF(G963="USO INTERNO(2)",2,IF(G963="RESTRINGIDO(3)",3,0)))+IF(H963="BAJA(1)",1,IF(H963="MEDIA(2)",2,IF(H963="ALTA(3)",3,0)))+IF(I963="BAJA(1)",1,IF(I963="MEDIA(2)",2,IF(I963="ALTA(3)",3,0)))</f>
        <v/>
      </c>
      <c r="K963">
        <f>IF(J963="", "", IF(J963&gt;=8,"ALTA",IF(J963&gt;=6,"MEDIA","BAJA")))</f>
        <v/>
      </c>
      <c r="L963">
        <f>IF(INVENTARIO!Y963="","",INVENTARIO!Y963)</f>
        <v/>
      </c>
      <c r="M963">
        <f>IF(INVENTARIO!Z963="","",INVENTARIO!Z963)</f>
        <v/>
      </c>
      <c r="N963">
        <f>IF(INVENTARIO!AA963="","",INVENTARIO!AA963)</f>
        <v/>
      </c>
      <c r="O963">
        <f>IF(INVENTARIO!AB963="","",INVENTARIO!AB963)</f>
        <v/>
      </c>
      <c r="P963">
        <f>IF(INVENTARIO!AC963="","",INVENTARIO!AC963)</f>
        <v/>
      </c>
      <c r="Q963">
        <f>IF(AND(K963="",N963="",L963=""),"",IF(AND((K963="ALTA"),OR(LEFT(N963,2)="L0",LEFT(N963,2)="L1",L963="No Iniciado")),"CRÍTICO - Incumplimiento Normativo SEPS",IF(AND(OR(LEFT(N963,2)="L4",LEFT(N963,2)="L5"),AND(P963&lt;&gt;"",P963&lt;&gt;"N/A")),"CONFORME - Control Efectivo ISO 27001","OBSERVACIÓN - Revisar Controles")))</f>
        <v/>
      </c>
    </row>
    <row r="964">
      <c r="A964">
        <f>IF(INVENTARIO!A964="","",INVENTARIO!A964)</f>
        <v/>
      </c>
      <c r="B964">
        <f>IF(INVENTARIO!E964="","",INVENTARIO!E964)</f>
        <v/>
      </c>
      <c r="C964">
        <f>IF(INVENTARIO!F964="","",INVENTARIO!F964)</f>
        <v/>
      </c>
      <c r="D964">
        <f>IF(INVENTARIO!H964="","",INVENTARIO!H964)</f>
        <v/>
      </c>
      <c r="E964">
        <f>IF(INVENTARIO!I964="","",INVENTARIO!I964)</f>
        <v/>
      </c>
      <c r="F964">
        <f>IF(INVENTARIO!N964="","",INVENTARIO!N964)</f>
        <v/>
      </c>
      <c r="G964">
        <f>IF(INVENTARIO!P964="","",INVENTARIO!P964)</f>
        <v/>
      </c>
      <c r="H964">
        <f>IF(INVENTARIO!Q964="","",INVENTARIO!Q964)</f>
        <v/>
      </c>
      <c r="I964">
        <f>IF(INVENTARIO!R964="","",INVENTARIO!R964)</f>
        <v/>
      </c>
      <c r="J964">
        <f>IF(G964="PUBLICA(1)",1,IF(G964="USO INTERNO(2)",2,IF(G964="RESTRINGIDO(3)",3,0)))+IF(H964="BAJA(1)",1,IF(H964="MEDIA(2)",2,IF(H964="ALTA(3)",3,0)))+IF(I964="BAJA(1)",1,IF(I964="MEDIA(2)",2,IF(I964="ALTA(3)",3,0)))</f>
        <v/>
      </c>
      <c r="K964">
        <f>IF(J964="", "", IF(J964&gt;=8,"ALTA",IF(J964&gt;=6,"MEDIA","BAJA")))</f>
        <v/>
      </c>
      <c r="L964">
        <f>IF(INVENTARIO!Y964="","",INVENTARIO!Y964)</f>
        <v/>
      </c>
      <c r="M964">
        <f>IF(INVENTARIO!Z964="","",INVENTARIO!Z964)</f>
        <v/>
      </c>
      <c r="N964">
        <f>IF(INVENTARIO!AA964="","",INVENTARIO!AA964)</f>
        <v/>
      </c>
      <c r="O964">
        <f>IF(INVENTARIO!AB964="","",INVENTARIO!AB964)</f>
        <v/>
      </c>
      <c r="P964">
        <f>IF(INVENTARIO!AC964="","",INVENTARIO!AC964)</f>
        <v/>
      </c>
      <c r="Q964">
        <f>IF(AND(K964="",N964="",L964=""),"",IF(AND((K964="ALTA"),OR(LEFT(N964,2)="L0",LEFT(N964,2)="L1",L964="No Iniciado")),"CRÍTICO - Incumplimiento Normativo SEPS",IF(AND(OR(LEFT(N964,2)="L4",LEFT(N964,2)="L5"),AND(P964&lt;&gt;"",P964&lt;&gt;"N/A")),"CONFORME - Control Efectivo ISO 27001","OBSERVACIÓN - Revisar Controles")))</f>
        <v/>
      </c>
    </row>
    <row r="965">
      <c r="A965">
        <f>IF(INVENTARIO!A965="","",INVENTARIO!A965)</f>
        <v/>
      </c>
      <c r="B965">
        <f>IF(INVENTARIO!E965="","",INVENTARIO!E965)</f>
        <v/>
      </c>
      <c r="C965">
        <f>IF(INVENTARIO!F965="","",INVENTARIO!F965)</f>
        <v/>
      </c>
      <c r="D965">
        <f>IF(INVENTARIO!H965="","",INVENTARIO!H965)</f>
        <v/>
      </c>
      <c r="E965">
        <f>IF(INVENTARIO!I965="","",INVENTARIO!I965)</f>
        <v/>
      </c>
      <c r="F965">
        <f>IF(INVENTARIO!N965="","",INVENTARIO!N965)</f>
        <v/>
      </c>
      <c r="G965">
        <f>IF(INVENTARIO!P965="","",INVENTARIO!P965)</f>
        <v/>
      </c>
      <c r="H965">
        <f>IF(INVENTARIO!Q965="","",INVENTARIO!Q965)</f>
        <v/>
      </c>
      <c r="I965">
        <f>IF(INVENTARIO!R965="","",INVENTARIO!R965)</f>
        <v/>
      </c>
      <c r="J965">
        <f>IF(G965="PUBLICA(1)",1,IF(G965="USO INTERNO(2)",2,IF(G965="RESTRINGIDO(3)",3,0)))+IF(H965="BAJA(1)",1,IF(H965="MEDIA(2)",2,IF(H965="ALTA(3)",3,0)))+IF(I965="BAJA(1)",1,IF(I965="MEDIA(2)",2,IF(I965="ALTA(3)",3,0)))</f>
        <v/>
      </c>
      <c r="K965">
        <f>IF(J965="", "", IF(J965&gt;=8,"ALTA",IF(J965&gt;=6,"MEDIA","BAJA")))</f>
        <v/>
      </c>
      <c r="L965">
        <f>IF(INVENTARIO!Y965="","",INVENTARIO!Y965)</f>
        <v/>
      </c>
      <c r="M965">
        <f>IF(INVENTARIO!Z965="","",INVENTARIO!Z965)</f>
        <v/>
      </c>
      <c r="N965">
        <f>IF(INVENTARIO!AA965="","",INVENTARIO!AA965)</f>
        <v/>
      </c>
      <c r="O965">
        <f>IF(INVENTARIO!AB965="","",INVENTARIO!AB965)</f>
        <v/>
      </c>
      <c r="P965">
        <f>IF(INVENTARIO!AC965="","",INVENTARIO!AC965)</f>
        <v/>
      </c>
      <c r="Q965">
        <f>IF(AND(K965="",N965="",L965=""),"",IF(AND((K965="ALTA"),OR(LEFT(N965,2)="L0",LEFT(N965,2)="L1",L965="No Iniciado")),"CRÍTICO - Incumplimiento Normativo SEPS",IF(AND(OR(LEFT(N965,2)="L4",LEFT(N965,2)="L5"),AND(P965&lt;&gt;"",P965&lt;&gt;"N/A")),"CONFORME - Control Efectivo ISO 27001","OBSERVACIÓN - Revisar Controles")))</f>
        <v/>
      </c>
    </row>
    <row r="966">
      <c r="A966">
        <f>IF(INVENTARIO!A966="","",INVENTARIO!A966)</f>
        <v/>
      </c>
      <c r="B966">
        <f>IF(INVENTARIO!E966="","",INVENTARIO!E966)</f>
        <v/>
      </c>
      <c r="C966">
        <f>IF(INVENTARIO!F966="","",INVENTARIO!F966)</f>
        <v/>
      </c>
      <c r="D966">
        <f>IF(INVENTARIO!H966="","",INVENTARIO!H966)</f>
        <v/>
      </c>
      <c r="E966">
        <f>IF(INVENTARIO!I966="","",INVENTARIO!I966)</f>
        <v/>
      </c>
      <c r="F966">
        <f>IF(INVENTARIO!N966="","",INVENTARIO!N966)</f>
        <v/>
      </c>
      <c r="G966">
        <f>IF(INVENTARIO!P966="","",INVENTARIO!P966)</f>
        <v/>
      </c>
      <c r="H966">
        <f>IF(INVENTARIO!Q966="","",INVENTARIO!Q966)</f>
        <v/>
      </c>
      <c r="I966">
        <f>IF(INVENTARIO!R966="","",INVENTARIO!R966)</f>
        <v/>
      </c>
      <c r="J966">
        <f>IF(G966="PUBLICA(1)",1,IF(G966="USO INTERNO(2)",2,IF(G966="RESTRINGIDO(3)",3,0)))+IF(H966="BAJA(1)",1,IF(H966="MEDIA(2)",2,IF(H966="ALTA(3)",3,0)))+IF(I966="BAJA(1)",1,IF(I966="MEDIA(2)",2,IF(I966="ALTA(3)",3,0)))</f>
        <v/>
      </c>
      <c r="K966">
        <f>IF(J966="", "", IF(J966&gt;=8,"ALTA",IF(J966&gt;=6,"MEDIA","BAJA")))</f>
        <v/>
      </c>
      <c r="L966">
        <f>IF(INVENTARIO!Y966="","",INVENTARIO!Y966)</f>
        <v/>
      </c>
      <c r="M966">
        <f>IF(INVENTARIO!Z966="","",INVENTARIO!Z966)</f>
        <v/>
      </c>
      <c r="N966">
        <f>IF(INVENTARIO!AA966="","",INVENTARIO!AA966)</f>
        <v/>
      </c>
      <c r="O966">
        <f>IF(INVENTARIO!AB966="","",INVENTARIO!AB966)</f>
        <v/>
      </c>
      <c r="P966">
        <f>IF(INVENTARIO!AC966="","",INVENTARIO!AC966)</f>
        <v/>
      </c>
      <c r="Q966">
        <f>IF(AND(K966="",N966="",L966=""),"",IF(AND((K966="ALTA"),OR(LEFT(N966,2)="L0",LEFT(N966,2)="L1",L966="No Iniciado")),"CRÍTICO - Incumplimiento Normativo SEPS",IF(AND(OR(LEFT(N966,2)="L4",LEFT(N966,2)="L5"),AND(P966&lt;&gt;"",P966&lt;&gt;"N/A")),"CONFORME - Control Efectivo ISO 27001","OBSERVACIÓN - Revisar Controles")))</f>
        <v/>
      </c>
    </row>
    <row r="967">
      <c r="A967">
        <f>IF(INVENTARIO!A967="","",INVENTARIO!A967)</f>
        <v/>
      </c>
      <c r="B967">
        <f>IF(INVENTARIO!E967="","",INVENTARIO!E967)</f>
        <v/>
      </c>
      <c r="C967">
        <f>IF(INVENTARIO!F967="","",INVENTARIO!F967)</f>
        <v/>
      </c>
      <c r="D967">
        <f>IF(INVENTARIO!H967="","",INVENTARIO!H967)</f>
        <v/>
      </c>
      <c r="E967">
        <f>IF(INVENTARIO!I967="","",INVENTARIO!I967)</f>
        <v/>
      </c>
      <c r="F967">
        <f>IF(INVENTARIO!N967="","",INVENTARIO!N967)</f>
        <v/>
      </c>
      <c r="G967">
        <f>IF(INVENTARIO!P967="","",INVENTARIO!P967)</f>
        <v/>
      </c>
      <c r="H967">
        <f>IF(INVENTARIO!Q967="","",INVENTARIO!Q967)</f>
        <v/>
      </c>
      <c r="I967">
        <f>IF(INVENTARIO!R967="","",INVENTARIO!R967)</f>
        <v/>
      </c>
      <c r="J967">
        <f>IF(G967="PUBLICA(1)",1,IF(G967="USO INTERNO(2)",2,IF(G967="RESTRINGIDO(3)",3,0)))+IF(H967="BAJA(1)",1,IF(H967="MEDIA(2)",2,IF(H967="ALTA(3)",3,0)))+IF(I967="BAJA(1)",1,IF(I967="MEDIA(2)",2,IF(I967="ALTA(3)",3,0)))</f>
        <v/>
      </c>
      <c r="K967">
        <f>IF(J967="", "", IF(J967&gt;=8,"ALTA",IF(J967&gt;=6,"MEDIA","BAJA")))</f>
        <v/>
      </c>
      <c r="L967">
        <f>IF(INVENTARIO!Y967="","",INVENTARIO!Y967)</f>
        <v/>
      </c>
      <c r="M967">
        <f>IF(INVENTARIO!Z967="","",INVENTARIO!Z967)</f>
        <v/>
      </c>
      <c r="N967">
        <f>IF(INVENTARIO!AA967="","",INVENTARIO!AA967)</f>
        <v/>
      </c>
      <c r="O967">
        <f>IF(INVENTARIO!AB967="","",INVENTARIO!AB967)</f>
        <v/>
      </c>
      <c r="P967">
        <f>IF(INVENTARIO!AC967="","",INVENTARIO!AC967)</f>
        <v/>
      </c>
      <c r="Q967">
        <f>IF(AND(K967="",N967="",L967=""),"",IF(AND((K967="ALTA"),OR(LEFT(N967,2)="L0",LEFT(N967,2)="L1",L967="No Iniciado")),"CRÍTICO - Incumplimiento Normativo SEPS",IF(AND(OR(LEFT(N967,2)="L4",LEFT(N967,2)="L5"),AND(P967&lt;&gt;"",P967&lt;&gt;"N/A")),"CONFORME - Control Efectivo ISO 27001","OBSERVACIÓN - Revisar Controles")))</f>
        <v/>
      </c>
    </row>
    <row r="968">
      <c r="A968">
        <f>IF(INVENTARIO!A968="","",INVENTARIO!A968)</f>
        <v/>
      </c>
      <c r="B968">
        <f>IF(INVENTARIO!E968="","",INVENTARIO!E968)</f>
        <v/>
      </c>
      <c r="C968">
        <f>IF(INVENTARIO!F968="","",INVENTARIO!F968)</f>
        <v/>
      </c>
      <c r="D968">
        <f>IF(INVENTARIO!H968="","",INVENTARIO!H968)</f>
        <v/>
      </c>
      <c r="E968">
        <f>IF(INVENTARIO!I968="","",INVENTARIO!I968)</f>
        <v/>
      </c>
      <c r="F968">
        <f>IF(INVENTARIO!N968="","",INVENTARIO!N968)</f>
        <v/>
      </c>
      <c r="G968">
        <f>IF(INVENTARIO!P968="","",INVENTARIO!P968)</f>
        <v/>
      </c>
      <c r="H968">
        <f>IF(INVENTARIO!Q968="","",INVENTARIO!Q968)</f>
        <v/>
      </c>
      <c r="I968">
        <f>IF(INVENTARIO!R968="","",INVENTARIO!R968)</f>
        <v/>
      </c>
      <c r="J968">
        <f>IF(G968="PUBLICA(1)",1,IF(G968="USO INTERNO(2)",2,IF(G968="RESTRINGIDO(3)",3,0)))+IF(H968="BAJA(1)",1,IF(H968="MEDIA(2)",2,IF(H968="ALTA(3)",3,0)))+IF(I968="BAJA(1)",1,IF(I968="MEDIA(2)",2,IF(I968="ALTA(3)",3,0)))</f>
        <v/>
      </c>
      <c r="K968">
        <f>IF(J968="", "", IF(J968&gt;=8,"ALTA",IF(J968&gt;=6,"MEDIA","BAJA")))</f>
        <v/>
      </c>
      <c r="L968">
        <f>IF(INVENTARIO!Y968="","",INVENTARIO!Y968)</f>
        <v/>
      </c>
      <c r="M968">
        <f>IF(INVENTARIO!Z968="","",INVENTARIO!Z968)</f>
        <v/>
      </c>
      <c r="N968">
        <f>IF(INVENTARIO!AA968="","",INVENTARIO!AA968)</f>
        <v/>
      </c>
      <c r="O968">
        <f>IF(INVENTARIO!AB968="","",INVENTARIO!AB968)</f>
        <v/>
      </c>
      <c r="P968">
        <f>IF(INVENTARIO!AC968="","",INVENTARIO!AC968)</f>
        <v/>
      </c>
      <c r="Q968">
        <f>IF(AND(K968="",N968="",L968=""),"",IF(AND((K968="ALTA"),OR(LEFT(N968,2)="L0",LEFT(N968,2)="L1",L968="No Iniciado")),"CRÍTICO - Incumplimiento Normativo SEPS",IF(AND(OR(LEFT(N968,2)="L4",LEFT(N968,2)="L5"),AND(P968&lt;&gt;"",P968&lt;&gt;"N/A")),"CONFORME - Control Efectivo ISO 27001","OBSERVACIÓN - Revisar Controles")))</f>
        <v/>
      </c>
    </row>
    <row r="969">
      <c r="A969">
        <f>IF(INVENTARIO!A969="","",INVENTARIO!A969)</f>
        <v/>
      </c>
      <c r="B969">
        <f>IF(INVENTARIO!E969="","",INVENTARIO!E969)</f>
        <v/>
      </c>
      <c r="C969">
        <f>IF(INVENTARIO!F969="","",INVENTARIO!F969)</f>
        <v/>
      </c>
      <c r="D969">
        <f>IF(INVENTARIO!H969="","",INVENTARIO!H969)</f>
        <v/>
      </c>
      <c r="E969">
        <f>IF(INVENTARIO!I969="","",INVENTARIO!I969)</f>
        <v/>
      </c>
      <c r="F969">
        <f>IF(INVENTARIO!N969="","",INVENTARIO!N969)</f>
        <v/>
      </c>
      <c r="G969">
        <f>IF(INVENTARIO!P969="","",INVENTARIO!P969)</f>
        <v/>
      </c>
      <c r="H969">
        <f>IF(INVENTARIO!Q969="","",INVENTARIO!Q969)</f>
        <v/>
      </c>
      <c r="I969">
        <f>IF(INVENTARIO!R969="","",INVENTARIO!R969)</f>
        <v/>
      </c>
      <c r="J969">
        <f>IF(G969="PUBLICA(1)",1,IF(G969="USO INTERNO(2)",2,IF(G969="RESTRINGIDO(3)",3,0)))+IF(H969="BAJA(1)",1,IF(H969="MEDIA(2)",2,IF(H969="ALTA(3)",3,0)))+IF(I969="BAJA(1)",1,IF(I969="MEDIA(2)",2,IF(I969="ALTA(3)",3,0)))</f>
        <v/>
      </c>
      <c r="K969">
        <f>IF(J969="", "", IF(J969&gt;=8,"ALTA",IF(J969&gt;=6,"MEDIA","BAJA")))</f>
        <v/>
      </c>
      <c r="L969">
        <f>IF(INVENTARIO!Y969="","",INVENTARIO!Y969)</f>
        <v/>
      </c>
      <c r="M969">
        <f>IF(INVENTARIO!Z969="","",INVENTARIO!Z969)</f>
        <v/>
      </c>
      <c r="N969">
        <f>IF(INVENTARIO!AA969="","",INVENTARIO!AA969)</f>
        <v/>
      </c>
      <c r="O969">
        <f>IF(INVENTARIO!AB969="","",INVENTARIO!AB969)</f>
        <v/>
      </c>
      <c r="P969">
        <f>IF(INVENTARIO!AC969="","",INVENTARIO!AC969)</f>
        <v/>
      </c>
      <c r="Q969">
        <f>IF(AND(K969="",N969="",L969=""),"",IF(AND((K969="ALTA"),OR(LEFT(N969,2)="L0",LEFT(N969,2)="L1",L969="No Iniciado")),"CRÍTICO - Incumplimiento Normativo SEPS",IF(AND(OR(LEFT(N969,2)="L4",LEFT(N969,2)="L5"),AND(P969&lt;&gt;"",P969&lt;&gt;"N/A")),"CONFORME - Control Efectivo ISO 27001","OBSERVACIÓN - Revisar Controles")))</f>
        <v/>
      </c>
    </row>
    <row r="970">
      <c r="A970">
        <f>IF(INVENTARIO!A970="","",INVENTARIO!A970)</f>
        <v/>
      </c>
      <c r="B970">
        <f>IF(INVENTARIO!E970="","",INVENTARIO!E970)</f>
        <v/>
      </c>
      <c r="C970">
        <f>IF(INVENTARIO!F970="","",INVENTARIO!F970)</f>
        <v/>
      </c>
      <c r="D970">
        <f>IF(INVENTARIO!H970="","",INVENTARIO!H970)</f>
        <v/>
      </c>
      <c r="E970">
        <f>IF(INVENTARIO!I970="","",INVENTARIO!I970)</f>
        <v/>
      </c>
      <c r="F970">
        <f>IF(INVENTARIO!N970="","",INVENTARIO!N970)</f>
        <v/>
      </c>
      <c r="G970">
        <f>IF(INVENTARIO!P970="","",INVENTARIO!P970)</f>
        <v/>
      </c>
      <c r="H970">
        <f>IF(INVENTARIO!Q970="","",INVENTARIO!Q970)</f>
        <v/>
      </c>
      <c r="I970">
        <f>IF(INVENTARIO!R970="","",INVENTARIO!R970)</f>
        <v/>
      </c>
      <c r="J970">
        <f>IF(G970="PUBLICA(1)",1,IF(G970="USO INTERNO(2)",2,IF(G970="RESTRINGIDO(3)",3,0)))+IF(H970="BAJA(1)",1,IF(H970="MEDIA(2)",2,IF(H970="ALTA(3)",3,0)))+IF(I970="BAJA(1)",1,IF(I970="MEDIA(2)",2,IF(I970="ALTA(3)",3,0)))</f>
        <v/>
      </c>
      <c r="K970">
        <f>IF(J970="", "", IF(J970&gt;=8,"ALTA",IF(J970&gt;=6,"MEDIA","BAJA")))</f>
        <v/>
      </c>
      <c r="L970">
        <f>IF(INVENTARIO!Y970="","",INVENTARIO!Y970)</f>
        <v/>
      </c>
      <c r="M970">
        <f>IF(INVENTARIO!Z970="","",INVENTARIO!Z970)</f>
        <v/>
      </c>
      <c r="N970">
        <f>IF(INVENTARIO!AA970="","",INVENTARIO!AA970)</f>
        <v/>
      </c>
      <c r="O970">
        <f>IF(INVENTARIO!AB970="","",INVENTARIO!AB970)</f>
        <v/>
      </c>
      <c r="P970">
        <f>IF(INVENTARIO!AC970="","",INVENTARIO!AC970)</f>
        <v/>
      </c>
      <c r="Q970">
        <f>IF(AND(K970="",N970="",L970=""),"",IF(AND((K970="ALTA"),OR(LEFT(N970,2)="L0",LEFT(N970,2)="L1",L970="No Iniciado")),"CRÍTICO - Incumplimiento Normativo SEPS",IF(AND(OR(LEFT(N970,2)="L4",LEFT(N970,2)="L5"),AND(P970&lt;&gt;"",P970&lt;&gt;"N/A")),"CONFORME - Control Efectivo ISO 27001","OBSERVACIÓN - Revisar Controles")))</f>
        <v/>
      </c>
    </row>
    <row r="971">
      <c r="A971">
        <f>IF(INVENTARIO!A971="","",INVENTARIO!A971)</f>
        <v/>
      </c>
      <c r="B971">
        <f>IF(INVENTARIO!E971="","",INVENTARIO!E971)</f>
        <v/>
      </c>
      <c r="C971">
        <f>IF(INVENTARIO!F971="","",INVENTARIO!F971)</f>
        <v/>
      </c>
      <c r="D971">
        <f>IF(INVENTARIO!H971="","",INVENTARIO!H971)</f>
        <v/>
      </c>
      <c r="E971">
        <f>IF(INVENTARIO!I971="","",INVENTARIO!I971)</f>
        <v/>
      </c>
      <c r="F971">
        <f>IF(INVENTARIO!N971="","",INVENTARIO!N971)</f>
        <v/>
      </c>
      <c r="G971">
        <f>IF(INVENTARIO!P971="","",INVENTARIO!P971)</f>
        <v/>
      </c>
      <c r="H971">
        <f>IF(INVENTARIO!Q971="","",INVENTARIO!Q971)</f>
        <v/>
      </c>
      <c r="I971">
        <f>IF(INVENTARIO!R971="","",INVENTARIO!R971)</f>
        <v/>
      </c>
      <c r="J971">
        <f>IF(G971="PUBLICA(1)",1,IF(G971="USO INTERNO(2)",2,IF(G971="RESTRINGIDO(3)",3,0)))+IF(H971="BAJA(1)",1,IF(H971="MEDIA(2)",2,IF(H971="ALTA(3)",3,0)))+IF(I971="BAJA(1)",1,IF(I971="MEDIA(2)",2,IF(I971="ALTA(3)",3,0)))</f>
        <v/>
      </c>
      <c r="K971">
        <f>IF(J971="", "", IF(J971&gt;=8,"ALTA",IF(J971&gt;=6,"MEDIA","BAJA")))</f>
        <v/>
      </c>
      <c r="L971">
        <f>IF(INVENTARIO!Y971="","",INVENTARIO!Y971)</f>
        <v/>
      </c>
      <c r="M971">
        <f>IF(INVENTARIO!Z971="","",INVENTARIO!Z971)</f>
        <v/>
      </c>
      <c r="N971">
        <f>IF(INVENTARIO!AA971="","",INVENTARIO!AA971)</f>
        <v/>
      </c>
      <c r="O971">
        <f>IF(INVENTARIO!AB971="","",INVENTARIO!AB971)</f>
        <v/>
      </c>
      <c r="P971">
        <f>IF(INVENTARIO!AC971="","",INVENTARIO!AC971)</f>
        <v/>
      </c>
      <c r="Q971">
        <f>IF(AND(K971="",N971="",L971=""),"",IF(AND((K971="ALTA"),OR(LEFT(N971,2)="L0",LEFT(N971,2)="L1",L971="No Iniciado")),"CRÍTICO - Incumplimiento Normativo SEPS",IF(AND(OR(LEFT(N971,2)="L4",LEFT(N971,2)="L5"),AND(P971&lt;&gt;"",P971&lt;&gt;"N/A")),"CONFORME - Control Efectivo ISO 27001","OBSERVACIÓN - Revisar Controles")))</f>
        <v/>
      </c>
    </row>
    <row r="972">
      <c r="A972">
        <f>IF(INVENTARIO!A972="","",INVENTARIO!A972)</f>
        <v/>
      </c>
      <c r="B972">
        <f>IF(INVENTARIO!E972="","",INVENTARIO!E972)</f>
        <v/>
      </c>
      <c r="C972">
        <f>IF(INVENTARIO!F972="","",INVENTARIO!F972)</f>
        <v/>
      </c>
      <c r="D972">
        <f>IF(INVENTARIO!H972="","",INVENTARIO!H972)</f>
        <v/>
      </c>
      <c r="E972">
        <f>IF(INVENTARIO!I972="","",INVENTARIO!I972)</f>
        <v/>
      </c>
      <c r="F972">
        <f>IF(INVENTARIO!N972="","",INVENTARIO!N972)</f>
        <v/>
      </c>
      <c r="G972">
        <f>IF(INVENTARIO!P972="","",INVENTARIO!P972)</f>
        <v/>
      </c>
      <c r="H972">
        <f>IF(INVENTARIO!Q972="","",INVENTARIO!Q972)</f>
        <v/>
      </c>
      <c r="I972">
        <f>IF(INVENTARIO!R972="","",INVENTARIO!R972)</f>
        <v/>
      </c>
      <c r="J972">
        <f>IF(G972="PUBLICA(1)",1,IF(G972="USO INTERNO(2)",2,IF(G972="RESTRINGIDO(3)",3,0)))+IF(H972="BAJA(1)",1,IF(H972="MEDIA(2)",2,IF(H972="ALTA(3)",3,0)))+IF(I972="BAJA(1)",1,IF(I972="MEDIA(2)",2,IF(I972="ALTA(3)",3,0)))</f>
        <v/>
      </c>
      <c r="K972">
        <f>IF(J972="", "", IF(J972&gt;=8,"ALTA",IF(J972&gt;=6,"MEDIA","BAJA")))</f>
        <v/>
      </c>
      <c r="L972">
        <f>IF(INVENTARIO!Y972="","",INVENTARIO!Y972)</f>
        <v/>
      </c>
      <c r="M972">
        <f>IF(INVENTARIO!Z972="","",INVENTARIO!Z972)</f>
        <v/>
      </c>
      <c r="N972">
        <f>IF(INVENTARIO!AA972="","",INVENTARIO!AA972)</f>
        <v/>
      </c>
      <c r="O972">
        <f>IF(INVENTARIO!AB972="","",INVENTARIO!AB972)</f>
        <v/>
      </c>
      <c r="P972">
        <f>IF(INVENTARIO!AC972="","",INVENTARIO!AC972)</f>
        <v/>
      </c>
      <c r="Q972">
        <f>IF(AND(K972="",N972="",L972=""),"",IF(AND((K972="ALTA"),OR(LEFT(N972,2)="L0",LEFT(N972,2)="L1",L972="No Iniciado")),"CRÍTICO - Incumplimiento Normativo SEPS",IF(AND(OR(LEFT(N972,2)="L4",LEFT(N972,2)="L5"),AND(P972&lt;&gt;"",P972&lt;&gt;"N/A")),"CONFORME - Control Efectivo ISO 27001","OBSERVACIÓN - Revisar Controles")))</f>
        <v/>
      </c>
    </row>
    <row r="973">
      <c r="A973">
        <f>IF(INVENTARIO!A973="","",INVENTARIO!A973)</f>
        <v/>
      </c>
      <c r="B973">
        <f>IF(INVENTARIO!E973="","",INVENTARIO!E973)</f>
        <v/>
      </c>
      <c r="C973">
        <f>IF(INVENTARIO!F973="","",INVENTARIO!F973)</f>
        <v/>
      </c>
      <c r="D973">
        <f>IF(INVENTARIO!H973="","",INVENTARIO!H973)</f>
        <v/>
      </c>
      <c r="E973">
        <f>IF(INVENTARIO!I973="","",INVENTARIO!I973)</f>
        <v/>
      </c>
      <c r="F973">
        <f>IF(INVENTARIO!N973="","",INVENTARIO!N973)</f>
        <v/>
      </c>
      <c r="G973">
        <f>IF(INVENTARIO!P973="","",INVENTARIO!P973)</f>
        <v/>
      </c>
      <c r="H973">
        <f>IF(INVENTARIO!Q973="","",INVENTARIO!Q973)</f>
        <v/>
      </c>
      <c r="I973">
        <f>IF(INVENTARIO!R973="","",INVENTARIO!R973)</f>
        <v/>
      </c>
      <c r="J973">
        <f>IF(G973="PUBLICA(1)",1,IF(G973="USO INTERNO(2)",2,IF(G973="RESTRINGIDO(3)",3,0)))+IF(H973="BAJA(1)",1,IF(H973="MEDIA(2)",2,IF(H973="ALTA(3)",3,0)))+IF(I973="BAJA(1)",1,IF(I973="MEDIA(2)",2,IF(I973="ALTA(3)",3,0)))</f>
        <v/>
      </c>
      <c r="K973">
        <f>IF(J973="", "", IF(J973&gt;=8,"ALTA",IF(J973&gt;=6,"MEDIA","BAJA")))</f>
        <v/>
      </c>
      <c r="L973">
        <f>IF(INVENTARIO!Y973="","",INVENTARIO!Y973)</f>
        <v/>
      </c>
      <c r="M973">
        <f>IF(INVENTARIO!Z973="","",INVENTARIO!Z973)</f>
        <v/>
      </c>
      <c r="N973">
        <f>IF(INVENTARIO!AA973="","",INVENTARIO!AA973)</f>
        <v/>
      </c>
      <c r="O973">
        <f>IF(INVENTARIO!AB973="","",INVENTARIO!AB973)</f>
        <v/>
      </c>
      <c r="P973">
        <f>IF(INVENTARIO!AC973="","",INVENTARIO!AC973)</f>
        <v/>
      </c>
      <c r="Q973">
        <f>IF(AND(K973="",N973="",L973=""),"",IF(AND((K973="ALTA"),OR(LEFT(N973,2)="L0",LEFT(N973,2)="L1",L973="No Iniciado")),"CRÍTICO - Incumplimiento Normativo SEPS",IF(AND(OR(LEFT(N973,2)="L4",LEFT(N973,2)="L5"),AND(P973&lt;&gt;"",P973&lt;&gt;"N/A")),"CONFORME - Control Efectivo ISO 27001","OBSERVACIÓN - Revisar Controles")))</f>
        <v/>
      </c>
    </row>
    <row r="974">
      <c r="A974">
        <f>IF(INVENTARIO!A974="","",INVENTARIO!A974)</f>
        <v/>
      </c>
      <c r="B974">
        <f>IF(INVENTARIO!E974="","",INVENTARIO!E974)</f>
        <v/>
      </c>
      <c r="C974">
        <f>IF(INVENTARIO!F974="","",INVENTARIO!F974)</f>
        <v/>
      </c>
      <c r="D974">
        <f>IF(INVENTARIO!H974="","",INVENTARIO!H974)</f>
        <v/>
      </c>
      <c r="E974">
        <f>IF(INVENTARIO!I974="","",INVENTARIO!I974)</f>
        <v/>
      </c>
      <c r="F974">
        <f>IF(INVENTARIO!N974="","",INVENTARIO!N974)</f>
        <v/>
      </c>
      <c r="G974">
        <f>IF(INVENTARIO!P974="","",INVENTARIO!P974)</f>
        <v/>
      </c>
      <c r="H974">
        <f>IF(INVENTARIO!Q974="","",INVENTARIO!Q974)</f>
        <v/>
      </c>
      <c r="I974">
        <f>IF(INVENTARIO!R974="","",INVENTARIO!R974)</f>
        <v/>
      </c>
      <c r="J974">
        <f>IF(G974="PUBLICA(1)",1,IF(G974="USO INTERNO(2)",2,IF(G974="RESTRINGIDO(3)",3,0)))+IF(H974="BAJA(1)",1,IF(H974="MEDIA(2)",2,IF(H974="ALTA(3)",3,0)))+IF(I974="BAJA(1)",1,IF(I974="MEDIA(2)",2,IF(I974="ALTA(3)",3,0)))</f>
        <v/>
      </c>
      <c r="K974">
        <f>IF(J974="", "", IF(J974&gt;=8,"ALTA",IF(J974&gt;=6,"MEDIA","BAJA")))</f>
        <v/>
      </c>
      <c r="L974">
        <f>IF(INVENTARIO!Y974="","",INVENTARIO!Y974)</f>
        <v/>
      </c>
      <c r="M974">
        <f>IF(INVENTARIO!Z974="","",INVENTARIO!Z974)</f>
        <v/>
      </c>
      <c r="N974">
        <f>IF(INVENTARIO!AA974="","",INVENTARIO!AA974)</f>
        <v/>
      </c>
      <c r="O974">
        <f>IF(INVENTARIO!AB974="","",INVENTARIO!AB974)</f>
        <v/>
      </c>
      <c r="P974">
        <f>IF(INVENTARIO!AC974="","",INVENTARIO!AC974)</f>
        <v/>
      </c>
      <c r="Q974">
        <f>IF(AND(K974="",N974="",L974=""),"",IF(AND((K974="ALTA"),OR(LEFT(N974,2)="L0",LEFT(N974,2)="L1",L974="No Iniciado")),"CRÍTICO - Incumplimiento Normativo SEPS",IF(AND(OR(LEFT(N974,2)="L4",LEFT(N974,2)="L5"),AND(P974&lt;&gt;"",P974&lt;&gt;"N/A")),"CONFORME - Control Efectivo ISO 27001","OBSERVACIÓN - Revisar Controles")))</f>
        <v/>
      </c>
    </row>
    <row r="975">
      <c r="A975">
        <f>IF(INVENTARIO!A975="","",INVENTARIO!A975)</f>
        <v/>
      </c>
      <c r="B975">
        <f>IF(INVENTARIO!E975="","",INVENTARIO!E975)</f>
        <v/>
      </c>
      <c r="C975">
        <f>IF(INVENTARIO!F975="","",INVENTARIO!F975)</f>
        <v/>
      </c>
      <c r="D975">
        <f>IF(INVENTARIO!H975="","",INVENTARIO!H975)</f>
        <v/>
      </c>
      <c r="E975">
        <f>IF(INVENTARIO!I975="","",INVENTARIO!I975)</f>
        <v/>
      </c>
      <c r="F975">
        <f>IF(INVENTARIO!N975="","",INVENTARIO!N975)</f>
        <v/>
      </c>
      <c r="G975">
        <f>IF(INVENTARIO!P975="","",INVENTARIO!P975)</f>
        <v/>
      </c>
      <c r="H975">
        <f>IF(INVENTARIO!Q975="","",INVENTARIO!Q975)</f>
        <v/>
      </c>
      <c r="I975">
        <f>IF(INVENTARIO!R975="","",INVENTARIO!R975)</f>
        <v/>
      </c>
      <c r="J975">
        <f>IF(G975="PUBLICA(1)",1,IF(G975="USO INTERNO(2)",2,IF(G975="RESTRINGIDO(3)",3,0)))+IF(H975="BAJA(1)",1,IF(H975="MEDIA(2)",2,IF(H975="ALTA(3)",3,0)))+IF(I975="BAJA(1)",1,IF(I975="MEDIA(2)",2,IF(I975="ALTA(3)",3,0)))</f>
        <v/>
      </c>
      <c r="K975">
        <f>IF(J975="", "", IF(J975&gt;=8,"ALTA",IF(J975&gt;=6,"MEDIA","BAJA")))</f>
        <v/>
      </c>
      <c r="L975">
        <f>IF(INVENTARIO!Y975="","",INVENTARIO!Y975)</f>
        <v/>
      </c>
      <c r="M975">
        <f>IF(INVENTARIO!Z975="","",INVENTARIO!Z975)</f>
        <v/>
      </c>
      <c r="N975">
        <f>IF(INVENTARIO!AA975="","",INVENTARIO!AA975)</f>
        <v/>
      </c>
      <c r="O975">
        <f>IF(INVENTARIO!AB975="","",INVENTARIO!AB975)</f>
        <v/>
      </c>
      <c r="P975">
        <f>IF(INVENTARIO!AC975="","",INVENTARIO!AC975)</f>
        <v/>
      </c>
      <c r="Q975">
        <f>IF(AND(K975="",N975="",L975=""),"",IF(AND((K975="ALTA"),OR(LEFT(N975,2)="L0",LEFT(N975,2)="L1",L975="No Iniciado")),"CRÍTICO - Incumplimiento Normativo SEPS",IF(AND(OR(LEFT(N975,2)="L4",LEFT(N975,2)="L5"),AND(P975&lt;&gt;"",P975&lt;&gt;"N/A")),"CONFORME - Control Efectivo ISO 27001","OBSERVACIÓN - Revisar Controles")))</f>
        <v/>
      </c>
    </row>
    <row r="976">
      <c r="A976">
        <f>IF(INVENTARIO!A976="","",INVENTARIO!A976)</f>
        <v/>
      </c>
      <c r="B976">
        <f>IF(INVENTARIO!E976="","",INVENTARIO!E976)</f>
        <v/>
      </c>
      <c r="C976">
        <f>IF(INVENTARIO!F976="","",INVENTARIO!F976)</f>
        <v/>
      </c>
      <c r="D976">
        <f>IF(INVENTARIO!H976="","",INVENTARIO!H976)</f>
        <v/>
      </c>
      <c r="E976">
        <f>IF(INVENTARIO!I976="","",INVENTARIO!I976)</f>
        <v/>
      </c>
      <c r="F976">
        <f>IF(INVENTARIO!N976="","",INVENTARIO!N976)</f>
        <v/>
      </c>
      <c r="G976">
        <f>IF(INVENTARIO!P976="","",INVENTARIO!P976)</f>
        <v/>
      </c>
      <c r="H976">
        <f>IF(INVENTARIO!Q976="","",INVENTARIO!Q976)</f>
        <v/>
      </c>
      <c r="I976">
        <f>IF(INVENTARIO!R976="","",INVENTARIO!R976)</f>
        <v/>
      </c>
      <c r="J976">
        <f>IF(G976="PUBLICA(1)",1,IF(G976="USO INTERNO(2)",2,IF(G976="RESTRINGIDO(3)",3,0)))+IF(H976="BAJA(1)",1,IF(H976="MEDIA(2)",2,IF(H976="ALTA(3)",3,0)))+IF(I976="BAJA(1)",1,IF(I976="MEDIA(2)",2,IF(I976="ALTA(3)",3,0)))</f>
        <v/>
      </c>
      <c r="K976">
        <f>IF(J976="", "", IF(J976&gt;=8,"ALTA",IF(J976&gt;=6,"MEDIA","BAJA")))</f>
        <v/>
      </c>
      <c r="L976">
        <f>IF(INVENTARIO!Y976="","",INVENTARIO!Y976)</f>
        <v/>
      </c>
      <c r="M976">
        <f>IF(INVENTARIO!Z976="","",INVENTARIO!Z976)</f>
        <v/>
      </c>
      <c r="N976">
        <f>IF(INVENTARIO!AA976="","",INVENTARIO!AA976)</f>
        <v/>
      </c>
      <c r="O976">
        <f>IF(INVENTARIO!AB976="","",INVENTARIO!AB976)</f>
        <v/>
      </c>
      <c r="P976">
        <f>IF(INVENTARIO!AC976="","",INVENTARIO!AC976)</f>
        <v/>
      </c>
      <c r="Q976">
        <f>IF(AND(K976="",N976="",L976=""),"",IF(AND((K976="ALTA"),OR(LEFT(N976,2)="L0",LEFT(N976,2)="L1",L976="No Iniciado")),"CRÍTICO - Incumplimiento Normativo SEPS",IF(AND(OR(LEFT(N976,2)="L4",LEFT(N976,2)="L5"),AND(P976&lt;&gt;"",P976&lt;&gt;"N/A")),"CONFORME - Control Efectivo ISO 27001","OBSERVACIÓN - Revisar Controles")))</f>
        <v/>
      </c>
    </row>
    <row r="977">
      <c r="A977">
        <f>IF(INVENTARIO!A977="","",INVENTARIO!A977)</f>
        <v/>
      </c>
      <c r="B977">
        <f>IF(INVENTARIO!E977="","",INVENTARIO!E977)</f>
        <v/>
      </c>
      <c r="C977">
        <f>IF(INVENTARIO!F977="","",INVENTARIO!F977)</f>
        <v/>
      </c>
      <c r="D977">
        <f>IF(INVENTARIO!H977="","",INVENTARIO!H977)</f>
        <v/>
      </c>
      <c r="E977">
        <f>IF(INVENTARIO!I977="","",INVENTARIO!I977)</f>
        <v/>
      </c>
      <c r="F977">
        <f>IF(INVENTARIO!N977="","",INVENTARIO!N977)</f>
        <v/>
      </c>
      <c r="G977">
        <f>IF(INVENTARIO!P977="","",INVENTARIO!P977)</f>
        <v/>
      </c>
      <c r="H977">
        <f>IF(INVENTARIO!Q977="","",INVENTARIO!Q977)</f>
        <v/>
      </c>
      <c r="I977">
        <f>IF(INVENTARIO!R977="","",INVENTARIO!R977)</f>
        <v/>
      </c>
      <c r="J977">
        <f>IF(G977="PUBLICA(1)",1,IF(G977="USO INTERNO(2)",2,IF(G977="RESTRINGIDO(3)",3,0)))+IF(H977="BAJA(1)",1,IF(H977="MEDIA(2)",2,IF(H977="ALTA(3)",3,0)))+IF(I977="BAJA(1)",1,IF(I977="MEDIA(2)",2,IF(I977="ALTA(3)",3,0)))</f>
        <v/>
      </c>
      <c r="K977">
        <f>IF(J977="", "", IF(J977&gt;=8,"ALTA",IF(J977&gt;=6,"MEDIA","BAJA")))</f>
        <v/>
      </c>
      <c r="L977">
        <f>IF(INVENTARIO!Y977="","",INVENTARIO!Y977)</f>
        <v/>
      </c>
      <c r="M977">
        <f>IF(INVENTARIO!Z977="","",INVENTARIO!Z977)</f>
        <v/>
      </c>
      <c r="N977">
        <f>IF(INVENTARIO!AA977="","",INVENTARIO!AA977)</f>
        <v/>
      </c>
      <c r="O977">
        <f>IF(INVENTARIO!AB977="","",INVENTARIO!AB977)</f>
        <v/>
      </c>
      <c r="P977">
        <f>IF(INVENTARIO!AC977="","",INVENTARIO!AC977)</f>
        <v/>
      </c>
      <c r="Q977">
        <f>IF(AND(K977="",N977="",L977=""),"",IF(AND((K977="ALTA"),OR(LEFT(N977,2)="L0",LEFT(N977,2)="L1",L977="No Iniciado")),"CRÍTICO - Incumplimiento Normativo SEPS",IF(AND(OR(LEFT(N977,2)="L4",LEFT(N977,2)="L5"),AND(P977&lt;&gt;"",P977&lt;&gt;"N/A")),"CONFORME - Control Efectivo ISO 27001","OBSERVACIÓN - Revisar Controles")))</f>
        <v/>
      </c>
    </row>
    <row r="978">
      <c r="A978">
        <f>IF(INVENTARIO!A978="","",INVENTARIO!A978)</f>
        <v/>
      </c>
      <c r="B978">
        <f>IF(INVENTARIO!E978="","",INVENTARIO!E978)</f>
        <v/>
      </c>
      <c r="C978">
        <f>IF(INVENTARIO!F978="","",INVENTARIO!F978)</f>
        <v/>
      </c>
      <c r="D978">
        <f>IF(INVENTARIO!H978="","",INVENTARIO!H978)</f>
        <v/>
      </c>
      <c r="E978">
        <f>IF(INVENTARIO!I978="","",INVENTARIO!I978)</f>
        <v/>
      </c>
      <c r="F978">
        <f>IF(INVENTARIO!N978="","",INVENTARIO!N978)</f>
        <v/>
      </c>
      <c r="G978">
        <f>IF(INVENTARIO!P978="","",INVENTARIO!P978)</f>
        <v/>
      </c>
      <c r="H978">
        <f>IF(INVENTARIO!Q978="","",INVENTARIO!Q978)</f>
        <v/>
      </c>
      <c r="I978">
        <f>IF(INVENTARIO!R978="","",INVENTARIO!R978)</f>
        <v/>
      </c>
      <c r="J978">
        <f>IF(G978="PUBLICA(1)",1,IF(G978="USO INTERNO(2)",2,IF(G978="RESTRINGIDO(3)",3,0)))+IF(H978="BAJA(1)",1,IF(H978="MEDIA(2)",2,IF(H978="ALTA(3)",3,0)))+IF(I978="BAJA(1)",1,IF(I978="MEDIA(2)",2,IF(I978="ALTA(3)",3,0)))</f>
        <v/>
      </c>
      <c r="K978">
        <f>IF(J978="", "", IF(J978&gt;=8,"ALTA",IF(J978&gt;=6,"MEDIA","BAJA")))</f>
        <v/>
      </c>
      <c r="L978">
        <f>IF(INVENTARIO!Y978="","",INVENTARIO!Y978)</f>
        <v/>
      </c>
      <c r="M978">
        <f>IF(INVENTARIO!Z978="","",INVENTARIO!Z978)</f>
        <v/>
      </c>
      <c r="N978">
        <f>IF(INVENTARIO!AA978="","",INVENTARIO!AA978)</f>
        <v/>
      </c>
      <c r="O978">
        <f>IF(INVENTARIO!AB978="","",INVENTARIO!AB978)</f>
        <v/>
      </c>
      <c r="P978">
        <f>IF(INVENTARIO!AC978="","",INVENTARIO!AC978)</f>
        <v/>
      </c>
      <c r="Q978">
        <f>IF(AND(K978="",N978="",L978=""),"",IF(AND((K978="ALTA"),OR(LEFT(N978,2)="L0",LEFT(N978,2)="L1",L978="No Iniciado")),"CRÍTICO - Incumplimiento Normativo SEPS",IF(AND(OR(LEFT(N978,2)="L4",LEFT(N978,2)="L5"),AND(P978&lt;&gt;"",P978&lt;&gt;"N/A")),"CONFORME - Control Efectivo ISO 27001","OBSERVACIÓN - Revisar Controles")))</f>
        <v/>
      </c>
    </row>
    <row r="979">
      <c r="A979">
        <f>IF(INVENTARIO!A979="","",INVENTARIO!A979)</f>
        <v/>
      </c>
      <c r="B979">
        <f>IF(INVENTARIO!E979="","",INVENTARIO!E979)</f>
        <v/>
      </c>
      <c r="C979">
        <f>IF(INVENTARIO!F979="","",INVENTARIO!F979)</f>
        <v/>
      </c>
      <c r="D979">
        <f>IF(INVENTARIO!H979="","",INVENTARIO!H979)</f>
        <v/>
      </c>
      <c r="E979">
        <f>IF(INVENTARIO!I979="","",INVENTARIO!I979)</f>
        <v/>
      </c>
      <c r="F979">
        <f>IF(INVENTARIO!N979="","",INVENTARIO!N979)</f>
        <v/>
      </c>
      <c r="G979">
        <f>IF(INVENTARIO!P979="","",INVENTARIO!P979)</f>
        <v/>
      </c>
      <c r="H979">
        <f>IF(INVENTARIO!Q979="","",INVENTARIO!Q979)</f>
        <v/>
      </c>
      <c r="I979">
        <f>IF(INVENTARIO!R979="","",INVENTARIO!R979)</f>
        <v/>
      </c>
      <c r="J979">
        <f>IF(G979="PUBLICA(1)",1,IF(G979="USO INTERNO(2)",2,IF(G979="RESTRINGIDO(3)",3,0)))+IF(H979="BAJA(1)",1,IF(H979="MEDIA(2)",2,IF(H979="ALTA(3)",3,0)))+IF(I979="BAJA(1)",1,IF(I979="MEDIA(2)",2,IF(I979="ALTA(3)",3,0)))</f>
        <v/>
      </c>
      <c r="K979">
        <f>IF(J979="", "", IF(J979&gt;=8,"ALTA",IF(J979&gt;=6,"MEDIA","BAJA")))</f>
        <v/>
      </c>
      <c r="L979">
        <f>IF(INVENTARIO!Y979="","",INVENTARIO!Y979)</f>
        <v/>
      </c>
      <c r="M979">
        <f>IF(INVENTARIO!Z979="","",INVENTARIO!Z979)</f>
        <v/>
      </c>
      <c r="N979">
        <f>IF(INVENTARIO!AA979="","",INVENTARIO!AA979)</f>
        <v/>
      </c>
      <c r="O979">
        <f>IF(INVENTARIO!AB979="","",INVENTARIO!AB979)</f>
        <v/>
      </c>
      <c r="P979">
        <f>IF(INVENTARIO!AC979="","",INVENTARIO!AC979)</f>
        <v/>
      </c>
      <c r="Q979">
        <f>IF(AND(K979="",N979="",L979=""),"",IF(AND((K979="ALTA"),OR(LEFT(N979,2)="L0",LEFT(N979,2)="L1",L979="No Iniciado")),"CRÍTICO - Incumplimiento Normativo SEPS",IF(AND(OR(LEFT(N979,2)="L4",LEFT(N979,2)="L5"),AND(P979&lt;&gt;"",P979&lt;&gt;"N/A")),"CONFORME - Control Efectivo ISO 27001","OBSERVACIÓN - Revisar Controles")))</f>
        <v/>
      </c>
    </row>
    <row r="980">
      <c r="A980">
        <f>IF(INVENTARIO!A980="","",INVENTARIO!A980)</f>
        <v/>
      </c>
      <c r="B980">
        <f>IF(INVENTARIO!E980="","",INVENTARIO!E980)</f>
        <v/>
      </c>
      <c r="C980">
        <f>IF(INVENTARIO!F980="","",INVENTARIO!F980)</f>
        <v/>
      </c>
      <c r="D980">
        <f>IF(INVENTARIO!H980="","",INVENTARIO!H980)</f>
        <v/>
      </c>
      <c r="E980">
        <f>IF(INVENTARIO!I980="","",INVENTARIO!I980)</f>
        <v/>
      </c>
      <c r="F980">
        <f>IF(INVENTARIO!N980="","",INVENTARIO!N980)</f>
        <v/>
      </c>
      <c r="G980">
        <f>IF(INVENTARIO!P980="","",INVENTARIO!P980)</f>
        <v/>
      </c>
      <c r="H980">
        <f>IF(INVENTARIO!Q980="","",INVENTARIO!Q980)</f>
        <v/>
      </c>
      <c r="I980">
        <f>IF(INVENTARIO!R980="","",INVENTARIO!R980)</f>
        <v/>
      </c>
      <c r="J980">
        <f>IF(G980="PUBLICA(1)",1,IF(G980="USO INTERNO(2)",2,IF(G980="RESTRINGIDO(3)",3,0)))+IF(H980="BAJA(1)",1,IF(H980="MEDIA(2)",2,IF(H980="ALTA(3)",3,0)))+IF(I980="BAJA(1)",1,IF(I980="MEDIA(2)",2,IF(I980="ALTA(3)",3,0)))</f>
        <v/>
      </c>
      <c r="K980">
        <f>IF(J980="", "", IF(J980&gt;=8,"ALTA",IF(J980&gt;=6,"MEDIA","BAJA")))</f>
        <v/>
      </c>
      <c r="L980">
        <f>IF(INVENTARIO!Y980="","",INVENTARIO!Y980)</f>
        <v/>
      </c>
      <c r="M980">
        <f>IF(INVENTARIO!Z980="","",INVENTARIO!Z980)</f>
        <v/>
      </c>
      <c r="N980">
        <f>IF(INVENTARIO!AA980="","",INVENTARIO!AA980)</f>
        <v/>
      </c>
      <c r="O980">
        <f>IF(INVENTARIO!AB980="","",INVENTARIO!AB980)</f>
        <v/>
      </c>
      <c r="P980">
        <f>IF(INVENTARIO!AC980="","",INVENTARIO!AC980)</f>
        <v/>
      </c>
      <c r="Q980">
        <f>IF(AND(K980="",N980="",L980=""),"",IF(AND((K980="ALTA"),OR(LEFT(N980,2)="L0",LEFT(N980,2)="L1",L980="No Iniciado")),"CRÍTICO - Incumplimiento Normativo SEPS",IF(AND(OR(LEFT(N980,2)="L4",LEFT(N980,2)="L5"),AND(P980&lt;&gt;"",P980&lt;&gt;"N/A")),"CONFORME - Control Efectivo ISO 27001","OBSERVACIÓN - Revisar Controles")))</f>
        <v/>
      </c>
    </row>
    <row r="981">
      <c r="A981">
        <f>IF(INVENTARIO!A981="","",INVENTARIO!A981)</f>
        <v/>
      </c>
      <c r="B981">
        <f>IF(INVENTARIO!E981="","",INVENTARIO!E981)</f>
        <v/>
      </c>
      <c r="C981">
        <f>IF(INVENTARIO!F981="","",INVENTARIO!F981)</f>
        <v/>
      </c>
      <c r="D981">
        <f>IF(INVENTARIO!H981="","",INVENTARIO!H981)</f>
        <v/>
      </c>
      <c r="E981">
        <f>IF(INVENTARIO!I981="","",INVENTARIO!I981)</f>
        <v/>
      </c>
      <c r="F981">
        <f>IF(INVENTARIO!N981="","",INVENTARIO!N981)</f>
        <v/>
      </c>
      <c r="G981">
        <f>IF(INVENTARIO!P981="","",INVENTARIO!P981)</f>
        <v/>
      </c>
      <c r="H981">
        <f>IF(INVENTARIO!Q981="","",INVENTARIO!Q981)</f>
        <v/>
      </c>
      <c r="I981">
        <f>IF(INVENTARIO!R981="","",INVENTARIO!R981)</f>
        <v/>
      </c>
      <c r="J981">
        <f>IF(G981="PUBLICA(1)",1,IF(G981="USO INTERNO(2)",2,IF(G981="RESTRINGIDO(3)",3,0)))+IF(H981="BAJA(1)",1,IF(H981="MEDIA(2)",2,IF(H981="ALTA(3)",3,0)))+IF(I981="BAJA(1)",1,IF(I981="MEDIA(2)",2,IF(I981="ALTA(3)",3,0)))</f>
        <v/>
      </c>
      <c r="K981">
        <f>IF(J981="", "", IF(J981&gt;=8,"ALTA",IF(J981&gt;=6,"MEDIA","BAJA")))</f>
        <v/>
      </c>
      <c r="L981">
        <f>IF(INVENTARIO!Y981="","",INVENTARIO!Y981)</f>
        <v/>
      </c>
      <c r="M981">
        <f>IF(INVENTARIO!Z981="","",INVENTARIO!Z981)</f>
        <v/>
      </c>
      <c r="N981">
        <f>IF(INVENTARIO!AA981="","",INVENTARIO!AA981)</f>
        <v/>
      </c>
      <c r="O981">
        <f>IF(INVENTARIO!AB981="","",INVENTARIO!AB981)</f>
        <v/>
      </c>
      <c r="P981">
        <f>IF(INVENTARIO!AC981="","",INVENTARIO!AC981)</f>
        <v/>
      </c>
      <c r="Q981">
        <f>IF(AND(K981="",N981="",L981=""),"",IF(AND((K981="ALTA"),OR(LEFT(N981,2)="L0",LEFT(N981,2)="L1",L981="No Iniciado")),"CRÍTICO - Incumplimiento Normativo SEPS",IF(AND(OR(LEFT(N981,2)="L4",LEFT(N981,2)="L5"),AND(P981&lt;&gt;"",P981&lt;&gt;"N/A")),"CONFORME - Control Efectivo ISO 27001","OBSERVACIÓN - Revisar Controles")))</f>
        <v/>
      </c>
    </row>
    <row r="982">
      <c r="A982">
        <f>IF(INVENTARIO!A982="","",INVENTARIO!A982)</f>
        <v/>
      </c>
      <c r="B982">
        <f>IF(INVENTARIO!E982="","",INVENTARIO!E982)</f>
        <v/>
      </c>
      <c r="C982">
        <f>IF(INVENTARIO!F982="","",INVENTARIO!F982)</f>
        <v/>
      </c>
      <c r="D982">
        <f>IF(INVENTARIO!H982="","",INVENTARIO!H982)</f>
        <v/>
      </c>
      <c r="E982">
        <f>IF(INVENTARIO!I982="","",INVENTARIO!I982)</f>
        <v/>
      </c>
      <c r="F982">
        <f>IF(INVENTARIO!N982="","",INVENTARIO!N982)</f>
        <v/>
      </c>
      <c r="G982">
        <f>IF(INVENTARIO!P982="","",INVENTARIO!P982)</f>
        <v/>
      </c>
      <c r="H982">
        <f>IF(INVENTARIO!Q982="","",INVENTARIO!Q982)</f>
        <v/>
      </c>
      <c r="I982">
        <f>IF(INVENTARIO!R982="","",INVENTARIO!R982)</f>
        <v/>
      </c>
      <c r="J982">
        <f>IF(G982="PUBLICA(1)",1,IF(G982="USO INTERNO(2)",2,IF(G982="RESTRINGIDO(3)",3,0)))+IF(H982="BAJA(1)",1,IF(H982="MEDIA(2)",2,IF(H982="ALTA(3)",3,0)))+IF(I982="BAJA(1)",1,IF(I982="MEDIA(2)",2,IF(I982="ALTA(3)",3,0)))</f>
        <v/>
      </c>
      <c r="K982">
        <f>IF(J982="", "", IF(J982&gt;=8,"ALTA",IF(J982&gt;=6,"MEDIA","BAJA")))</f>
        <v/>
      </c>
      <c r="L982">
        <f>IF(INVENTARIO!Y982="","",INVENTARIO!Y982)</f>
        <v/>
      </c>
      <c r="M982">
        <f>IF(INVENTARIO!Z982="","",INVENTARIO!Z982)</f>
        <v/>
      </c>
      <c r="N982">
        <f>IF(INVENTARIO!AA982="","",INVENTARIO!AA982)</f>
        <v/>
      </c>
      <c r="O982">
        <f>IF(INVENTARIO!AB982="","",INVENTARIO!AB982)</f>
        <v/>
      </c>
      <c r="P982">
        <f>IF(INVENTARIO!AC982="","",INVENTARIO!AC982)</f>
        <v/>
      </c>
      <c r="Q982">
        <f>IF(AND(K982="",N982="",L982=""),"",IF(AND((K982="ALTA"),OR(LEFT(N982,2)="L0",LEFT(N982,2)="L1",L982="No Iniciado")),"CRÍTICO - Incumplimiento Normativo SEPS",IF(AND(OR(LEFT(N982,2)="L4",LEFT(N982,2)="L5"),AND(P982&lt;&gt;"",P982&lt;&gt;"N/A")),"CONFORME - Control Efectivo ISO 27001","OBSERVACIÓN - Revisar Controles")))</f>
        <v/>
      </c>
    </row>
    <row r="983">
      <c r="A983">
        <f>IF(INVENTARIO!A983="","",INVENTARIO!A983)</f>
        <v/>
      </c>
      <c r="B983">
        <f>IF(INVENTARIO!E983="","",INVENTARIO!E983)</f>
        <v/>
      </c>
      <c r="C983">
        <f>IF(INVENTARIO!F983="","",INVENTARIO!F983)</f>
        <v/>
      </c>
      <c r="D983">
        <f>IF(INVENTARIO!H983="","",INVENTARIO!H983)</f>
        <v/>
      </c>
      <c r="E983">
        <f>IF(INVENTARIO!I983="","",INVENTARIO!I983)</f>
        <v/>
      </c>
      <c r="F983">
        <f>IF(INVENTARIO!N983="","",INVENTARIO!N983)</f>
        <v/>
      </c>
      <c r="G983">
        <f>IF(INVENTARIO!P983="","",INVENTARIO!P983)</f>
        <v/>
      </c>
      <c r="H983">
        <f>IF(INVENTARIO!Q983="","",INVENTARIO!Q983)</f>
        <v/>
      </c>
      <c r="I983">
        <f>IF(INVENTARIO!R983="","",INVENTARIO!R983)</f>
        <v/>
      </c>
      <c r="J983">
        <f>IF(G983="PUBLICA(1)",1,IF(G983="USO INTERNO(2)",2,IF(G983="RESTRINGIDO(3)",3,0)))+IF(H983="BAJA(1)",1,IF(H983="MEDIA(2)",2,IF(H983="ALTA(3)",3,0)))+IF(I983="BAJA(1)",1,IF(I983="MEDIA(2)",2,IF(I983="ALTA(3)",3,0)))</f>
        <v/>
      </c>
      <c r="K983">
        <f>IF(J983="", "", IF(J983&gt;=8,"ALTA",IF(J983&gt;=6,"MEDIA","BAJA")))</f>
        <v/>
      </c>
      <c r="L983">
        <f>IF(INVENTARIO!Y983="","",INVENTARIO!Y983)</f>
        <v/>
      </c>
      <c r="M983">
        <f>IF(INVENTARIO!Z983="","",INVENTARIO!Z983)</f>
        <v/>
      </c>
      <c r="N983">
        <f>IF(INVENTARIO!AA983="","",INVENTARIO!AA983)</f>
        <v/>
      </c>
      <c r="O983">
        <f>IF(INVENTARIO!AB983="","",INVENTARIO!AB983)</f>
        <v/>
      </c>
      <c r="P983">
        <f>IF(INVENTARIO!AC983="","",INVENTARIO!AC983)</f>
        <v/>
      </c>
      <c r="Q983">
        <f>IF(AND(K983="",N983="",L983=""),"",IF(AND((K983="ALTA"),OR(LEFT(N983,2)="L0",LEFT(N983,2)="L1",L983="No Iniciado")),"CRÍTICO - Incumplimiento Normativo SEPS",IF(AND(OR(LEFT(N983,2)="L4",LEFT(N983,2)="L5"),AND(P983&lt;&gt;"",P983&lt;&gt;"N/A")),"CONFORME - Control Efectivo ISO 27001","OBSERVACIÓN - Revisar Controles")))</f>
        <v/>
      </c>
    </row>
    <row r="984">
      <c r="A984">
        <f>IF(INVENTARIO!A984="","",INVENTARIO!A984)</f>
        <v/>
      </c>
      <c r="B984">
        <f>IF(INVENTARIO!E984="","",INVENTARIO!E984)</f>
        <v/>
      </c>
      <c r="C984">
        <f>IF(INVENTARIO!F984="","",INVENTARIO!F984)</f>
        <v/>
      </c>
      <c r="D984">
        <f>IF(INVENTARIO!H984="","",INVENTARIO!H984)</f>
        <v/>
      </c>
      <c r="E984">
        <f>IF(INVENTARIO!I984="","",INVENTARIO!I984)</f>
        <v/>
      </c>
      <c r="F984">
        <f>IF(INVENTARIO!N984="","",INVENTARIO!N984)</f>
        <v/>
      </c>
      <c r="G984">
        <f>IF(INVENTARIO!P984="","",INVENTARIO!P984)</f>
        <v/>
      </c>
      <c r="H984">
        <f>IF(INVENTARIO!Q984="","",INVENTARIO!Q984)</f>
        <v/>
      </c>
      <c r="I984">
        <f>IF(INVENTARIO!R984="","",INVENTARIO!R984)</f>
        <v/>
      </c>
      <c r="J984">
        <f>IF(G984="PUBLICA(1)",1,IF(G984="USO INTERNO(2)",2,IF(G984="RESTRINGIDO(3)",3,0)))+IF(H984="BAJA(1)",1,IF(H984="MEDIA(2)",2,IF(H984="ALTA(3)",3,0)))+IF(I984="BAJA(1)",1,IF(I984="MEDIA(2)",2,IF(I984="ALTA(3)",3,0)))</f>
        <v/>
      </c>
      <c r="K984">
        <f>IF(J984="", "", IF(J984&gt;=8,"ALTA",IF(J984&gt;=6,"MEDIA","BAJA")))</f>
        <v/>
      </c>
      <c r="L984">
        <f>IF(INVENTARIO!Y984="","",INVENTARIO!Y984)</f>
        <v/>
      </c>
      <c r="M984">
        <f>IF(INVENTARIO!Z984="","",INVENTARIO!Z984)</f>
        <v/>
      </c>
      <c r="N984">
        <f>IF(INVENTARIO!AA984="","",INVENTARIO!AA984)</f>
        <v/>
      </c>
      <c r="O984">
        <f>IF(INVENTARIO!AB984="","",INVENTARIO!AB984)</f>
        <v/>
      </c>
      <c r="P984">
        <f>IF(INVENTARIO!AC984="","",INVENTARIO!AC984)</f>
        <v/>
      </c>
      <c r="Q984">
        <f>IF(AND(K984="",N984="",L984=""),"",IF(AND((K984="ALTA"),OR(LEFT(N984,2)="L0",LEFT(N984,2)="L1",L984="No Iniciado")),"CRÍTICO - Incumplimiento Normativo SEPS",IF(AND(OR(LEFT(N984,2)="L4",LEFT(N984,2)="L5"),AND(P984&lt;&gt;"",P984&lt;&gt;"N/A")),"CONFORME - Control Efectivo ISO 27001","OBSERVACIÓN - Revisar Controles")))</f>
        <v/>
      </c>
    </row>
    <row r="985">
      <c r="A985">
        <f>IF(INVENTARIO!A985="","",INVENTARIO!A985)</f>
        <v/>
      </c>
      <c r="B985">
        <f>IF(INVENTARIO!E985="","",INVENTARIO!E985)</f>
        <v/>
      </c>
      <c r="C985">
        <f>IF(INVENTARIO!F985="","",INVENTARIO!F985)</f>
        <v/>
      </c>
      <c r="D985">
        <f>IF(INVENTARIO!H985="","",INVENTARIO!H985)</f>
        <v/>
      </c>
      <c r="E985">
        <f>IF(INVENTARIO!I985="","",INVENTARIO!I985)</f>
        <v/>
      </c>
      <c r="F985">
        <f>IF(INVENTARIO!N985="","",INVENTARIO!N985)</f>
        <v/>
      </c>
      <c r="G985">
        <f>IF(INVENTARIO!P985="","",INVENTARIO!P985)</f>
        <v/>
      </c>
      <c r="H985">
        <f>IF(INVENTARIO!Q985="","",INVENTARIO!Q985)</f>
        <v/>
      </c>
      <c r="I985">
        <f>IF(INVENTARIO!R985="","",INVENTARIO!R985)</f>
        <v/>
      </c>
      <c r="J985">
        <f>IF(G985="PUBLICA(1)",1,IF(G985="USO INTERNO(2)",2,IF(G985="RESTRINGIDO(3)",3,0)))+IF(H985="BAJA(1)",1,IF(H985="MEDIA(2)",2,IF(H985="ALTA(3)",3,0)))+IF(I985="BAJA(1)",1,IF(I985="MEDIA(2)",2,IF(I985="ALTA(3)",3,0)))</f>
        <v/>
      </c>
      <c r="K985">
        <f>IF(J985="", "", IF(J985&gt;=8,"ALTA",IF(J985&gt;=6,"MEDIA","BAJA")))</f>
        <v/>
      </c>
      <c r="L985">
        <f>IF(INVENTARIO!Y985="","",INVENTARIO!Y985)</f>
        <v/>
      </c>
      <c r="M985">
        <f>IF(INVENTARIO!Z985="","",INVENTARIO!Z985)</f>
        <v/>
      </c>
      <c r="N985">
        <f>IF(INVENTARIO!AA985="","",INVENTARIO!AA985)</f>
        <v/>
      </c>
      <c r="O985">
        <f>IF(INVENTARIO!AB985="","",INVENTARIO!AB985)</f>
        <v/>
      </c>
      <c r="P985">
        <f>IF(INVENTARIO!AC985="","",INVENTARIO!AC985)</f>
        <v/>
      </c>
      <c r="Q985">
        <f>IF(AND(K985="",N985="",L985=""),"",IF(AND((K985="ALTA"),OR(LEFT(N985,2)="L0",LEFT(N985,2)="L1",L985="No Iniciado")),"CRÍTICO - Incumplimiento Normativo SEPS",IF(AND(OR(LEFT(N985,2)="L4",LEFT(N985,2)="L5"),AND(P985&lt;&gt;"",P985&lt;&gt;"N/A")),"CONFORME - Control Efectivo ISO 27001","OBSERVACIÓN - Revisar Controles")))</f>
        <v/>
      </c>
    </row>
    <row r="986">
      <c r="A986">
        <f>IF(INVENTARIO!A986="","",INVENTARIO!A986)</f>
        <v/>
      </c>
      <c r="B986">
        <f>IF(INVENTARIO!E986="","",INVENTARIO!E986)</f>
        <v/>
      </c>
      <c r="C986">
        <f>IF(INVENTARIO!F986="","",INVENTARIO!F986)</f>
        <v/>
      </c>
      <c r="D986">
        <f>IF(INVENTARIO!H986="","",INVENTARIO!H986)</f>
        <v/>
      </c>
      <c r="E986">
        <f>IF(INVENTARIO!I986="","",INVENTARIO!I986)</f>
        <v/>
      </c>
      <c r="F986">
        <f>IF(INVENTARIO!N986="","",INVENTARIO!N986)</f>
        <v/>
      </c>
      <c r="G986">
        <f>IF(INVENTARIO!P986="","",INVENTARIO!P986)</f>
        <v/>
      </c>
      <c r="H986">
        <f>IF(INVENTARIO!Q986="","",INVENTARIO!Q986)</f>
        <v/>
      </c>
      <c r="I986">
        <f>IF(INVENTARIO!R986="","",INVENTARIO!R986)</f>
        <v/>
      </c>
      <c r="J986">
        <f>IF(G986="PUBLICA(1)",1,IF(G986="USO INTERNO(2)",2,IF(G986="RESTRINGIDO(3)",3,0)))+IF(H986="BAJA(1)",1,IF(H986="MEDIA(2)",2,IF(H986="ALTA(3)",3,0)))+IF(I986="BAJA(1)",1,IF(I986="MEDIA(2)",2,IF(I986="ALTA(3)",3,0)))</f>
        <v/>
      </c>
      <c r="K986">
        <f>IF(J986="", "", IF(J986&gt;=8,"ALTA",IF(J986&gt;=6,"MEDIA","BAJA")))</f>
        <v/>
      </c>
      <c r="L986">
        <f>IF(INVENTARIO!Y986="","",INVENTARIO!Y986)</f>
        <v/>
      </c>
      <c r="M986">
        <f>IF(INVENTARIO!Z986="","",INVENTARIO!Z986)</f>
        <v/>
      </c>
      <c r="N986">
        <f>IF(INVENTARIO!AA986="","",INVENTARIO!AA986)</f>
        <v/>
      </c>
      <c r="O986">
        <f>IF(INVENTARIO!AB986="","",INVENTARIO!AB986)</f>
        <v/>
      </c>
      <c r="P986">
        <f>IF(INVENTARIO!AC986="","",INVENTARIO!AC986)</f>
        <v/>
      </c>
      <c r="Q986">
        <f>IF(AND(K986="",N986="",L986=""),"",IF(AND((K986="ALTA"),OR(LEFT(N986,2)="L0",LEFT(N986,2)="L1",L986="No Iniciado")),"CRÍTICO - Incumplimiento Normativo SEPS",IF(AND(OR(LEFT(N986,2)="L4",LEFT(N986,2)="L5"),AND(P986&lt;&gt;"",P986&lt;&gt;"N/A")),"CONFORME - Control Efectivo ISO 27001","OBSERVACIÓN - Revisar Controles")))</f>
        <v/>
      </c>
    </row>
    <row r="987">
      <c r="A987">
        <f>IF(INVENTARIO!A987="","",INVENTARIO!A987)</f>
        <v/>
      </c>
      <c r="B987">
        <f>IF(INVENTARIO!E987="","",INVENTARIO!E987)</f>
        <v/>
      </c>
      <c r="C987">
        <f>IF(INVENTARIO!F987="","",INVENTARIO!F987)</f>
        <v/>
      </c>
      <c r="D987">
        <f>IF(INVENTARIO!H987="","",INVENTARIO!H987)</f>
        <v/>
      </c>
      <c r="E987">
        <f>IF(INVENTARIO!I987="","",INVENTARIO!I987)</f>
        <v/>
      </c>
      <c r="F987">
        <f>IF(INVENTARIO!N987="","",INVENTARIO!N987)</f>
        <v/>
      </c>
      <c r="G987">
        <f>IF(INVENTARIO!P987="","",INVENTARIO!P987)</f>
        <v/>
      </c>
      <c r="H987">
        <f>IF(INVENTARIO!Q987="","",INVENTARIO!Q987)</f>
        <v/>
      </c>
      <c r="I987">
        <f>IF(INVENTARIO!R987="","",INVENTARIO!R987)</f>
        <v/>
      </c>
      <c r="J987">
        <f>IF(G987="PUBLICA(1)",1,IF(G987="USO INTERNO(2)",2,IF(G987="RESTRINGIDO(3)",3,0)))+IF(H987="BAJA(1)",1,IF(H987="MEDIA(2)",2,IF(H987="ALTA(3)",3,0)))+IF(I987="BAJA(1)",1,IF(I987="MEDIA(2)",2,IF(I987="ALTA(3)",3,0)))</f>
        <v/>
      </c>
      <c r="K987">
        <f>IF(J987="", "", IF(J987&gt;=8,"ALTA",IF(J987&gt;=6,"MEDIA","BAJA")))</f>
        <v/>
      </c>
      <c r="L987">
        <f>IF(INVENTARIO!Y987="","",INVENTARIO!Y987)</f>
        <v/>
      </c>
      <c r="M987">
        <f>IF(INVENTARIO!Z987="","",INVENTARIO!Z987)</f>
        <v/>
      </c>
      <c r="N987">
        <f>IF(INVENTARIO!AA987="","",INVENTARIO!AA987)</f>
        <v/>
      </c>
      <c r="O987">
        <f>IF(INVENTARIO!AB987="","",INVENTARIO!AB987)</f>
        <v/>
      </c>
      <c r="P987">
        <f>IF(INVENTARIO!AC987="","",INVENTARIO!AC987)</f>
        <v/>
      </c>
      <c r="Q987">
        <f>IF(AND(K987="",N987="",L987=""),"",IF(AND((K987="ALTA"),OR(LEFT(N987,2)="L0",LEFT(N987,2)="L1",L987="No Iniciado")),"CRÍTICO - Incumplimiento Normativo SEPS",IF(AND(OR(LEFT(N987,2)="L4",LEFT(N987,2)="L5"),AND(P987&lt;&gt;"",P987&lt;&gt;"N/A")),"CONFORME - Control Efectivo ISO 27001","OBSERVACIÓN - Revisar Controles")))</f>
        <v/>
      </c>
    </row>
    <row r="988">
      <c r="A988">
        <f>IF(INVENTARIO!A988="","",INVENTARIO!A988)</f>
        <v/>
      </c>
      <c r="B988">
        <f>IF(INVENTARIO!E988="","",INVENTARIO!E988)</f>
        <v/>
      </c>
      <c r="C988">
        <f>IF(INVENTARIO!F988="","",INVENTARIO!F988)</f>
        <v/>
      </c>
      <c r="D988">
        <f>IF(INVENTARIO!H988="","",INVENTARIO!H988)</f>
        <v/>
      </c>
      <c r="E988">
        <f>IF(INVENTARIO!I988="","",INVENTARIO!I988)</f>
        <v/>
      </c>
      <c r="F988">
        <f>IF(INVENTARIO!N988="","",INVENTARIO!N988)</f>
        <v/>
      </c>
      <c r="G988">
        <f>IF(INVENTARIO!P988="","",INVENTARIO!P988)</f>
        <v/>
      </c>
      <c r="H988">
        <f>IF(INVENTARIO!Q988="","",INVENTARIO!Q988)</f>
        <v/>
      </c>
      <c r="I988">
        <f>IF(INVENTARIO!R988="","",INVENTARIO!R988)</f>
        <v/>
      </c>
      <c r="J988">
        <f>IF(G988="PUBLICA(1)",1,IF(G988="USO INTERNO(2)",2,IF(G988="RESTRINGIDO(3)",3,0)))+IF(H988="BAJA(1)",1,IF(H988="MEDIA(2)",2,IF(H988="ALTA(3)",3,0)))+IF(I988="BAJA(1)",1,IF(I988="MEDIA(2)",2,IF(I988="ALTA(3)",3,0)))</f>
        <v/>
      </c>
      <c r="K988">
        <f>IF(J988="", "", IF(J988&gt;=8,"ALTA",IF(J988&gt;=6,"MEDIA","BAJA")))</f>
        <v/>
      </c>
      <c r="L988">
        <f>IF(INVENTARIO!Y988="","",INVENTARIO!Y988)</f>
        <v/>
      </c>
      <c r="M988">
        <f>IF(INVENTARIO!Z988="","",INVENTARIO!Z988)</f>
        <v/>
      </c>
      <c r="N988">
        <f>IF(INVENTARIO!AA988="","",INVENTARIO!AA988)</f>
        <v/>
      </c>
      <c r="O988">
        <f>IF(INVENTARIO!AB988="","",INVENTARIO!AB988)</f>
        <v/>
      </c>
      <c r="P988">
        <f>IF(INVENTARIO!AC988="","",INVENTARIO!AC988)</f>
        <v/>
      </c>
      <c r="Q988">
        <f>IF(AND(K988="",N988="",L988=""),"",IF(AND((K988="ALTA"),OR(LEFT(N988,2)="L0",LEFT(N988,2)="L1",L988="No Iniciado")),"CRÍTICO - Incumplimiento Normativo SEPS",IF(AND(OR(LEFT(N988,2)="L4",LEFT(N988,2)="L5"),AND(P988&lt;&gt;"",P988&lt;&gt;"N/A")),"CONFORME - Control Efectivo ISO 27001","OBSERVACIÓN - Revisar Controles")))</f>
        <v/>
      </c>
    </row>
    <row r="989">
      <c r="A989">
        <f>IF(INVENTARIO!A989="","",INVENTARIO!A989)</f>
        <v/>
      </c>
      <c r="B989">
        <f>IF(INVENTARIO!E989="","",INVENTARIO!E989)</f>
        <v/>
      </c>
      <c r="C989">
        <f>IF(INVENTARIO!F989="","",INVENTARIO!F989)</f>
        <v/>
      </c>
      <c r="D989">
        <f>IF(INVENTARIO!H989="","",INVENTARIO!H989)</f>
        <v/>
      </c>
      <c r="E989">
        <f>IF(INVENTARIO!I989="","",INVENTARIO!I989)</f>
        <v/>
      </c>
      <c r="F989">
        <f>IF(INVENTARIO!N989="","",INVENTARIO!N989)</f>
        <v/>
      </c>
      <c r="G989">
        <f>IF(INVENTARIO!P989="","",INVENTARIO!P989)</f>
        <v/>
      </c>
      <c r="H989">
        <f>IF(INVENTARIO!Q989="","",INVENTARIO!Q989)</f>
        <v/>
      </c>
      <c r="I989">
        <f>IF(INVENTARIO!R989="","",INVENTARIO!R989)</f>
        <v/>
      </c>
      <c r="J989">
        <f>IF(G989="PUBLICA(1)",1,IF(G989="USO INTERNO(2)",2,IF(G989="RESTRINGIDO(3)",3,0)))+IF(H989="BAJA(1)",1,IF(H989="MEDIA(2)",2,IF(H989="ALTA(3)",3,0)))+IF(I989="BAJA(1)",1,IF(I989="MEDIA(2)",2,IF(I989="ALTA(3)",3,0)))</f>
        <v/>
      </c>
      <c r="K989">
        <f>IF(J989="", "", IF(J989&gt;=8,"ALTA",IF(J989&gt;=6,"MEDIA","BAJA")))</f>
        <v/>
      </c>
      <c r="L989">
        <f>IF(INVENTARIO!Y989="","",INVENTARIO!Y989)</f>
        <v/>
      </c>
      <c r="M989">
        <f>IF(INVENTARIO!Z989="","",INVENTARIO!Z989)</f>
        <v/>
      </c>
      <c r="N989">
        <f>IF(INVENTARIO!AA989="","",INVENTARIO!AA989)</f>
        <v/>
      </c>
      <c r="O989">
        <f>IF(INVENTARIO!AB989="","",INVENTARIO!AB989)</f>
        <v/>
      </c>
      <c r="P989">
        <f>IF(INVENTARIO!AC989="","",INVENTARIO!AC989)</f>
        <v/>
      </c>
      <c r="Q989">
        <f>IF(AND(K989="",N989="",L989=""),"",IF(AND((K989="ALTA"),OR(LEFT(N989,2)="L0",LEFT(N989,2)="L1",L989="No Iniciado")),"CRÍTICO - Incumplimiento Normativo SEPS",IF(AND(OR(LEFT(N989,2)="L4",LEFT(N989,2)="L5"),AND(P989&lt;&gt;"",P989&lt;&gt;"N/A")),"CONFORME - Control Efectivo ISO 27001","OBSERVACIÓN - Revisar Controles")))</f>
        <v/>
      </c>
    </row>
    <row r="990">
      <c r="A990">
        <f>IF(INVENTARIO!A990="","",INVENTARIO!A990)</f>
        <v/>
      </c>
      <c r="B990">
        <f>IF(INVENTARIO!E990="","",INVENTARIO!E990)</f>
        <v/>
      </c>
      <c r="C990">
        <f>IF(INVENTARIO!F990="","",INVENTARIO!F990)</f>
        <v/>
      </c>
      <c r="D990">
        <f>IF(INVENTARIO!H990="","",INVENTARIO!H990)</f>
        <v/>
      </c>
      <c r="E990">
        <f>IF(INVENTARIO!I990="","",INVENTARIO!I990)</f>
        <v/>
      </c>
      <c r="F990">
        <f>IF(INVENTARIO!N990="","",INVENTARIO!N990)</f>
        <v/>
      </c>
      <c r="G990">
        <f>IF(INVENTARIO!P990="","",INVENTARIO!P990)</f>
        <v/>
      </c>
      <c r="H990">
        <f>IF(INVENTARIO!Q990="","",INVENTARIO!Q990)</f>
        <v/>
      </c>
      <c r="I990">
        <f>IF(INVENTARIO!R990="","",INVENTARIO!R990)</f>
        <v/>
      </c>
      <c r="J990">
        <f>IF(G990="PUBLICA(1)",1,IF(G990="USO INTERNO(2)",2,IF(G990="RESTRINGIDO(3)",3,0)))+IF(H990="BAJA(1)",1,IF(H990="MEDIA(2)",2,IF(H990="ALTA(3)",3,0)))+IF(I990="BAJA(1)",1,IF(I990="MEDIA(2)",2,IF(I990="ALTA(3)",3,0)))</f>
        <v/>
      </c>
      <c r="K990">
        <f>IF(J990="", "", IF(J990&gt;=8,"ALTA",IF(J990&gt;=6,"MEDIA","BAJA")))</f>
        <v/>
      </c>
      <c r="L990">
        <f>IF(INVENTARIO!Y990="","",INVENTARIO!Y990)</f>
        <v/>
      </c>
      <c r="M990">
        <f>IF(INVENTARIO!Z990="","",INVENTARIO!Z990)</f>
        <v/>
      </c>
      <c r="N990">
        <f>IF(INVENTARIO!AA990="","",INVENTARIO!AA990)</f>
        <v/>
      </c>
      <c r="O990">
        <f>IF(INVENTARIO!AB990="","",INVENTARIO!AB990)</f>
        <v/>
      </c>
      <c r="P990">
        <f>IF(INVENTARIO!AC990="","",INVENTARIO!AC990)</f>
        <v/>
      </c>
      <c r="Q990">
        <f>IF(AND(K990="",N990="",L990=""),"",IF(AND((K990="ALTA"),OR(LEFT(N990,2)="L0",LEFT(N990,2)="L1",L990="No Iniciado")),"CRÍTICO - Incumplimiento Normativo SEPS",IF(AND(OR(LEFT(N990,2)="L4",LEFT(N990,2)="L5"),AND(P990&lt;&gt;"",P990&lt;&gt;"N/A")),"CONFORME - Control Efectivo ISO 27001","OBSERVACIÓN - Revisar Controles")))</f>
        <v/>
      </c>
    </row>
    <row r="991">
      <c r="A991">
        <f>IF(INVENTARIO!A991="","",INVENTARIO!A991)</f>
        <v/>
      </c>
      <c r="B991">
        <f>IF(INVENTARIO!E991="","",INVENTARIO!E991)</f>
        <v/>
      </c>
      <c r="C991">
        <f>IF(INVENTARIO!F991="","",INVENTARIO!F991)</f>
        <v/>
      </c>
      <c r="D991">
        <f>IF(INVENTARIO!H991="","",INVENTARIO!H991)</f>
        <v/>
      </c>
      <c r="E991">
        <f>IF(INVENTARIO!I991="","",INVENTARIO!I991)</f>
        <v/>
      </c>
      <c r="F991">
        <f>IF(INVENTARIO!N991="","",INVENTARIO!N991)</f>
        <v/>
      </c>
      <c r="G991">
        <f>IF(INVENTARIO!P991="","",INVENTARIO!P991)</f>
        <v/>
      </c>
      <c r="H991">
        <f>IF(INVENTARIO!Q991="","",INVENTARIO!Q991)</f>
        <v/>
      </c>
      <c r="I991">
        <f>IF(INVENTARIO!R991="","",INVENTARIO!R991)</f>
        <v/>
      </c>
      <c r="J991">
        <f>IF(G991="PUBLICA(1)",1,IF(G991="USO INTERNO(2)",2,IF(G991="RESTRINGIDO(3)",3,0)))+IF(H991="BAJA(1)",1,IF(H991="MEDIA(2)",2,IF(H991="ALTA(3)",3,0)))+IF(I991="BAJA(1)",1,IF(I991="MEDIA(2)",2,IF(I991="ALTA(3)",3,0)))</f>
        <v/>
      </c>
      <c r="K991">
        <f>IF(J991="", "", IF(J991&gt;=8,"ALTA",IF(J991&gt;=6,"MEDIA","BAJA")))</f>
        <v/>
      </c>
      <c r="L991">
        <f>IF(INVENTARIO!Y991="","",INVENTARIO!Y991)</f>
        <v/>
      </c>
      <c r="M991">
        <f>IF(INVENTARIO!Z991="","",INVENTARIO!Z991)</f>
        <v/>
      </c>
      <c r="N991">
        <f>IF(INVENTARIO!AA991="","",INVENTARIO!AA991)</f>
        <v/>
      </c>
      <c r="O991">
        <f>IF(INVENTARIO!AB991="","",INVENTARIO!AB991)</f>
        <v/>
      </c>
      <c r="P991">
        <f>IF(INVENTARIO!AC991="","",INVENTARIO!AC991)</f>
        <v/>
      </c>
      <c r="Q991">
        <f>IF(AND(K991="",N991="",L991=""),"",IF(AND((K991="ALTA"),OR(LEFT(N991,2)="L0",LEFT(N991,2)="L1",L991="No Iniciado")),"CRÍTICO - Incumplimiento Normativo SEPS",IF(AND(OR(LEFT(N991,2)="L4",LEFT(N991,2)="L5"),AND(P991&lt;&gt;"",P991&lt;&gt;"N/A")),"CONFORME - Control Efectivo ISO 27001","OBSERVACIÓN - Revisar Controles")))</f>
        <v/>
      </c>
    </row>
    <row r="992">
      <c r="A992">
        <f>IF(INVENTARIO!A992="","",INVENTARIO!A992)</f>
        <v/>
      </c>
      <c r="B992">
        <f>IF(INVENTARIO!E992="","",INVENTARIO!E992)</f>
        <v/>
      </c>
      <c r="C992">
        <f>IF(INVENTARIO!F992="","",INVENTARIO!F992)</f>
        <v/>
      </c>
      <c r="D992">
        <f>IF(INVENTARIO!H992="","",INVENTARIO!H992)</f>
        <v/>
      </c>
      <c r="E992">
        <f>IF(INVENTARIO!I992="","",INVENTARIO!I992)</f>
        <v/>
      </c>
      <c r="F992">
        <f>IF(INVENTARIO!N992="","",INVENTARIO!N992)</f>
        <v/>
      </c>
      <c r="G992">
        <f>IF(INVENTARIO!P992="","",INVENTARIO!P992)</f>
        <v/>
      </c>
      <c r="H992">
        <f>IF(INVENTARIO!Q992="","",INVENTARIO!Q992)</f>
        <v/>
      </c>
      <c r="I992">
        <f>IF(INVENTARIO!R992="","",INVENTARIO!R992)</f>
        <v/>
      </c>
      <c r="J992">
        <f>IF(G992="PUBLICA(1)",1,IF(G992="USO INTERNO(2)",2,IF(G992="RESTRINGIDO(3)",3,0)))+IF(H992="BAJA(1)",1,IF(H992="MEDIA(2)",2,IF(H992="ALTA(3)",3,0)))+IF(I992="BAJA(1)",1,IF(I992="MEDIA(2)",2,IF(I992="ALTA(3)",3,0)))</f>
        <v/>
      </c>
      <c r="K992">
        <f>IF(J992="", "", IF(J992&gt;=8,"ALTA",IF(J992&gt;=6,"MEDIA","BAJA")))</f>
        <v/>
      </c>
      <c r="L992">
        <f>IF(INVENTARIO!Y992="","",INVENTARIO!Y992)</f>
        <v/>
      </c>
      <c r="M992">
        <f>IF(INVENTARIO!Z992="","",INVENTARIO!Z992)</f>
        <v/>
      </c>
      <c r="N992">
        <f>IF(INVENTARIO!AA992="","",INVENTARIO!AA992)</f>
        <v/>
      </c>
      <c r="O992">
        <f>IF(INVENTARIO!AB992="","",INVENTARIO!AB992)</f>
        <v/>
      </c>
      <c r="P992">
        <f>IF(INVENTARIO!AC992="","",INVENTARIO!AC992)</f>
        <v/>
      </c>
      <c r="Q992">
        <f>IF(AND(K992="",N992="",L992=""),"",IF(AND((K992="ALTA"),OR(LEFT(N992,2)="L0",LEFT(N992,2)="L1",L992="No Iniciado")),"CRÍTICO - Incumplimiento Normativo SEPS",IF(AND(OR(LEFT(N992,2)="L4",LEFT(N992,2)="L5"),AND(P992&lt;&gt;"",P992&lt;&gt;"N/A")),"CONFORME - Control Efectivo ISO 27001","OBSERVACIÓN - Revisar Controles")))</f>
        <v/>
      </c>
    </row>
    <row r="993">
      <c r="A993">
        <f>IF(INVENTARIO!A993="","",INVENTARIO!A993)</f>
        <v/>
      </c>
      <c r="B993">
        <f>IF(INVENTARIO!E993="","",INVENTARIO!E993)</f>
        <v/>
      </c>
      <c r="C993">
        <f>IF(INVENTARIO!F993="","",INVENTARIO!F993)</f>
        <v/>
      </c>
      <c r="D993">
        <f>IF(INVENTARIO!H993="","",INVENTARIO!H993)</f>
        <v/>
      </c>
      <c r="E993">
        <f>IF(INVENTARIO!I993="","",INVENTARIO!I993)</f>
        <v/>
      </c>
      <c r="F993">
        <f>IF(INVENTARIO!N993="","",INVENTARIO!N993)</f>
        <v/>
      </c>
      <c r="G993">
        <f>IF(INVENTARIO!P993="","",INVENTARIO!P993)</f>
        <v/>
      </c>
      <c r="H993">
        <f>IF(INVENTARIO!Q993="","",INVENTARIO!Q993)</f>
        <v/>
      </c>
      <c r="I993">
        <f>IF(INVENTARIO!R993="","",INVENTARIO!R993)</f>
        <v/>
      </c>
      <c r="J993">
        <f>IF(G993="PUBLICA(1)",1,IF(G993="USO INTERNO(2)",2,IF(G993="RESTRINGIDO(3)",3,0)))+IF(H993="BAJA(1)",1,IF(H993="MEDIA(2)",2,IF(H993="ALTA(3)",3,0)))+IF(I993="BAJA(1)",1,IF(I993="MEDIA(2)",2,IF(I993="ALTA(3)",3,0)))</f>
        <v/>
      </c>
      <c r="K993">
        <f>IF(J993="", "", IF(J993&gt;=8,"ALTA",IF(J993&gt;=6,"MEDIA","BAJA")))</f>
        <v/>
      </c>
      <c r="L993">
        <f>IF(INVENTARIO!Y993="","",INVENTARIO!Y993)</f>
        <v/>
      </c>
      <c r="M993">
        <f>IF(INVENTARIO!Z993="","",INVENTARIO!Z993)</f>
        <v/>
      </c>
      <c r="N993">
        <f>IF(INVENTARIO!AA993="","",INVENTARIO!AA993)</f>
        <v/>
      </c>
      <c r="O993">
        <f>IF(INVENTARIO!AB993="","",INVENTARIO!AB993)</f>
        <v/>
      </c>
      <c r="P993">
        <f>IF(INVENTARIO!AC993="","",INVENTARIO!AC993)</f>
        <v/>
      </c>
      <c r="Q993">
        <f>IF(AND(K993="",N993="",L993=""),"",IF(AND((K993="ALTA"),OR(LEFT(N993,2)="L0",LEFT(N993,2)="L1",L993="No Iniciado")),"CRÍTICO - Incumplimiento Normativo SEPS",IF(AND(OR(LEFT(N993,2)="L4",LEFT(N993,2)="L5"),AND(P993&lt;&gt;"",P993&lt;&gt;"N/A")),"CONFORME - Control Efectivo ISO 27001","OBSERVACIÓN - Revisar Controles")))</f>
        <v/>
      </c>
    </row>
    <row r="994">
      <c r="A994">
        <f>IF(INVENTARIO!A994="","",INVENTARIO!A994)</f>
        <v/>
      </c>
      <c r="B994">
        <f>IF(INVENTARIO!E994="","",INVENTARIO!E994)</f>
        <v/>
      </c>
      <c r="C994">
        <f>IF(INVENTARIO!F994="","",INVENTARIO!F994)</f>
        <v/>
      </c>
      <c r="D994">
        <f>IF(INVENTARIO!H994="","",INVENTARIO!H994)</f>
        <v/>
      </c>
      <c r="E994">
        <f>IF(INVENTARIO!I994="","",INVENTARIO!I994)</f>
        <v/>
      </c>
      <c r="F994">
        <f>IF(INVENTARIO!N994="","",INVENTARIO!N994)</f>
        <v/>
      </c>
      <c r="G994">
        <f>IF(INVENTARIO!P994="","",INVENTARIO!P994)</f>
        <v/>
      </c>
      <c r="H994">
        <f>IF(INVENTARIO!Q994="","",INVENTARIO!Q994)</f>
        <v/>
      </c>
      <c r="I994">
        <f>IF(INVENTARIO!R994="","",INVENTARIO!R994)</f>
        <v/>
      </c>
      <c r="J994">
        <f>IF(G994="PUBLICA(1)",1,IF(G994="USO INTERNO(2)",2,IF(G994="RESTRINGIDO(3)",3,0)))+IF(H994="BAJA(1)",1,IF(H994="MEDIA(2)",2,IF(H994="ALTA(3)",3,0)))+IF(I994="BAJA(1)",1,IF(I994="MEDIA(2)",2,IF(I994="ALTA(3)",3,0)))</f>
        <v/>
      </c>
      <c r="K994">
        <f>IF(J994="", "", IF(J994&gt;=8,"ALTA",IF(J994&gt;=6,"MEDIA","BAJA")))</f>
        <v/>
      </c>
      <c r="L994">
        <f>IF(INVENTARIO!Y994="","",INVENTARIO!Y994)</f>
        <v/>
      </c>
      <c r="M994">
        <f>IF(INVENTARIO!Z994="","",INVENTARIO!Z994)</f>
        <v/>
      </c>
      <c r="N994">
        <f>IF(INVENTARIO!AA994="","",INVENTARIO!AA994)</f>
        <v/>
      </c>
      <c r="O994">
        <f>IF(INVENTARIO!AB994="","",INVENTARIO!AB994)</f>
        <v/>
      </c>
      <c r="P994">
        <f>IF(INVENTARIO!AC994="","",INVENTARIO!AC994)</f>
        <v/>
      </c>
      <c r="Q994">
        <f>IF(AND(K994="",N994="",L994=""),"",IF(AND((K994="ALTA"),OR(LEFT(N994,2)="L0",LEFT(N994,2)="L1",L994="No Iniciado")),"CRÍTICO - Incumplimiento Normativo SEPS",IF(AND(OR(LEFT(N994,2)="L4",LEFT(N994,2)="L5"),AND(P994&lt;&gt;"",P994&lt;&gt;"N/A")),"CONFORME - Control Efectivo ISO 27001","OBSERVACIÓN - Revisar Controles")))</f>
        <v/>
      </c>
    </row>
    <row r="995">
      <c r="A995">
        <f>IF(INVENTARIO!A995="","",INVENTARIO!A995)</f>
        <v/>
      </c>
      <c r="B995">
        <f>IF(INVENTARIO!E995="","",INVENTARIO!E995)</f>
        <v/>
      </c>
      <c r="C995">
        <f>IF(INVENTARIO!F995="","",INVENTARIO!F995)</f>
        <v/>
      </c>
      <c r="D995">
        <f>IF(INVENTARIO!H995="","",INVENTARIO!H995)</f>
        <v/>
      </c>
      <c r="E995">
        <f>IF(INVENTARIO!I995="","",INVENTARIO!I995)</f>
        <v/>
      </c>
      <c r="F995">
        <f>IF(INVENTARIO!N995="","",INVENTARIO!N995)</f>
        <v/>
      </c>
      <c r="G995">
        <f>IF(INVENTARIO!P995="","",INVENTARIO!P995)</f>
        <v/>
      </c>
      <c r="H995">
        <f>IF(INVENTARIO!Q995="","",INVENTARIO!Q995)</f>
        <v/>
      </c>
      <c r="I995">
        <f>IF(INVENTARIO!R995="","",INVENTARIO!R995)</f>
        <v/>
      </c>
      <c r="J995">
        <f>IF(G995="PUBLICA(1)",1,IF(G995="USO INTERNO(2)",2,IF(G995="RESTRINGIDO(3)",3,0)))+IF(H995="BAJA(1)",1,IF(H995="MEDIA(2)",2,IF(H995="ALTA(3)",3,0)))+IF(I995="BAJA(1)",1,IF(I995="MEDIA(2)",2,IF(I995="ALTA(3)",3,0)))</f>
        <v/>
      </c>
      <c r="K995">
        <f>IF(J995="", "", IF(J995&gt;=8,"ALTA",IF(J995&gt;=6,"MEDIA","BAJA")))</f>
        <v/>
      </c>
      <c r="L995">
        <f>IF(INVENTARIO!Y995="","",INVENTARIO!Y995)</f>
        <v/>
      </c>
      <c r="M995">
        <f>IF(INVENTARIO!Z995="","",INVENTARIO!Z995)</f>
        <v/>
      </c>
      <c r="N995">
        <f>IF(INVENTARIO!AA995="","",INVENTARIO!AA995)</f>
        <v/>
      </c>
      <c r="O995">
        <f>IF(INVENTARIO!AB995="","",INVENTARIO!AB995)</f>
        <v/>
      </c>
      <c r="P995">
        <f>IF(INVENTARIO!AC995="","",INVENTARIO!AC995)</f>
        <v/>
      </c>
      <c r="Q995">
        <f>IF(AND(K995="",N995="",L995=""),"",IF(AND((K995="ALTA"),OR(LEFT(N995,2)="L0",LEFT(N995,2)="L1",L995="No Iniciado")),"CRÍTICO - Incumplimiento Normativo SEPS",IF(AND(OR(LEFT(N995,2)="L4",LEFT(N995,2)="L5"),AND(P995&lt;&gt;"",P995&lt;&gt;"N/A")),"CONFORME - Control Efectivo ISO 27001","OBSERVACIÓN - Revisar Controles")))</f>
        <v/>
      </c>
    </row>
    <row r="996">
      <c r="A996">
        <f>IF(INVENTARIO!A996="","",INVENTARIO!A996)</f>
        <v/>
      </c>
      <c r="B996">
        <f>IF(INVENTARIO!E996="","",INVENTARIO!E996)</f>
        <v/>
      </c>
      <c r="C996">
        <f>IF(INVENTARIO!F996="","",INVENTARIO!F996)</f>
        <v/>
      </c>
      <c r="D996">
        <f>IF(INVENTARIO!H996="","",INVENTARIO!H996)</f>
        <v/>
      </c>
      <c r="E996">
        <f>IF(INVENTARIO!I996="","",INVENTARIO!I996)</f>
        <v/>
      </c>
      <c r="F996">
        <f>IF(INVENTARIO!N996="","",INVENTARIO!N996)</f>
        <v/>
      </c>
      <c r="G996">
        <f>IF(INVENTARIO!P996="","",INVENTARIO!P996)</f>
        <v/>
      </c>
      <c r="H996">
        <f>IF(INVENTARIO!Q996="","",INVENTARIO!Q996)</f>
        <v/>
      </c>
      <c r="I996">
        <f>IF(INVENTARIO!R996="","",INVENTARIO!R996)</f>
        <v/>
      </c>
      <c r="J996">
        <f>IF(G996="PUBLICA(1)",1,IF(G996="USO INTERNO(2)",2,IF(G996="RESTRINGIDO(3)",3,0)))+IF(H996="BAJA(1)",1,IF(H996="MEDIA(2)",2,IF(H996="ALTA(3)",3,0)))+IF(I996="BAJA(1)",1,IF(I996="MEDIA(2)",2,IF(I996="ALTA(3)",3,0)))</f>
        <v/>
      </c>
      <c r="K996">
        <f>IF(J996="", "", IF(J996&gt;=8,"ALTA",IF(J996&gt;=6,"MEDIA","BAJA")))</f>
        <v/>
      </c>
      <c r="L996">
        <f>IF(INVENTARIO!Y996="","",INVENTARIO!Y996)</f>
        <v/>
      </c>
      <c r="M996">
        <f>IF(INVENTARIO!Z996="","",INVENTARIO!Z996)</f>
        <v/>
      </c>
      <c r="N996">
        <f>IF(INVENTARIO!AA996="","",INVENTARIO!AA996)</f>
        <v/>
      </c>
      <c r="O996">
        <f>IF(INVENTARIO!AB996="","",INVENTARIO!AB996)</f>
        <v/>
      </c>
      <c r="P996">
        <f>IF(INVENTARIO!AC996="","",INVENTARIO!AC996)</f>
        <v/>
      </c>
      <c r="Q996">
        <f>IF(AND(K996="",N996="",L996=""),"",IF(AND((K996="ALTA"),OR(LEFT(N996,2)="L0",LEFT(N996,2)="L1",L996="No Iniciado")),"CRÍTICO - Incumplimiento Normativo SEPS",IF(AND(OR(LEFT(N996,2)="L4",LEFT(N996,2)="L5"),AND(P996&lt;&gt;"",P996&lt;&gt;"N/A")),"CONFORME - Control Efectivo ISO 27001","OBSERVACIÓN - Revisar Controles")))</f>
        <v/>
      </c>
    </row>
    <row r="997">
      <c r="A997">
        <f>IF(INVENTARIO!A997="","",INVENTARIO!A997)</f>
        <v/>
      </c>
      <c r="B997">
        <f>IF(INVENTARIO!E997="","",INVENTARIO!E997)</f>
        <v/>
      </c>
      <c r="C997">
        <f>IF(INVENTARIO!F997="","",INVENTARIO!F997)</f>
        <v/>
      </c>
      <c r="D997">
        <f>IF(INVENTARIO!H997="","",INVENTARIO!H997)</f>
        <v/>
      </c>
      <c r="E997">
        <f>IF(INVENTARIO!I997="","",INVENTARIO!I997)</f>
        <v/>
      </c>
      <c r="F997">
        <f>IF(INVENTARIO!N997="","",INVENTARIO!N997)</f>
        <v/>
      </c>
      <c r="G997">
        <f>IF(INVENTARIO!P997="","",INVENTARIO!P997)</f>
        <v/>
      </c>
      <c r="H997">
        <f>IF(INVENTARIO!Q997="","",INVENTARIO!Q997)</f>
        <v/>
      </c>
      <c r="I997">
        <f>IF(INVENTARIO!R997="","",INVENTARIO!R997)</f>
        <v/>
      </c>
      <c r="J997">
        <f>IF(G997="PUBLICA(1)",1,IF(G997="USO INTERNO(2)",2,IF(G997="RESTRINGIDO(3)",3,0)))+IF(H997="BAJA(1)",1,IF(H997="MEDIA(2)",2,IF(H997="ALTA(3)",3,0)))+IF(I997="BAJA(1)",1,IF(I997="MEDIA(2)",2,IF(I997="ALTA(3)",3,0)))</f>
        <v/>
      </c>
      <c r="K997">
        <f>IF(J997="", "", IF(J997&gt;=8,"ALTA",IF(J997&gt;=6,"MEDIA","BAJA")))</f>
        <v/>
      </c>
      <c r="L997">
        <f>IF(INVENTARIO!Y997="","",INVENTARIO!Y997)</f>
        <v/>
      </c>
      <c r="M997">
        <f>IF(INVENTARIO!Z997="","",INVENTARIO!Z997)</f>
        <v/>
      </c>
      <c r="N997">
        <f>IF(INVENTARIO!AA997="","",INVENTARIO!AA997)</f>
        <v/>
      </c>
      <c r="O997">
        <f>IF(INVENTARIO!AB997="","",INVENTARIO!AB997)</f>
        <v/>
      </c>
      <c r="P997">
        <f>IF(INVENTARIO!AC997="","",INVENTARIO!AC997)</f>
        <v/>
      </c>
      <c r="Q997">
        <f>IF(AND(K997="",N997="",L997=""),"",IF(AND((K997="ALTA"),OR(LEFT(N997,2)="L0",LEFT(N997,2)="L1",L997="No Iniciado")),"CRÍTICO - Incumplimiento Normativo SEPS",IF(AND(OR(LEFT(N997,2)="L4",LEFT(N997,2)="L5"),AND(P997&lt;&gt;"",P997&lt;&gt;"N/A")),"CONFORME - Control Efectivo ISO 27001","OBSERVACIÓN - Revisar Controles")))</f>
        <v/>
      </c>
    </row>
    <row r="998">
      <c r="A998">
        <f>IF(INVENTARIO!A998="","",INVENTARIO!A998)</f>
        <v/>
      </c>
      <c r="B998">
        <f>IF(INVENTARIO!E998="","",INVENTARIO!E998)</f>
        <v/>
      </c>
      <c r="C998">
        <f>IF(INVENTARIO!F998="","",INVENTARIO!F998)</f>
        <v/>
      </c>
      <c r="D998">
        <f>IF(INVENTARIO!H998="","",INVENTARIO!H998)</f>
        <v/>
      </c>
      <c r="E998">
        <f>IF(INVENTARIO!I998="","",INVENTARIO!I998)</f>
        <v/>
      </c>
      <c r="F998">
        <f>IF(INVENTARIO!N998="","",INVENTARIO!N998)</f>
        <v/>
      </c>
      <c r="G998">
        <f>IF(INVENTARIO!P998="","",INVENTARIO!P998)</f>
        <v/>
      </c>
      <c r="H998">
        <f>IF(INVENTARIO!Q998="","",INVENTARIO!Q998)</f>
        <v/>
      </c>
      <c r="I998">
        <f>IF(INVENTARIO!R998="","",INVENTARIO!R998)</f>
        <v/>
      </c>
      <c r="J998">
        <f>IF(G998="PUBLICA(1)",1,IF(G998="USO INTERNO(2)",2,IF(G998="RESTRINGIDO(3)",3,0)))+IF(H998="BAJA(1)",1,IF(H998="MEDIA(2)",2,IF(H998="ALTA(3)",3,0)))+IF(I998="BAJA(1)",1,IF(I998="MEDIA(2)",2,IF(I998="ALTA(3)",3,0)))</f>
        <v/>
      </c>
      <c r="K998">
        <f>IF(J998="", "", IF(J998&gt;=8,"ALTA",IF(J998&gt;=6,"MEDIA","BAJA")))</f>
        <v/>
      </c>
      <c r="L998">
        <f>IF(INVENTARIO!Y998="","",INVENTARIO!Y998)</f>
        <v/>
      </c>
      <c r="M998">
        <f>IF(INVENTARIO!Z998="","",INVENTARIO!Z998)</f>
        <v/>
      </c>
      <c r="N998">
        <f>IF(INVENTARIO!AA998="","",INVENTARIO!AA998)</f>
        <v/>
      </c>
      <c r="O998">
        <f>IF(INVENTARIO!AB998="","",INVENTARIO!AB998)</f>
        <v/>
      </c>
      <c r="P998">
        <f>IF(INVENTARIO!AC998="","",INVENTARIO!AC998)</f>
        <v/>
      </c>
      <c r="Q998">
        <f>IF(AND(K998="",N998="",L998=""),"",IF(AND((K998="ALTA"),OR(LEFT(N998,2)="L0",LEFT(N998,2)="L1",L998="No Iniciado")),"CRÍTICO - Incumplimiento Normativo SEPS",IF(AND(OR(LEFT(N998,2)="L4",LEFT(N998,2)="L5"),AND(P998&lt;&gt;"",P998&lt;&gt;"N/A")),"CONFORME - Control Efectivo ISO 27001","OBSERVACIÓN - Revisar Controles")))</f>
        <v/>
      </c>
    </row>
    <row r="999">
      <c r="A999">
        <f>IF(INVENTARIO!A999="","",INVENTARIO!A999)</f>
        <v/>
      </c>
      <c r="B999">
        <f>IF(INVENTARIO!E999="","",INVENTARIO!E999)</f>
        <v/>
      </c>
      <c r="C999">
        <f>IF(INVENTARIO!F999="","",INVENTARIO!F999)</f>
        <v/>
      </c>
      <c r="D999">
        <f>IF(INVENTARIO!H999="","",INVENTARIO!H999)</f>
        <v/>
      </c>
      <c r="E999">
        <f>IF(INVENTARIO!I999="","",INVENTARIO!I999)</f>
        <v/>
      </c>
      <c r="F999">
        <f>IF(INVENTARIO!N999="","",INVENTARIO!N999)</f>
        <v/>
      </c>
      <c r="G999">
        <f>IF(INVENTARIO!P999="","",INVENTARIO!P999)</f>
        <v/>
      </c>
      <c r="H999">
        <f>IF(INVENTARIO!Q999="","",INVENTARIO!Q999)</f>
        <v/>
      </c>
      <c r="I999">
        <f>IF(INVENTARIO!R999="","",INVENTARIO!R999)</f>
        <v/>
      </c>
      <c r="J999">
        <f>IF(G999="PUBLICA(1)",1,IF(G999="USO INTERNO(2)",2,IF(G999="RESTRINGIDO(3)",3,0)))+IF(H999="BAJA(1)",1,IF(H999="MEDIA(2)",2,IF(H999="ALTA(3)",3,0)))+IF(I999="BAJA(1)",1,IF(I999="MEDIA(2)",2,IF(I999="ALTA(3)",3,0)))</f>
        <v/>
      </c>
      <c r="K999">
        <f>IF(J999="", "", IF(J999&gt;=8,"ALTA",IF(J999&gt;=6,"MEDIA","BAJA")))</f>
        <v/>
      </c>
      <c r="L999">
        <f>IF(INVENTARIO!Y999="","",INVENTARIO!Y999)</f>
        <v/>
      </c>
      <c r="M999">
        <f>IF(INVENTARIO!Z999="","",INVENTARIO!Z999)</f>
        <v/>
      </c>
      <c r="N999">
        <f>IF(INVENTARIO!AA999="","",INVENTARIO!AA999)</f>
        <v/>
      </c>
      <c r="O999">
        <f>IF(INVENTARIO!AB999="","",INVENTARIO!AB999)</f>
        <v/>
      </c>
      <c r="P999">
        <f>IF(INVENTARIO!AC999="","",INVENTARIO!AC999)</f>
        <v/>
      </c>
      <c r="Q999">
        <f>IF(AND(K999="",N999="",L999=""),"",IF(AND((K999="ALTA"),OR(LEFT(N999,2)="L0",LEFT(N999,2)="L1",L999="No Iniciado")),"CRÍTICO - Incumplimiento Normativo SEPS",IF(AND(OR(LEFT(N999,2)="L4",LEFT(N999,2)="L5"),AND(P999&lt;&gt;"",P999&lt;&gt;"N/A")),"CONFORME - Control Efectivo ISO 27001","OBSERVACIÓN - Revisar Controles")))</f>
        <v/>
      </c>
    </row>
    <row r="1000">
      <c r="A1000">
        <f>IF(INVENTARIO!A1000="","",INVENTARIO!A1000)</f>
        <v/>
      </c>
      <c r="B1000">
        <f>IF(INVENTARIO!E1000="","",INVENTARIO!E1000)</f>
        <v/>
      </c>
      <c r="C1000">
        <f>IF(INVENTARIO!F1000="","",INVENTARIO!F1000)</f>
        <v/>
      </c>
      <c r="D1000">
        <f>IF(INVENTARIO!H1000="","",INVENTARIO!H1000)</f>
        <v/>
      </c>
      <c r="E1000">
        <f>IF(INVENTARIO!I1000="","",INVENTARIO!I1000)</f>
        <v/>
      </c>
      <c r="F1000">
        <f>IF(INVENTARIO!N1000="","",INVENTARIO!N1000)</f>
        <v/>
      </c>
      <c r="G1000">
        <f>IF(INVENTARIO!P1000="","",INVENTARIO!P1000)</f>
        <v/>
      </c>
      <c r="H1000">
        <f>IF(INVENTARIO!Q1000="","",INVENTARIO!Q1000)</f>
        <v/>
      </c>
      <c r="I1000">
        <f>IF(INVENTARIO!R1000="","",INVENTARIO!R1000)</f>
        <v/>
      </c>
      <c r="J1000">
        <f>IF(G1000="PUBLICA(1)",1,IF(G1000="USO INTERNO(2)",2,IF(G1000="RESTRINGIDO(3)",3,0)))+IF(H1000="BAJA(1)",1,IF(H1000="MEDIA(2)",2,IF(H1000="ALTA(3)",3,0)))+IF(I1000="BAJA(1)",1,IF(I1000="MEDIA(2)",2,IF(I1000="ALTA(3)",3,0)))</f>
        <v/>
      </c>
      <c r="K1000">
        <f>IF(J1000="", "", IF(J1000&gt;=8,"ALTA",IF(J1000&gt;=6,"MEDIA","BAJA")))</f>
        <v/>
      </c>
      <c r="L1000">
        <f>IF(INVENTARIO!Y1000="","",INVENTARIO!Y1000)</f>
        <v/>
      </c>
      <c r="M1000">
        <f>IF(INVENTARIO!Z1000="","",INVENTARIO!Z1000)</f>
        <v/>
      </c>
      <c r="N1000">
        <f>IF(INVENTARIO!AA1000="","",INVENTARIO!AA1000)</f>
        <v/>
      </c>
      <c r="O1000">
        <f>IF(INVENTARIO!AB1000="","",INVENTARIO!AB1000)</f>
        <v/>
      </c>
      <c r="P1000">
        <f>IF(INVENTARIO!AC1000="","",INVENTARIO!AC1000)</f>
        <v/>
      </c>
      <c r="Q1000">
        <f>IF(AND(K1000="",N1000="",L1000=""),"",IF(AND((K1000="ALTA"),OR(LEFT(N1000,2)="L0",LEFT(N1000,2)="L1",L1000="No Iniciado")),"CRÍTICO - Incumplimiento Normativo SEPS",IF(AND(OR(LEFT(N1000,2)="L4",LEFT(N1000,2)="L5"),AND(P1000&lt;&gt;"",P1000&lt;&gt;"N/A")),"CONFORME - Control Efectivo ISO 27001","OBSERVACIÓN - Revisar Controles")))</f>
        <v/>
      </c>
    </row>
    <row r="1001">
      <c r="A1001">
        <f>IF(INVENTARIO!A1001="","",INVENTARIO!A1001)</f>
        <v/>
      </c>
      <c r="B1001">
        <f>IF(INVENTARIO!E1001="","",INVENTARIO!E1001)</f>
        <v/>
      </c>
      <c r="C1001">
        <f>IF(INVENTARIO!F1001="","",INVENTARIO!F1001)</f>
        <v/>
      </c>
      <c r="D1001">
        <f>IF(INVENTARIO!H1001="","",INVENTARIO!H1001)</f>
        <v/>
      </c>
      <c r="E1001">
        <f>IF(INVENTARIO!I1001="","",INVENTARIO!I1001)</f>
        <v/>
      </c>
      <c r="F1001">
        <f>IF(INVENTARIO!N1001="","",INVENTARIO!N1001)</f>
        <v/>
      </c>
      <c r="G1001">
        <f>IF(INVENTARIO!P1001="","",INVENTARIO!P1001)</f>
        <v/>
      </c>
      <c r="H1001">
        <f>IF(INVENTARIO!Q1001="","",INVENTARIO!Q1001)</f>
        <v/>
      </c>
      <c r="I1001">
        <f>IF(INVENTARIO!R1001="","",INVENTARIO!R1001)</f>
        <v/>
      </c>
      <c r="J1001">
        <f>IF(G1001="PUBLICA(1)",1,IF(G1001="USO INTERNO(2)",2,IF(G1001="RESTRINGIDO(3)",3,0)))+IF(H1001="BAJA(1)",1,IF(H1001="MEDIA(2)",2,IF(H1001="ALTA(3)",3,0)))+IF(I1001="BAJA(1)",1,IF(I1001="MEDIA(2)",2,IF(I1001="ALTA(3)",3,0)))</f>
        <v/>
      </c>
      <c r="K1001">
        <f>IF(J1001="", "", IF(J1001&gt;=8,"ALTA",IF(J1001&gt;=6,"MEDIA","BAJA")))</f>
        <v/>
      </c>
      <c r="L1001">
        <f>IF(INVENTARIO!Y1001="","",INVENTARIO!Y1001)</f>
        <v/>
      </c>
      <c r="M1001">
        <f>IF(INVENTARIO!Z1001="","",INVENTARIO!Z1001)</f>
        <v/>
      </c>
      <c r="N1001">
        <f>IF(INVENTARIO!AA1001="","",INVENTARIO!AA1001)</f>
        <v/>
      </c>
      <c r="O1001">
        <f>IF(INVENTARIO!AB1001="","",INVENTARIO!AB1001)</f>
        <v/>
      </c>
      <c r="P1001">
        <f>IF(INVENTARIO!AC1001="","",INVENTARIO!AC1001)</f>
        <v/>
      </c>
      <c r="Q1001">
        <f>IF(AND(K1001="",N1001="",L1001=""),"",IF(AND((K1001="ALTA"),OR(LEFT(N1001,2)="L0",LEFT(N1001,2)="L1",L1001="No Iniciado")),"CRÍTICO - Incumplimiento Normativo SEPS",IF(AND(OR(LEFT(N1001,2)="L4",LEFT(N1001,2)="L5"),AND(P1001&lt;&gt;"",P1001&lt;&gt;"N/A")),"CONFORME - Control Efectivo ISO 27001","OBSERVACIÓN - Revisar Controles")))</f>
        <v/>
      </c>
    </row>
    <row r="1002">
      <c r="A1002">
        <f>IF(INVENTARIO!A1002="","",INVENTARIO!A1002)</f>
        <v/>
      </c>
      <c r="B1002">
        <f>IF(INVENTARIO!E1002="","",INVENTARIO!E1002)</f>
        <v/>
      </c>
      <c r="C1002">
        <f>IF(INVENTARIO!F1002="","",INVENTARIO!F1002)</f>
        <v/>
      </c>
      <c r="D1002">
        <f>IF(INVENTARIO!H1002="","",INVENTARIO!H1002)</f>
        <v/>
      </c>
      <c r="E1002">
        <f>IF(INVENTARIO!I1002="","",INVENTARIO!I1002)</f>
        <v/>
      </c>
      <c r="F1002">
        <f>IF(INVENTARIO!N1002="","",INVENTARIO!N1002)</f>
        <v/>
      </c>
      <c r="G1002">
        <f>IF(INVENTARIO!P1002="","",INVENTARIO!P1002)</f>
        <v/>
      </c>
      <c r="H1002">
        <f>IF(INVENTARIO!Q1002="","",INVENTARIO!Q1002)</f>
        <v/>
      </c>
      <c r="I1002">
        <f>IF(INVENTARIO!R1002="","",INVENTARIO!R1002)</f>
        <v/>
      </c>
      <c r="J1002">
        <f>IF(G1002="PUBLICA(1)",1,IF(G1002="USO INTERNO(2)",2,IF(G1002="RESTRINGIDO(3)",3,0)))+IF(H1002="BAJA(1)",1,IF(H1002="MEDIA(2)",2,IF(H1002="ALTA(3)",3,0)))+IF(I1002="BAJA(1)",1,IF(I1002="MEDIA(2)",2,IF(I1002="ALTA(3)",3,0)))</f>
        <v/>
      </c>
      <c r="K1002">
        <f>IF(J1002="", "", IF(J1002&gt;=8,"ALTA",IF(J1002&gt;=6,"MEDIA","BAJA")))</f>
        <v/>
      </c>
      <c r="L1002">
        <f>IF(INVENTARIO!Y1002="","",INVENTARIO!Y1002)</f>
        <v/>
      </c>
      <c r="M1002">
        <f>IF(INVENTARIO!Z1002="","",INVENTARIO!Z1002)</f>
        <v/>
      </c>
      <c r="N1002">
        <f>IF(INVENTARIO!AA1002="","",INVENTARIO!AA1002)</f>
        <v/>
      </c>
      <c r="O1002">
        <f>IF(INVENTARIO!AB1002="","",INVENTARIO!AB1002)</f>
        <v/>
      </c>
      <c r="P1002">
        <f>IF(INVENTARIO!AC1002="","",INVENTARIO!AC1002)</f>
        <v/>
      </c>
      <c r="Q1002">
        <f>IF(AND(K1002="",N1002="",L1002=""),"",IF(AND((K1002="ALTA"),OR(LEFT(N1002,2)="L0",LEFT(N1002,2)="L1",L1002="No Iniciado")),"CRÍTICO - Incumplimiento Normativo SEPS",IF(AND(OR(LEFT(N1002,2)="L4",LEFT(N1002,2)="L5"),AND(P1002&lt;&gt;"",P1002&lt;&gt;"N/A")),"CONFORME - Control Efectivo ISO 27001","OBSERVACIÓN - Revisar Controles")))</f>
        <v/>
      </c>
    </row>
    <row r="1003">
      <c r="A1003">
        <f>IF(INVENTARIO!A1003="","",INVENTARIO!A1003)</f>
        <v/>
      </c>
      <c r="B1003">
        <f>IF(INVENTARIO!E1003="","",INVENTARIO!E1003)</f>
        <v/>
      </c>
      <c r="C1003">
        <f>IF(INVENTARIO!F1003="","",INVENTARIO!F1003)</f>
        <v/>
      </c>
      <c r="D1003">
        <f>IF(INVENTARIO!H1003="","",INVENTARIO!H1003)</f>
        <v/>
      </c>
      <c r="E1003">
        <f>IF(INVENTARIO!I1003="","",INVENTARIO!I1003)</f>
        <v/>
      </c>
      <c r="F1003">
        <f>IF(INVENTARIO!N1003="","",INVENTARIO!N1003)</f>
        <v/>
      </c>
      <c r="G1003">
        <f>IF(INVENTARIO!P1003="","",INVENTARIO!P1003)</f>
        <v/>
      </c>
      <c r="H1003">
        <f>IF(INVENTARIO!Q1003="","",INVENTARIO!Q1003)</f>
        <v/>
      </c>
      <c r="I1003">
        <f>IF(INVENTARIO!R1003="","",INVENTARIO!R1003)</f>
        <v/>
      </c>
      <c r="J1003">
        <f>IF(G1003="PUBLICA(1)",1,IF(G1003="USO INTERNO(2)",2,IF(G1003="RESTRINGIDO(3)",3,0)))+IF(H1003="BAJA(1)",1,IF(H1003="MEDIA(2)",2,IF(H1003="ALTA(3)",3,0)))+IF(I1003="BAJA(1)",1,IF(I1003="MEDIA(2)",2,IF(I1003="ALTA(3)",3,0)))</f>
        <v/>
      </c>
      <c r="K1003">
        <f>IF(J1003="", "", IF(J1003&gt;=8,"ALTA",IF(J1003&gt;=6,"MEDIA","BAJA")))</f>
        <v/>
      </c>
      <c r="L1003">
        <f>IF(INVENTARIO!Y1003="","",INVENTARIO!Y1003)</f>
        <v/>
      </c>
      <c r="M1003">
        <f>IF(INVENTARIO!Z1003="","",INVENTARIO!Z1003)</f>
        <v/>
      </c>
      <c r="N1003">
        <f>IF(INVENTARIO!AA1003="","",INVENTARIO!AA1003)</f>
        <v/>
      </c>
      <c r="O1003">
        <f>IF(INVENTARIO!AB1003="","",INVENTARIO!AB1003)</f>
        <v/>
      </c>
      <c r="P1003">
        <f>IF(INVENTARIO!AC1003="","",INVENTARIO!AC1003)</f>
        <v/>
      </c>
      <c r="Q1003">
        <f>IF(AND(K1003="",N1003="",L1003=""),"",IF(AND((K1003="ALTA"),OR(LEFT(N1003,2)="L0",LEFT(N1003,2)="L1",L1003="No Iniciado")),"CRÍTICO - Incumplimiento Normativo SEPS",IF(AND(OR(LEFT(N1003,2)="L4",LEFT(N1003,2)="L5"),AND(P1003&lt;&gt;"",P1003&lt;&gt;"N/A")),"CONFORME - Control Efectivo ISO 27001","OBSERVACIÓN - Revisar Controles")))</f>
        <v/>
      </c>
    </row>
    <row r="1004">
      <c r="A1004">
        <f>IF(INVENTARIO!A1004="","",INVENTARIO!A1004)</f>
        <v/>
      </c>
      <c r="B1004">
        <f>IF(INVENTARIO!E1004="","",INVENTARIO!E1004)</f>
        <v/>
      </c>
      <c r="C1004">
        <f>IF(INVENTARIO!F1004="","",INVENTARIO!F1004)</f>
        <v/>
      </c>
      <c r="D1004">
        <f>IF(INVENTARIO!H1004="","",INVENTARIO!H1004)</f>
        <v/>
      </c>
      <c r="E1004">
        <f>IF(INVENTARIO!I1004="","",INVENTARIO!I1004)</f>
        <v/>
      </c>
      <c r="F1004">
        <f>IF(INVENTARIO!N1004="","",INVENTARIO!N1004)</f>
        <v/>
      </c>
      <c r="G1004">
        <f>IF(INVENTARIO!P1004="","",INVENTARIO!P1004)</f>
        <v/>
      </c>
      <c r="H1004">
        <f>IF(INVENTARIO!Q1004="","",INVENTARIO!Q1004)</f>
        <v/>
      </c>
      <c r="I1004">
        <f>IF(INVENTARIO!R1004="","",INVENTARIO!R1004)</f>
        <v/>
      </c>
      <c r="J1004">
        <f>IF(G1004="PUBLICA(1)",1,IF(G1004="USO INTERNO(2)",2,IF(G1004="RESTRINGIDO(3)",3,0)))+IF(H1004="BAJA(1)",1,IF(H1004="MEDIA(2)",2,IF(H1004="ALTA(3)",3,0)))+IF(I1004="BAJA(1)",1,IF(I1004="MEDIA(2)",2,IF(I1004="ALTA(3)",3,0)))</f>
        <v/>
      </c>
      <c r="K1004">
        <f>IF(J1004="", "", IF(J1004&gt;=8,"ALTA",IF(J1004&gt;=6,"MEDIA","BAJA")))</f>
        <v/>
      </c>
      <c r="L1004">
        <f>IF(INVENTARIO!Y1004="","",INVENTARIO!Y1004)</f>
        <v/>
      </c>
      <c r="M1004">
        <f>IF(INVENTARIO!Z1004="","",INVENTARIO!Z1004)</f>
        <v/>
      </c>
      <c r="N1004">
        <f>IF(INVENTARIO!AA1004="","",INVENTARIO!AA1004)</f>
        <v/>
      </c>
      <c r="O1004">
        <f>IF(INVENTARIO!AB1004="","",INVENTARIO!AB1004)</f>
        <v/>
      </c>
      <c r="P1004">
        <f>IF(INVENTARIO!AC1004="","",INVENTARIO!AC1004)</f>
        <v/>
      </c>
      <c r="Q1004">
        <f>IF(AND(K1004="",N1004="",L1004=""),"",IF(AND((K1004="ALTA"),OR(LEFT(N1004,2)="L0",LEFT(N1004,2)="L1",L1004="No Iniciado")),"CRÍTICO - Incumplimiento Normativo SEPS",IF(AND(OR(LEFT(N1004,2)="L4",LEFT(N1004,2)="L5"),AND(P1004&lt;&gt;"",P1004&lt;&gt;"N/A")),"CONFORME - Control Efectivo ISO 27001","OBSERVACIÓN - Revisar Controles")))</f>
        <v/>
      </c>
    </row>
    <row r="1005">
      <c r="A1005">
        <f>IF(INVENTARIO!A1005="","",INVENTARIO!A1005)</f>
        <v/>
      </c>
      <c r="B1005">
        <f>IF(INVENTARIO!E1005="","",INVENTARIO!E1005)</f>
        <v/>
      </c>
      <c r="C1005">
        <f>IF(INVENTARIO!F1005="","",INVENTARIO!F1005)</f>
        <v/>
      </c>
      <c r="D1005">
        <f>IF(INVENTARIO!H1005="","",INVENTARIO!H1005)</f>
        <v/>
      </c>
      <c r="E1005">
        <f>IF(INVENTARIO!I1005="","",INVENTARIO!I1005)</f>
        <v/>
      </c>
      <c r="F1005">
        <f>IF(INVENTARIO!N1005="","",INVENTARIO!N1005)</f>
        <v/>
      </c>
      <c r="G1005">
        <f>IF(INVENTARIO!P1005="","",INVENTARIO!P1005)</f>
        <v/>
      </c>
      <c r="H1005">
        <f>IF(INVENTARIO!Q1005="","",INVENTARIO!Q1005)</f>
        <v/>
      </c>
      <c r="I1005">
        <f>IF(INVENTARIO!R1005="","",INVENTARIO!R1005)</f>
        <v/>
      </c>
      <c r="J1005">
        <f>IF(G1005="PUBLICA(1)",1,IF(G1005="USO INTERNO(2)",2,IF(G1005="RESTRINGIDO(3)",3,0)))+IF(H1005="BAJA(1)",1,IF(H1005="MEDIA(2)",2,IF(H1005="ALTA(3)",3,0)))+IF(I1005="BAJA(1)",1,IF(I1005="MEDIA(2)",2,IF(I1005="ALTA(3)",3,0)))</f>
        <v/>
      </c>
      <c r="K1005">
        <f>IF(J1005="", "", IF(J1005&gt;=8,"ALTA",IF(J1005&gt;=6,"MEDIA","BAJA")))</f>
        <v/>
      </c>
      <c r="L1005">
        <f>IF(INVENTARIO!Y1005="","",INVENTARIO!Y1005)</f>
        <v/>
      </c>
      <c r="M1005">
        <f>IF(INVENTARIO!Z1005="","",INVENTARIO!Z1005)</f>
        <v/>
      </c>
      <c r="N1005">
        <f>IF(INVENTARIO!AA1005="","",INVENTARIO!AA1005)</f>
        <v/>
      </c>
      <c r="O1005">
        <f>IF(INVENTARIO!AB1005="","",INVENTARIO!AB1005)</f>
        <v/>
      </c>
      <c r="P1005">
        <f>IF(INVENTARIO!AC1005="","",INVENTARIO!AC1005)</f>
        <v/>
      </c>
      <c r="Q1005">
        <f>IF(AND(K1005="",N1005="",L1005=""),"",IF(AND((K1005="ALTA"),OR(LEFT(N1005,2)="L0",LEFT(N1005,2)="L1",L1005="No Iniciado")),"CRÍTICO - Incumplimiento Normativo SEPS",IF(AND(OR(LEFT(N1005,2)="L4",LEFT(N1005,2)="L5"),AND(P1005&lt;&gt;"",P1005&lt;&gt;"N/A")),"CONFORME - Control Efectivo ISO 27001","OBSERVACIÓN - Revisar Controles")))</f>
        <v/>
      </c>
    </row>
    <row r="1006">
      <c r="A1006">
        <f>IF(INVENTARIO!A1006="","",INVENTARIO!A1006)</f>
        <v/>
      </c>
      <c r="B1006">
        <f>IF(INVENTARIO!E1006="","",INVENTARIO!E1006)</f>
        <v/>
      </c>
      <c r="C1006">
        <f>IF(INVENTARIO!F1006="","",INVENTARIO!F1006)</f>
        <v/>
      </c>
      <c r="D1006">
        <f>IF(INVENTARIO!H1006="","",INVENTARIO!H1006)</f>
        <v/>
      </c>
      <c r="E1006">
        <f>IF(INVENTARIO!I1006="","",INVENTARIO!I1006)</f>
        <v/>
      </c>
      <c r="F1006">
        <f>IF(INVENTARIO!N1006="","",INVENTARIO!N1006)</f>
        <v/>
      </c>
      <c r="G1006">
        <f>IF(INVENTARIO!P1006="","",INVENTARIO!P1006)</f>
        <v/>
      </c>
      <c r="H1006">
        <f>IF(INVENTARIO!Q1006="","",INVENTARIO!Q1006)</f>
        <v/>
      </c>
      <c r="I1006">
        <f>IF(INVENTARIO!R1006="","",INVENTARIO!R1006)</f>
        <v/>
      </c>
      <c r="J1006">
        <f>IF(G1006="PUBLICA(1)",1,IF(G1006="USO INTERNO(2)",2,IF(G1006="RESTRINGIDO(3)",3,0)))+IF(H1006="BAJA(1)",1,IF(H1006="MEDIA(2)",2,IF(H1006="ALTA(3)",3,0)))+IF(I1006="BAJA(1)",1,IF(I1006="MEDIA(2)",2,IF(I1006="ALTA(3)",3,0)))</f>
        <v/>
      </c>
      <c r="K1006">
        <f>IF(J1006="", "", IF(J1006&gt;=8,"ALTA",IF(J1006&gt;=6,"MEDIA","BAJA")))</f>
        <v/>
      </c>
      <c r="L1006">
        <f>IF(INVENTARIO!Y1006="","",INVENTARIO!Y1006)</f>
        <v/>
      </c>
      <c r="M1006">
        <f>IF(INVENTARIO!Z1006="","",INVENTARIO!Z1006)</f>
        <v/>
      </c>
      <c r="N1006">
        <f>IF(INVENTARIO!AA1006="","",INVENTARIO!AA1006)</f>
        <v/>
      </c>
      <c r="O1006">
        <f>IF(INVENTARIO!AB1006="","",INVENTARIO!AB1006)</f>
        <v/>
      </c>
      <c r="P1006">
        <f>IF(INVENTARIO!AC1006="","",INVENTARIO!AC1006)</f>
        <v/>
      </c>
      <c r="Q1006">
        <f>IF(AND(K1006="",N1006="",L1006=""),"",IF(AND((K1006="ALTA"),OR(LEFT(N1006,2)="L0",LEFT(N1006,2)="L1",L1006="No Iniciado")),"CRÍTICO - Incumplimiento Normativo SEPS",IF(AND(OR(LEFT(N1006,2)="L4",LEFT(N1006,2)="L5"),AND(P1006&lt;&gt;"",P1006&lt;&gt;"N/A")),"CONFORME - Control Efectivo ISO 27001","OBSERVACIÓN - Revisar Controles")))</f>
        <v/>
      </c>
    </row>
    <row r="1007">
      <c r="A1007">
        <f>IF(INVENTARIO!A1007="","",INVENTARIO!A1007)</f>
        <v/>
      </c>
      <c r="B1007">
        <f>IF(INVENTARIO!E1007="","",INVENTARIO!E1007)</f>
        <v/>
      </c>
      <c r="C1007">
        <f>IF(INVENTARIO!F1007="","",INVENTARIO!F1007)</f>
        <v/>
      </c>
      <c r="D1007">
        <f>IF(INVENTARIO!H1007="","",INVENTARIO!H1007)</f>
        <v/>
      </c>
      <c r="E1007">
        <f>IF(INVENTARIO!I1007="","",INVENTARIO!I1007)</f>
        <v/>
      </c>
      <c r="F1007">
        <f>IF(INVENTARIO!N1007="","",INVENTARIO!N1007)</f>
        <v/>
      </c>
      <c r="G1007">
        <f>IF(INVENTARIO!P1007="","",INVENTARIO!P1007)</f>
        <v/>
      </c>
      <c r="H1007">
        <f>IF(INVENTARIO!Q1007="","",INVENTARIO!Q1007)</f>
        <v/>
      </c>
      <c r="I1007">
        <f>IF(INVENTARIO!R1007="","",INVENTARIO!R1007)</f>
        <v/>
      </c>
      <c r="J1007">
        <f>IF(G1007="PUBLICA(1)",1,IF(G1007="USO INTERNO(2)",2,IF(G1007="RESTRINGIDO(3)",3,0)))+IF(H1007="BAJA(1)",1,IF(H1007="MEDIA(2)",2,IF(H1007="ALTA(3)",3,0)))+IF(I1007="BAJA(1)",1,IF(I1007="MEDIA(2)",2,IF(I1007="ALTA(3)",3,0)))</f>
        <v/>
      </c>
      <c r="K1007">
        <f>IF(J1007="", "", IF(J1007&gt;=8,"ALTA",IF(J1007&gt;=6,"MEDIA","BAJA")))</f>
        <v/>
      </c>
      <c r="L1007">
        <f>IF(INVENTARIO!Y1007="","",INVENTARIO!Y1007)</f>
        <v/>
      </c>
      <c r="M1007">
        <f>IF(INVENTARIO!Z1007="","",INVENTARIO!Z1007)</f>
        <v/>
      </c>
      <c r="N1007">
        <f>IF(INVENTARIO!AA1007="","",INVENTARIO!AA1007)</f>
        <v/>
      </c>
      <c r="O1007">
        <f>IF(INVENTARIO!AB1007="","",INVENTARIO!AB1007)</f>
        <v/>
      </c>
      <c r="P1007">
        <f>IF(INVENTARIO!AC1007="","",INVENTARIO!AC1007)</f>
        <v/>
      </c>
      <c r="Q1007">
        <f>IF(AND(K1007="",N1007="",L1007=""),"",IF(AND((K1007="ALTA"),OR(LEFT(N1007,2)="L0",LEFT(N1007,2)="L1",L1007="No Iniciado")),"CRÍTICO - Incumplimiento Normativo SEPS",IF(AND(OR(LEFT(N1007,2)="L4",LEFT(N1007,2)="L5"),AND(P1007&lt;&gt;"",P1007&lt;&gt;"N/A")),"CONFORME - Control Efectivo ISO 27001","OBSERVACIÓN - Revisar Controles")))</f>
        <v/>
      </c>
    </row>
    <row r="1008">
      <c r="A1008">
        <f>IF(INVENTARIO!A1008="","",INVENTARIO!A1008)</f>
        <v/>
      </c>
      <c r="B1008">
        <f>IF(INVENTARIO!E1008="","",INVENTARIO!E1008)</f>
        <v/>
      </c>
      <c r="C1008">
        <f>IF(INVENTARIO!F1008="","",INVENTARIO!F1008)</f>
        <v/>
      </c>
      <c r="D1008">
        <f>IF(INVENTARIO!H1008="","",INVENTARIO!H1008)</f>
        <v/>
      </c>
      <c r="E1008">
        <f>IF(INVENTARIO!I1008="","",INVENTARIO!I1008)</f>
        <v/>
      </c>
      <c r="F1008">
        <f>IF(INVENTARIO!N1008="","",INVENTARIO!N1008)</f>
        <v/>
      </c>
      <c r="G1008">
        <f>IF(INVENTARIO!P1008="","",INVENTARIO!P1008)</f>
        <v/>
      </c>
      <c r="H1008">
        <f>IF(INVENTARIO!Q1008="","",INVENTARIO!Q1008)</f>
        <v/>
      </c>
      <c r="I1008">
        <f>IF(INVENTARIO!R1008="","",INVENTARIO!R1008)</f>
        <v/>
      </c>
      <c r="J1008">
        <f>IF(G1008="PUBLICA(1)",1,IF(G1008="USO INTERNO(2)",2,IF(G1008="RESTRINGIDO(3)",3,0)))+IF(H1008="BAJA(1)",1,IF(H1008="MEDIA(2)",2,IF(H1008="ALTA(3)",3,0)))+IF(I1008="BAJA(1)",1,IF(I1008="MEDIA(2)",2,IF(I1008="ALTA(3)",3,0)))</f>
        <v/>
      </c>
      <c r="K1008">
        <f>IF(J1008="", "", IF(J1008&gt;=8,"ALTA",IF(J1008&gt;=6,"MEDIA","BAJA")))</f>
        <v/>
      </c>
      <c r="L1008">
        <f>IF(INVENTARIO!Y1008="","",INVENTARIO!Y1008)</f>
        <v/>
      </c>
      <c r="M1008">
        <f>IF(INVENTARIO!Z1008="","",INVENTARIO!Z1008)</f>
        <v/>
      </c>
      <c r="N1008">
        <f>IF(INVENTARIO!AA1008="","",INVENTARIO!AA1008)</f>
        <v/>
      </c>
      <c r="O1008">
        <f>IF(INVENTARIO!AB1008="","",INVENTARIO!AB1008)</f>
        <v/>
      </c>
      <c r="P1008">
        <f>IF(INVENTARIO!AC1008="","",INVENTARIO!AC1008)</f>
        <v/>
      </c>
      <c r="Q1008">
        <f>IF(AND(K1008="",N1008="",L1008=""),"",IF(AND((K1008="ALTA"),OR(LEFT(N1008,2)="L0",LEFT(N1008,2)="L1",L1008="No Iniciado")),"CRÍTICO - Incumplimiento Normativo SEPS",IF(AND(OR(LEFT(N1008,2)="L4",LEFT(N1008,2)="L5"),AND(P1008&lt;&gt;"",P1008&lt;&gt;"N/A")),"CONFORME - Control Efectivo ISO 27001","OBSERVACIÓN - Revisar Controles")))</f>
        <v/>
      </c>
    </row>
    <row r="1009">
      <c r="A1009">
        <f>IF(INVENTARIO!A1009="","",INVENTARIO!A1009)</f>
        <v/>
      </c>
      <c r="B1009">
        <f>IF(INVENTARIO!E1009="","",INVENTARIO!E1009)</f>
        <v/>
      </c>
      <c r="C1009">
        <f>IF(INVENTARIO!F1009="","",INVENTARIO!F1009)</f>
        <v/>
      </c>
      <c r="D1009">
        <f>IF(INVENTARIO!H1009="","",INVENTARIO!H1009)</f>
        <v/>
      </c>
      <c r="E1009">
        <f>IF(INVENTARIO!I1009="","",INVENTARIO!I1009)</f>
        <v/>
      </c>
      <c r="F1009">
        <f>IF(INVENTARIO!N1009="","",INVENTARIO!N1009)</f>
        <v/>
      </c>
      <c r="G1009">
        <f>IF(INVENTARIO!P1009="","",INVENTARIO!P1009)</f>
        <v/>
      </c>
      <c r="H1009">
        <f>IF(INVENTARIO!Q1009="","",INVENTARIO!Q1009)</f>
        <v/>
      </c>
      <c r="I1009">
        <f>IF(INVENTARIO!R1009="","",INVENTARIO!R1009)</f>
        <v/>
      </c>
      <c r="J1009">
        <f>IF(G1009="PUBLICA(1)",1,IF(G1009="USO INTERNO(2)",2,IF(G1009="RESTRINGIDO(3)",3,0)))+IF(H1009="BAJA(1)",1,IF(H1009="MEDIA(2)",2,IF(H1009="ALTA(3)",3,0)))+IF(I1009="BAJA(1)",1,IF(I1009="MEDIA(2)",2,IF(I1009="ALTA(3)",3,0)))</f>
        <v/>
      </c>
      <c r="K1009">
        <f>IF(J1009="", "", IF(J1009&gt;=8,"ALTA",IF(J1009&gt;=6,"MEDIA","BAJA")))</f>
        <v/>
      </c>
      <c r="L1009">
        <f>IF(INVENTARIO!Y1009="","",INVENTARIO!Y1009)</f>
        <v/>
      </c>
      <c r="M1009">
        <f>IF(INVENTARIO!Z1009="","",INVENTARIO!Z1009)</f>
        <v/>
      </c>
      <c r="N1009">
        <f>IF(INVENTARIO!AA1009="","",INVENTARIO!AA1009)</f>
        <v/>
      </c>
      <c r="O1009">
        <f>IF(INVENTARIO!AB1009="","",INVENTARIO!AB1009)</f>
        <v/>
      </c>
      <c r="P1009">
        <f>IF(INVENTARIO!AC1009="","",INVENTARIO!AC1009)</f>
        <v/>
      </c>
      <c r="Q1009">
        <f>IF(AND(K1009="",N1009="",L1009=""),"",IF(AND((K1009="ALTA"),OR(LEFT(N1009,2)="L0",LEFT(N1009,2)="L1",L1009="No Iniciado")),"CRÍTICO - Incumplimiento Normativo SEPS",IF(AND(OR(LEFT(N1009,2)="L4",LEFT(N1009,2)="L5"),AND(P1009&lt;&gt;"",P1009&lt;&gt;"N/A")),"CONFORME - Control Efectivo ISO 27001","OBSERVACIÓN - Revisar Controles")))</f>
        <v/>
      </c>
    </row>
    <row r="1010">
      <c r="A1010">
        <f>IF(INVENTARIO!A1010="","",INVENTARIO!A1010)</f>
        <v/>
      </c>
      <c r="B1010">
        <f>IF(INVENTARIO!E1010="","",INVENTARIO!E1010)</f>
        <v/>
      </c>
      <c r="C1010">
        <f>IF(INVENTARIO!F1010="","",INVENTARIO!F1010)</f>
        <v/>
      </c>
      <c r="D1010">
        <f>IF(INVENTARIO!H1010="","",INVENTARIO!H1010)</f>
        <v/>
      </c>
      <c r="E1010">
        <f>IF(INVENTARIO!I1010="","",INVENTARIO!I1010)</f>
        <v/>
      </c>
      <c r="F1010">
        <f>IF(INVENTARIO!N1010="","",INVENTARIO!N1010)</f>
        <v/>
      </c>
      <c r="G1010">
        <f>IF(INVENTARIO!P1010="","",INVENTARIO!P1010)</f>
        <v/>
      </c>
      <c r="H1010">
        <f>IF(INVENTARIO!Q1010="","",INVENTARIO!Q1010)</f>
        <v/>
      </c>
      <c r="I1010">
        <f>IF(INVENTARIO!R1010="","",INVENTARIO!R1010)</f>
        <v/>
      </c>
      <c r="J1010">
        <f>IF(G1010="PUBLICA(1)",1,IF(G1010="USO INTERNO(2)",2,IF(G1010="RESTRINGIDO(3)",3,0)))+IF(H1010="BAJA(1)",1,IF(H1010="MEDIA(2)",2,IF(H1010="ALTA(3)",3,0)))+IF(I1010="BAJA(1)",1,IF(I1010="MEDIA(2)",2,IF(I1010="ALTA(3)",3,0)))</f>
        <v/>
      </c>
      <c r="K1010">
        <f>IF(J1010="", "", IF(J1010&gt;=8,"ALTA",IF(J1010&gt;=6,"MEDIA","BAJA")))</f>
        <v/>
      </c>
      <c r="L1010">
        <f>IF(INVENTARIO!Y1010="","",INVENTARIO!Y1010)</f>
        <v/>
      </c>
      <c r="M1010">
        <f>IF(INVENTARIO!Z1010="","",INVENTARIO!Z1010)</f>
        <v/>
      </c>
      <c r="N1010">
        <f>IF(INVENTARIO!AA1010="","",INVENTARIO!AA1010)</f>
        <v/>
      </c>
      <c r="O1010">
        <f>IF(INVENTARIO!AB1010="","",INVENTARIO!AB1010)</f>
        <v/>
      </c>
      <c r="P1010">
        <f>IF(INVENTARIO!AC1010="","",INVENTARIO!AC1010)</f>
        <v/>
      </c>
      <c r="Q1010">
        <f>IF(AND(K1010="",N1010="",L1010=""),"",IF(AND((K1010="ALTA"),OR(LEFT(N1010,2)="L0",LEFT(N1010,2)="L1",L1010="No Iniciado")),"CRÍTICO - Incumplimiento Normativo SEPS",IF(AND(OR(LEFT(N1010,2)="L4",LEFT(N1010,2)="L5"),AND(P1010&lt;&gt;"",P1010&lt;&gt;"N/A")),"CONFORME - Control Efectivo ISO 27001","OBSERVACIÓN - Revisar Controles")))</f>
        <v/>
      </c>
    </row>
    <row r="1011">
      <c r="A1011">
        <f>IF(INVENTARIO!A1011="","",INVENTARIO!A1011)</f>
        <v/>
      </c>
      <c r="B1011">
        <f>IF(INVENTARIO!E1011="","",INVENTARIO!E1011)</f>
        <v/>
      </c>
      <c r="C1011">
        <f>IF(INVENTARIO!F1011="","",INVENTARIO!F1011)</f>
        <v/>
      </c>
      <c r="D1011">
        <f>IF(INVENTARIO!H1011="","",INVENTARIO!H1011)</f>
        <v/>
      </c>
      <c r="E1011">
        <f>IF(INVENTARIO!I1011="","",INVENTARIO!I1011)</f>
        <v/>
      </c>
      <c r="F1011">
        <f>IF(INVENTARIO!N1011="","",INVENTARIO!N1011)</f>
        <v/>
      </c>
      <c r="G1011">
        <f>IF(INVENTARIO!P1011="","",INVENTARIO!P1011)</f>
        <v/>
      </c>
      <c r="H1011">
        <f>IF(INVENTARIO!Q1011="","",INVENTARIO!Q1011)</f>
        <v/>
      </c>
      <c r="I1011">
        <f>IF(INVENTARIO!R1011="","",INVENTARIO!R1011)</f>
        <v/>
      </c>
      <c r="J1011">
        <f>IF(G1011="PUBLICA(1)",1,IF(G1011="USO INTERNO(2)",2,IF(G1011="RESTRINGIDO(3)",3,0)))+IF(H1011="BAJA(1)",1,IF(H1011="MEDIA(2)",2,IF(H1011="ALTA(3)",3,0)))+IF(I1011="BAJA(1)",1,IF(I1011="MEDIA(2)",2,IF(I1011="ALTA(3)",3,0)))</f>
        <v/>
      </c>
      <c r="K1011">
        <f>IF(J1011="", "", IF(J1011&gt;=8,"ALTA",IF(J1011&gt;=6,"MEDIA","BAJA")))</f>
        <v/>
      </c>
      <c r="L1011">
        <f>IF(INVENTARIO!Y1011="","",INVENTARIO!Y1011)</f>
        <v/>
      </c>
      <c r="M1011">
        <f>IF(INVENTARIO!Z1011="","",INVENTARIO!Z1011)</f>
        <v/>
      </c>
      <c r="N1011">
        <f>IF(INVENTARIO!AA1011="","",INVENTARIO!AA1011)</f>
        <v/>
      </c>
      <c r="O1011">
        <f>IF(INVENTARIO!AB1011="","",INVENTARIO!AB1011)</f>
        <v/>
      </c>
      <c r="P1011">
        <f>IF(INVENTARIO!AC1011="","",INVENTARIO!AC1011)</f>
        <v/>
      </c>
      <c r="Q1011">
        <f>IF(AND(K1011="",N1011="",L1011=""),"",IF(AND((K1011="ALTA"),OR(LEFT(N1011,2)="L0",LEFT(N1011,2)="L1",L1011="No Iniciado")),"CRÍTICO - Incumplimiento Normativo SEPS",IF(AND(OR(LEFT(N1011,2)="L4",LEFT(N1011,2)="L5"),AND(P1011&lt;&gt;"",P1011&lt;&gt;"N/A")),"CONFORME - Control Efectivo ISO 27001","OBSERVACIÓN - Revisar Controles")))</f>
        <v/>
      </c>
    </row>
    <row r="1012">
      <c r="A1012">
        <f>IF(INVENTARIO!A1012="","",INVENTARIO!A1012)</f>
        <v/>
      </c>
      <c r="B1012">
        <f>IF(INVENTARIO!E1012="","",INVENTARIO!E1012)</f>
        <v/>
      </c>
      <c r="C1012">
        <f>IF(INVENTARIO!F1012="","",INVENTARIO!F1012)</f>
        <v/>
      </c>
      <c r="D1012">
        <f>IF(INVENTARIO!H1012="","",INVENTARIO!H1012)</f>
        <v/>
      </c>
      <c r="E1012">
        <f>IF(INVENTARIO!I1012="","",INVENTARIO!I1012)</f>
        <v/>
      </c>
      <c r="F1012">
        <f>IF(INVENTARIO!N1012="","",INVENTARIO!N1012)</f>
        <v/>
      </c>
      <c r="G1012">
        <f>IF(INVENTARIO!P1012="","",INVENTARIO!P1012)</f>
        <v/>
      </c>
      <c r="H1012">
        <f>IF(INVENTARIO!Q1012="","",INVENTARIO!Q1012)</f>
        <v/>
      </c>
      <c r="I1012">
        <f>IF(INVENTARIO!R1012="","",INVENTARIO!R1012)</f>
        <v/>
      </c>
      <c r="J1012">
        <f>IF(G1012="PUBLICA(1)",1,IF(G1012="USO INTERNO(2)",2,IF(G1012="RESTRINGIDO(3)",3,0)))+IF(H1012="BAJA(1)",1,IF(H1012="MEDIA(2)",2,IF(H1012="ALTA(3)",3,0)))+IF(I1012="BAJA(1)",1,IF(I1012="MEDIA(2)",2,IF(I1012="ALTA(3)",3,0)))</f>
        <v/>
      </c>
      <c r="K1012">
        <f>IF(J1012="", "", IF(J1012&gt;=8,"ALTA",IF(J1012&gt;=6,"MEDIA","BAJA")))</f>
        <v/>
      </c>
      <c r="L1012">
        <f>IF(INVENTARIO!Y1012="","",INVENTARIO!Y1012)</f>
        <v/>
      </c>
      <c r="M1012">
        <f>IF(INVENTARIO!Z1012="","",INVENTARIO!Z1012)</f>
        <v/>
      </c>
      <c r="N1012">
        <f>IF(INVENTARIO!AA1012="","",INVENTARIO!AA1012)</f>
        <v/>
      </c>
      <c r="O1012">
        <f>IF(INVENTARIO!AB1012="","",INVENTARIO!AB1012)</f>
        <v/>
      </c>
      <c r="P1012">
        <f>IF(INVENTARIO!AC1012="","",INVENTARIO!AC1012)</f>
        <v/>
      </c>
      <c r="Q1012">
        <f>IF(AND(K1012="",N1012="",L1012=""),"",IF(AND((K1012="ALTA"),OR(LEFT(N1012,2)="L0",LEFT(N1012,2)="L1",L1012="No Iniciado")),"CRÍTICO - Incumplimiento Normativo SEPS",IF(AND(OR(LEFT(N1012,2)="L4",LEFT(N1012,2)="L5"),AND(P1012&lt;&gt;"",P1012&lt;&gt;"N/A")),"CONFORME - Control Efectivo ISO 27001","OBSERVACIÓN - Revisar Controles")))</f>
        <v/>
      </c>
    </row>
    <row r="1013">
      <c r="A1013">
        <f>IF(INVENTARIO!A1013="","",INVENTARIO!A1013)</f>
        <v/>
      </c>
      <c r="B1013">
        <f>IF(INVENTARIO!E1013="","",INVENTARIO!E1013)</f>
        <v/>
      </c>
      <c r="C1013">
        <f>IF(INVENTARIO!F1013="","",INVENTARIO!F1013)</f>
        <v/>
      </c>
      <c r="D1013">
        <f>IF(INVENTARIO!H1013="","",INVENTARIO!H1013)</f>
        <v/>
      </c>
      <c r="E1013">
        <f>IF(INVENTARIO!I1013="","",INVENTARIO!I1013)</f>
        <v/>
      </c>
      <c r="F1013">
        <f>IF(INVENTARIO!N1013="","",INVENTARIO!N1013)</f>
        <v/>
      </c>
      <c r="G1013">
        <f>IF(INVENTARIO!P1013="","",INVENTARIO!P1013)</f>
        <v/>
      </c>
      <c r="H1013">
        <f>IF(INVENTARIO!Q1013="","",INVENTARIO!Q1013)</f>
        <v/>
      </c>
      <c r="I1013">
        <f>IF(INVENTARIO!R1013="","",INVENTARIO!R1013)</f>
        <v/>
      </c>
      <c r="J1013">
        <f>IF(G1013="PUBLICA(1)",1,IF(G1013="USO INTERNO(2)",2,IF(G1013="RESTRINGIDO(3)",3,0)))+IF(H1013="BAJA(1)",1,IF(H1013="MEDIA(2)",2,IF(H1013="ALTA(3)",3,0)))+IF(I1013="BAJA(1)",1,IF(I1013="MEDIA(2)",2,IF(I1013="ALTA(3)",3,0)))</f>
        <v/>
      </c>
      <c r="K1013">
        <f>IF(J1013="", "", IF(J1013&gt;=8,"ALTA",IF(J1013&gt;=6,"MEDIA","BAJA")))</f>
        <v/>
      </c>
      <c r="L1013">
        <f>IF(INVENTARIO!Y1013="","",INVENTARIO!Y1013)</f>
        <v/>
      </c>
      <c r="M1013">
        <f>IF(INVENTARIO!Z1013="","",INVENTARIO!Z1013)</f>
        <v/>
      </c>
      <c r="N1013">
        <f>IF(INVENTARIO!AA1013="","",INVENTARIO!AA1013)</f>
        <v/>
      </c>
      <c r="O1013">
        <f>IF(INVENTARIO!AB1013="","",INVENTARIO!AB1013)</f>
        <v/>
      </c>
      <c r="P1013">
        <f>IF(INVENTARIO!AC1013="","",INVENTARIO!AC1013)</f>
        <v/>
      </c>
      <c r="Q1013">
        <f>IF(AND(K1013="",N1013="",L1013=""),"",IF(AND((K1013="ALTA"),OR(LEFT(N1013,2)="L0",LEFT(N1013,2)="L1",L1013="No Iniciado")),"CRÍTICO - Incumplimiento Normativo SEPS",IF(AND(OR(LEFT(N1013,2)="L4",LEFT(N1013,2)="L5"),AND(P1013&lt;&gt;"",P1013&lt;&gt;"N/A")),"CONFORME - Control Efectivo ISO 27001","OBSERVACIÓN - Revisar Controles")))</f>
        <v/>
      </c>
    </row>
    <row r="1014">
      <c r="A1014">
        <f>IF(INVENTARIO!A1014="","",INVENTARIO!A1014)</f>
        <v/>
      </c>
      <c r="B1014">
        <f>IF(INVENTARIO!E1014="","",INVENTARIO!E1014)</f>
        <v/>
      </c>
      <c r="C1014">
        <f>IF(INVENTARIO!F1014="","",INVENTARIO!F1014)</f>
        <v/>
      </c>
      <c r="D1014">
        <f>IF(INVENTARIO!H1014="","",INVENTARIO!H1014)</f>
        <v/>
      </c>
      <c r="E1014">
        <f>IF(INVENTARIO!I1014="","",INVENTARIO!I1014)</f>
        <v/>
      </c>
      <c r="F1014">
        <f>IF(INVENTARIO!N1014="","",INVENTARIO!N1014)</f>
        <v/>
      </c>
      <c r="G1014">
        <f>IF(INVENTARIO!P1014="","",INVENTARIO!P1014)</f>
        <v/>
      </c>
      <c r="H1014">
        <f>IF(INVENTARIO!Q1014="","",INVENTARIO!Q1014)</f>
        <v/>
      </c>
      <c r="I1014">
        <f>IF(INVENTARIO!R1014="","",INVENTARIO!R1014)</f>
        <v/>
      </c>
      <c r="J1014">
        <f>IF(G1014="PUBLICA(1)",1,IF(G1014="USO INTERNO(2)",2,IF(G1014="RESTRINGIDO(3)",3,0)))+IF(H1014="BAJA(1)",1,IF(H1014="MEDIA(2)",2,IF(H1014="ALTA(3)",3,0)))+IF(I1014="BAJA(1)",1,IF(I1014="MEDIA(2)",2,IF(I1014="ALTA(3)",3,0)))</f>
        <v/>
      </c>
      <c r="K1014">
        <f>IF(J1014="", "", IF(J1014&gt;=8,"ALTA",IF(J1014&gt;=6,"MEDIA","BAJA")))</f>
        <v/>
      </c>
      <c r="L1014">
        <f>IF(INVENTARIO!Y1014="","",INVENTARIO!Y1014)</f>
        <v/>
      </c>
      <c r="M1014">
        <f>IF(INVENTARIO!Z1014="","",INVENTARIO!Z1014)</f>
        <v/>
      </c>
      <c r="N1014">
        <f>IF(INVENTARIO!AA1014="","",INVENTARIO!AA1014)</f>
        <v/>
      </c>
      <c r="O1014">
        <f>IF(INVENTARIO!AB1014="","",INVENTARIO!AB1014)</f>
        <v/>
      </c>
      <c r="P1014">
        <f>IF(INVENTARIO!AC1014="","",INVENTARIO!AC1014)</f>
        <v/>
      </c>
      <c r="Q1014">
        <f>IF(AND(K1014="",N1014="",L1014=""),"",IF(AND((K1014="ALTA"),OR(LEFT(N1014,2)="L0",LEFT(N1014,2)="L1",L1014="No Iniciado")),"CRÍTICO - Incumplimiento Normativo SEPS",IF(AND(OR(LEFT(N1014,2)="L4",LEFT(N1014,2)="L5"),AND(P1014&lt;&gt;"",P1014&lt;&gt;"N/A")),"CONFORME - Control Efectivo ISO 27001","OBSERVACIÓN - Revisar Controles")))</f>
        <v/>
      </c>
    </row>
    <row r="1015">
      <c r="A1015">
        <f>IF(INVENTARIO!A1015="","",INVENTARIO!A1015)</f>
        <v/>
      </c>
      <c r="B1015">
        <f>IF(INVENTARIO!E1015="","",INVENTARIO!E1015)</f>
        <v/>
      </c>
      <c r="C1015">
        <f>IF(INVENTARIO!F1015="","",INVENTARIO!F1015)</f>
        <v/>
      </c>
      <c r="D1015">
        <f>IF(INVENTARIO!H1015="","",INVENTARIO!H1015)</f>
        <v/>
      </c>
      <c r="E1015">
        <f>IF(INVENTARIO!I1015="","",INVENTARIO!I1015)</f>
        <v/>
      </c>
      <c r="F1015">
        <f>IF(INVENTARIO!N1015="","",INVENTARIO!N1015)</f>
        <v/>
      </c>
      <c r="G1015">
        <f>IF(INVENTARIO!P1015="","",INVENTARIO!P1015)</f>
        <v/>
      </c>
      <c r="H1015">
        <f>IF(INVENTARIO!Q1015="","",INVENTARIO!Q1015)</f>
        <v/>
      </c>
      <c r="I1015">
        <f>IF(INVENTARIO!R1015="","",INVENTARIO!R1015)</f>
        <v/>
      </c>
      <c r="J1015">
        <f>IF(G1015="PUBLICA(1)",1,IF(G1015="USO INTERNO(2)",2,IF(G1015="RESTRINGIDO(3)",3,0)))+IF(H1015="BAJA(1)",1,IF(H1015="MEDIA(2)",2,IF(H1015="ALTA(3)",3,0)))+IF(I1015="BAJA(1)",1,IF(I1015="MEDIA(2)",2,IF(I1015="ALTA(3)",3,0)))</f>
        <v/>
      </c>
      <c r="K1015">
        <f>IF(J1015="", "", IF(J1015&gt;=8,"ALTA",IF(J1015&gt;=6,"MEDIA","BAJA")))</f>
        <v/>
      </c>
      <c r="L1015">
        <f>IF(INVENTARIO!Y1015="","",INVENTARIO!Y1015)</f>
        <v/>
      </c>
      <c r="M1015">
        <f>IF(INVENTARIO!Z1015="","",INVENTARIO!Z1015)</f>
        <v/>
      </c>
      <c r="N1015">
        <f>IF(INVENTARIO!AA1015="","",INVENTARIO!AA1015)</f>
        <v/>
      </c>
      <c r="O1015">
        <f>IF(INVENTARIO!AB1015="","",INVENTARIO!AB1015)</f>
        <v/>
      </c>
      <c r="P1015">
        <f>IF(INVENTARIO!AC1015="","",INVENTARIO!AC1015)</f>
        <v/>
      </c>
      <c r="Q1015">
        <f>IF(AND(K1015="",N1015="",L1015=""),"",IF(AND((K1015="ALTA"),OR(LEFT(N1015,2)="L0",LEFT(N1015,2)="L1",L1015="No Iniciado")),"CRÍTICO - Incumplimiento Normativo SEPS",IF(AND(OR(LEFT(N1015,2)="L4",LEFT(N1015,2)="L5"),AND(P1015&lt;&gt;"",P1015&lt;&gt;"N/A")),"CONFORME - Control Efectivo ISO 27001","OBSERVACIÓN - Revisar Controles")))</f>
        <v/>
      </c>
    </row>
    <row r="1016">
      <c r="A1016">
        <f>IF(INVENTARIO!A1016="","",INVENTARIO!A1016)</f>
        <v/>
      </c>
      <c r="B1016">
        <f>IF(INVENTARIO!E1016="","",INVENTARIO!E1016)</f>
        <v/>
      </c>
      <c r="C1016">
        <f>IF(INVENTARIO!F1016="","",INVENTARIO!F1016)</f>
        <v/>
      </c>
      <c r="D1016">
        <f>IF(INVENTARIO!H1016="","",INVENTARIO!H1016)</f>
        <v/>
      </c>
      <c r="E1016">
        <f>IF(INVENTARIO!I1016="","",INVENTARIO!I1016)</f>
        <v/>
      </c>
      <c r="F1016">
        <f>IF(INVENTARIO!N1016="","",INVENTARIO!N1016)</f>
        <v/>
      </c>
      <c r="G1016">
        <f>IF(INVENTARIO!P1016="","",INVENTARIO!P1016)</f>
        <v/>
      </c>
      <c r="H1016">
        <f>IF(INVENTARIO!Q1016="","",INVENTARIO!Q1016)</f>
        <v/>
      </c>
      <c r="I1016">
        <f>IF(INVENTARIO!R1016="","",INVENTARIO!R1016)</f>
        <v/>
      </c>
      <c r="J1016">
        <f>IF(G1016="PUBLICA(1)",1,IF(G1016="USO INTERNO(2)",2,IF(G1016="RESTRINGIDO(3)",3,0)))+IF(H1016="BAJA(1)",1,IF(H1016="MEDIA(2)",2,IF(H1016="ALTA(3)",3,0)))+IF(I1016="BAJA(1)",1,IF(I1016="MEDIA(2)",2,IF(I1016="ALTA(3)",3,0)))</f>
        <v/>
      </c>
      <c r="K1016">
        <f>IF(J1016="", "", IF(J1016&gt;=8,"ALTA",IF(J1016&gt;=6,"MEDIA","BAJA")))</f>
        <v/>
      </c>
      <c r="L1016">
        <f>IF(INVENTARIO!Y1016="","",INVENTARIO!Y1016)</f>
        <v/>
      </c>
      <c r="M1016">
        <f>IF(INVENTARIO!Z1016="","",INVENTARIO!Z1016)</f>
        <v/>
      </c>
      <c r="N1016">
        <f>IF(INVENTARIO!AA1016="","",INVENTARIO!AA1016)</f>
        <v/>
      </c>
      <c r="O1016">
        <f>IF(INVENTARIO!AB1016="","",INVENTARIO!AB1016)</f>
        <v/>
      </c>
      <c r="P1016">
        <f>IF(INVENTARIO!AC1016="","",INVENTARIO!AC1016)</f>
        <v/>
      </c>
      <c r="Q1016">
        <f>IF(AND(K1016="",N1016="",L1016=""),"",IF(AND((K1016="ALTA"),OR(LEFT(N1016,2)="L0",LEFT(N1016,2)="L1",L1016="No Iniciado")),"CRÍTICO - Incumplimiento Normativo SEPS",IF(AND(OR(LEFT(N1016,2)="L4",LEFT(N1016,2)="L5"),AND(P1016&lt;&gt;"",P1016&lt;&gt;"N/A")),"CONFORME - Control Efectivo ISO 27001","OBSERVACIÓN - Revisar Controles")))</f>
        <v/>
      </c>
    </row>
    <row r="1017">
      <c r="A1017">
        <f>IF(INVENTARIO!A1017="","",INVENTARIO!A1017)</f>
        <v/>
      </c>
      <c r="B1017">
        <f>IF(INVENTARIO!E1017="","",INVENTARIO!E1017)</f>
        <v/>
      </c>
      <c r="C1017">
        <f>IF(INVENTARIO!F1017="","",INVENTARIO!F1017)</f>
        <v/>
      </c>
      <c r="D1017">
        <f>IF(INVENTARIO!H1017="","",INVENTARIO!H1017)</f>
        <v/>
      </c>
      <c r="E1017">
        <f>IF(INVENTARIO!I1017="","",INVENTARIO!I1017)</f>
        <v/>
      </c>
      <c r="F1017">
        <f>IF(INVENTARIO!N1017="","",INVENTARIO!N1017)</f>
        <v/>
      </c>
      <c r="G1017">
        <f>IF(INVENTARIO!P1017="","",INVENTARIO!P1017)</f>
        <v/>
      </c>
      <c r="H1017">
        <f>IF(INVENTARIO!Q1017="","",INVENTARIO!Q1017)</f>
        <v/>
      </c>
      <c r="I1017">
        <f>IF(INVENTARIO!R1017="","",INVENTARIO!R1017)</f>
        <v/>
      </c>
      <c r="J1017">
        <f>IF(G1017="PUBLICA(1)",1,IF(G1017="USO INTERNO(2)",2,IF(G1017="RESTRINGIDO(3)",3,0)))+IF(H1017="BAJA(1)",1,IF(H1017="MEDIA(2)",2,IF(H1017="ALTA(3)",3,0)))+IF(I1017="BAJA(1)",1,IF(I1017="MEDIA(2)",2,IF(I1017="ALTA(3)",3,0)))</f>
        <v/>
      </c>
      <c r="K1017">
        <f>IF(J1017="", "", IF(J1017&gt;=8,"ALTA",IF(J1017&gt;=6,"MEDIA","BAJA")))</f>
        <v/>
      </c>
      <c r="L1017">
        <f>IF(INVENTARIO!Y1017="","",INVENTARIO!Y1017)</f>
        <v/>
      </c>
      <c r="M1017">
        <f>IF(INVENTARIO!Z1017="","",INVENTARIO!Z1017)</f>
        <v/>
      </c>
      <c r="N1017">
        <f>IF(INVENTARIO!AA1017="","",INVENTARIO!AA1017)</f>
        <v/>
      </c>
      <c r="O1017">
        <f>IF(INVENTARIO!AB1017="","",INVENTARIO!AB1017)</f>
        <v/>
      </c>
      <c r="P1017">
        <f>IF(INVENTARIO!AC1017="","",INVENTARIO!AC1017)</f>
        <v/>
      </c>
      <c r="Q1017">
        <f>IF(AND(K1017="",N1017="",L1017=""),"",IF(AND((K1017="ALTA"),OR(LEFT(N1017,2)="L0",LEFT(N1017,2)="L1",L1017="No Iniciado")),"CRÍTICO - Incumplimiento Normativo SEPS",IF(AND(OR(LEFT(N1017,2)="L4",LEFT(N1017,2)="L5"),AND(P1017&lt;&gt;"",P1017&lt;&gt;"N/A")),"CONFORME - Control Efectivo ISO 27001","OBSERVACIÓN - Revisar Controles")))</f>
        <v/>
      </c>
    </row>
    <row r="1018">
      <c r="A1018">
        <f>IF(INVENTARIO!A1018="","",INVENTARIO!A1018)</f>
        <v/>
      </c>
      <c r="B1018">
        <f>IF(INVENTARIO!E1018="","",INVENTARIO!E1018)</f>
        <v/>
      </c>
      <c r="C1018">
        <f>IF(INVENTARIO!F1018="","",INVENTARIO!F1018)</f>
        <v/>
      </c>
      <c r="D1018">
        <f>IF(INVENTARIO!H1018="","",INVENTARIO!H1018)</f>
        <v/>
      </c>
      <c r="E1018">
        <f>IF(INVENTARIO!I1018="","",INVENTARIO!I1018)</f>
        <v/>
      </c>
      <c r="F1018">
        <f>IF(INVENTARIO!N1018="","",INVENTARIO!N1018)</f>
        <v/>
      </c>
      <c r="G1018">
        <f>IF(INVENTARIO!P1018="","",INVENTARIO!P1018)</f>
        <v/>
      </c>
      <c r="H1018">
        <f>IF(INVENTARIO!Q1018="","",INVENTARIO!Q1018)</f>
        <v/>
      </c>
      <c r="I1018">
        <f>IF(INVENTARIO!R1018="","",INVENTARIO!R1018)</f>
        <v/>
      </c>
      <c r="J1018">
        <f>IF(G1018="PUBLICA(1)",1,IF(G1018="USO INTERNO(2)",2,IF(G1018="RESTRINGIDO(3)",3,0)))+IF(H1018="BAJA(1)",1,IF(H1018="MEDIA(2)",2,IF(H1018="ALTA(3)",3,0)))+IF(I1018="BAJA(1)",1,IF(I1018="MEDIA(2)",2,IF(I1018="ALTA(3)",3,0)))</f>
        <v/>
      </c>
      <c r="K1018">
        <f>IF(J1018="", "", IF(J1018&gt;=8,"ALTA",IF(J1018&gt;=6,"MEDIA","BAJA")))</f>
        <v/>
      </c>
      <c r="L1018">
        <f>IF(INVENTARIO!Y1018="","",INVENTARIO!Y1018)</f>
        <v/>
      </c>
      <c r="M1018">
        <f>IF(INVENTARIO!Z1018="","",INVENTARIO!Z1018)</f>
        <v/>
      </c>
      <c r="N1018">
        <f>IF(INVENTARIO!AA1018="","",INVENTARIO!AA1018)</f>
        <v/>
      </c>
      <c r="O1018">
        <f>IF(INVENTARIO!AB1018="","",INVENTARIO!AB1018)</f>
        <v/>
      </c>
      <c r="P1018">
        <f>IF(INVENTARIO!AC1018="","",INVENTARIO!AC1018)</f>
        <v/>
      </c>
      <c r="Q1018">
        <f>IF(AND(K1018="",N1018="",L1018=""),"",IF(AND((K1018="ALTA"),OR(LEFT(N1018,2)="L0",LEFT(N1018,2)="L1",L1018="No Iniciado")),"CRÍTICO - Incumplimiento Normativo SEPS",IF(AND(OR(LEFT(N1018,2)="L4",LEFT(N1018,2)="L5"),AND(P1018&lt;&gt;"",P1018&lt;&gt;"N/A")),"CONFORME - Control Efectivo ISO 27001","OBSERVACIÓN - Revisar Controles")))</f>
        <v/>
      </c>
    </row>
    <row r="1019">
      <c r="A1019">
        <f>IF(INVENTARIO!A1019="","",INVENTARIO!A1019)</f>
        <v/>
      </c>
      <c r="B1019">
        <f>IF(INVENTARIO!E1019="","",INVENTARIO!E1019)</f>
        <v/>
      </c>
      <c r="C1019">
        <f>IF(INVENTARIO!F1019="","",INVENTARIO!F1019)</f>
        <v/>
      </c>
      <c r="D1019">
        <f>IF(INVENTARIO!H1019="","",INVENTARIO!H1019)</f>
        <v/>
      </c>
      <c r="E1019">
        <f>IF(INVENTARIO!I1019="","",INVENTARIO!I1019)</f>
        <v/>
      </c>
      <c r="F1019">
        <f>IF(INVENTARIO!N1019="","",INVENTARIO!N1019)</f>
        <v/>
      </c>
      <c r="G1019">
        <f>IF(INVENTARIO!P1019="","",INVENTARIO!P1019)</f>
        <v/>
      </c>
      <c r="H1019">
        <f>IF(INVENTARIO!Q1019="","",INVENTARIO!Q1019)</f>
        <v/>
      </c>
      <c r="I1019">
        <f>IF(INVENTARIO!R1019="","",INVENTARIO!R1019)</f>
        <v/>
      </c>
      <c r="J1019">
        <f>IF(G1019="PUBLICA(1)",1,IF(G1019="USO INTERNO(2)",2,IF(G1019="RESTRINGIDO(3)",3,0)))+IF(H1019="BAJA(1)",1,IF(H1019="MEDIA(2)",2,IF(H1019="ALTA(3)",3,0)))+IF(I1019="BAJA(1)",1,IF(I1019="MEDIA(2)",2,IF(I1019="ALTA(3)",3,0)))</f>
        <v/>
      </c>
      <c r="K1019">
        <f>IF(J1019="", "", IF(J1019&gt;=8,"ALTA",IF(J1019&gt;=6,"MEDIA","BAJA")))</f>
        <v/>
      </c>
      <c r="L1019">
        <f>IF(INVENTARIO!Y1019="","",INVENTARIO!Y1019)</f>
        <v/>
      </c>
      <c r="M1019">
        <f>IF(INVENTARIO!Z1019="","",INVENTARIO!Z1019)</f>
        <v/>
      </c>
      <c r="N1019">
        <f>IF(INVENTARIO!AA1019="","",INVENTARIO!AA1019)</f>
        <v/>
      </c>
      <c r="O1019">
        <f>IF(INVENTARIO!AB1019="","",INVENTARIO!AB1019)</f>
        <v/>
      </c>
      <c r="P1019">
        <f>IF(INVENTARIO!AC1019="","",INVENTARIO!AC1019)</f>
        <v/>
      </c>
      <c r="Q1019">
        <f>IF(AND(K1019="",N1019="",L1019=""),"",IF(AND((K1019="ALTA"),OR(LEFT(N1019,2)="L0",LEFT(N1019,2)="L1",L1019="No Iniciado")),"CRÍTICO - Incumplimiento Normativo SEPS",IF(AND(OR(LEFT(N1019,2)="L4",LEFT(N1019,2)="L5"),AND(P1019&lt;&gt;"",P1019&lt;&gt;"N/A")),"CONFORME - Control Efectivo ISO 27001","OBSERVACIÓN - Revisar Controles")))</f>
        <v/>
      </c>
    </row>
    <row r="1020">
      <c r="A1020">
        <f>IF(INVENTARIO!A1020="","",INVENTARIO!A1020)</f>
        <v/>
      </c>
      <c r="B1020">
        <f>IF(INVENTARIO!E1020="","",INVENTARIO!E1020)</f>
        <v/>
      </c>
      <c r="C1020">
        <f>IF(INVENTARIO!F1020="","",INVENTARIO!F1020)</f>
        <v/>
      </c>
      <c r="D1020">
        <f>IF(INVENTARIO!H1020="","",INVENTARIO!H1020)</f>
        <v/>
      </c>
      <c r="E1020">
        <f>IF(INVENTARIO!I1020="","",INVENTARIO!I1020)</f>
        <v/>
      </c>
      <c r="F1020">
        <f>IF(INVENTARIO!N1020="","",INVENTARIO!N1020)</f>
        <v/>
      </c>
      <c r="G1020">
        <f>IF(INVENTARIO!P1020="","",INVENTARIO!P1020)</f>
        <v/>
      </c>
      <c r="H1020">
        <f>IF(INVENTARIO!Q1020="","",INVENTARIO!Q1020)</f>
        <v/>
      </c>
      <c r="I1020">
        <f>IF(INVENTARIO!R1020="","",INVENTARIO!R1020)</f>
        <v/>
      </c>
      <c r="J1020">
        <f>IF(G1020="PUBLICA(1)",1,IF(G1020="USO INTERNO(2)",2,IF(G1020="RESTRINGIDO(3)",3,0)))+IF(H1020="BAJA(1)",1,IF(H1020="MEDIA(2)",2,IF(H1020="ALTA(3)",3,0)))+IF(I1020="BAJA(1)",1,IF(I1020="MEDIA(2)",2,IF(I1020="ALTA(3)",3,0)))</f>
        <v/>
      </c>
      <c r="K1020">
        <f>IF(J1020="", "", IF(J1020&gt;=8,"ALTA",IF(J1020&gt;=6,"MEDIA","BAJA")))</f>
        <v/>
      </c>
      <c r="L1020">
        <f>IF(INVENTARIO!Y1020="","",INVENTARIO!Y1020)</f>
        <v/>
      </c>
      <c r="M1020">
        <f>IF(INVENTARIO!Z1020="","",INVENTARIO!Z1020)</f>
        <v/>
      </c>
      <c r="N1020">
        <f>IF(INVENTARIO!AA1020="","",INVENTARIO!AA1020)</f>
        <v/>
      </c>
      <c r="O1020">
        <f>IF(INVENTARIO!AB1020="","",INVENTARIO!AB1020)</f>
        <v/>
      </c>
      <c r="P1020">
        <f>IF(INVENTARIO!AC1020="","",INVENTARIO!AC1020)</f>
        <v/>
      </c>
      <c r="Q1020">
        <f>IF(AND(K1020="",N1020="",L1020=""),"",IF(AND((K1020="ALTA"),OR(LEFT(N1020,2)="L0",LEFT(N1020,2)="L1",L1020="No Iniciado")),"CRÍTICO - Incumplimiento Normativo SEPS",IF(AND(OR(LEFT(N1020,2)="L4",LEFT(N1020,2)="L5"),AND(P1020&lt;&gt;"",P1020&lt;&gt;"N/A")),"CONFORME - Control Efectivo ISO 27001","OBSERVACIÓN - Revisar Controles")))</f>
        <v/>
      </c>
    </row>
    <row r="1021">
      <c r="A1021">
        <f>IF(INVENTARIO!A1021="","",INVENTARIO!A1021)</f>
        <v/>
      </c>
      <c r="B1021">
        <f>IF(INVENTARIO!E1021="","",INVENTARIO!E1021)</f>
        <v/>
      </c>
      <c r="C1021">
        <f>IF(INVENTARIO!F1021="","",INVENTARIO!F1021)</f>
        <v/>
      </c>
      <c r="D1021">
        <f>IF(INVENTARIO!H1021="","",INVENTARIO!H1021)</f>
        <v/>
      </c>
      <c r="E1021">
        <f>IF(INVENTARIO!I1021="","",INVENTARIO!I1021)</f>
        <v/>
      </c>
      <c r="F1021">
        <f>IF(INVENTARIO!N1021="","",INVENTARIO!N1021)</f>
        <v/>
      </c>
      <c r="G1021">
        <f>IF(INVENTARIO!P1021="","",INVENTARIO!P1021)</f>
        <v/>
      </c>
      <c r="H1021">
        <f>IF(INVENTARIO!Q1021="","",INVENTARIO!Q1021)</f>
        <v/>
      </c>
      <c r="I1021">
        <f>IF(INVENTARIO!R1021="","",INVENTARIO!R1021)</f>
        <v/>
      </c>
      <c r="J1021">
        <f>IF(G1021="PUBLICA(1)",1,IF(G1021="USO INTERNO(2)",2,IF(G1021="RESTRINGIDO(3)",3,0)))+IF(H1021="BAJA(1)",1,IF(H1021="MEDIA(2)",2,IF(H1021="ALTA(3)",3,0)))+IF(I1021="BAJA(1)",1,IF(I1021="MEDIA(2)",2,IF(I1021="ALTA(3)",3,0)))</f>
        <v/>
      </c>
      <c r="K1021">
        <f>IF(J1021="", "", IF(J1021&gt;=8,"ALTA",IF(J1021&gt;=6,"MEDIA","BAJA")))</f>
        <v/>
      </c>
      <c r="L1021">
        <f>IF(INVENTARIO!Y1021="","",INVENTARIO!Y1021)</f>
        <v/>
      </c>
      <c r="M1021">
        <f>IF(INVENTARIO!Z1021="","",INVENTARIO!Z1021)</f>
        <v/>
      </c>
      <c r="N1021">
        <f>IF(INVENTARIO!AA1021="","",INVENTARIO!AA1021)</f>
        <v/>
      </c>
      <c r="O1021">
        <f>IF(INVENTARIO!AB1021="","",INVENTARIO!AB1021)</f>
        <v/>
      </c>
      <c r="P1021">
        <f>IF(INVENTARIO!AC1021="","",INVENTARIO!AC1021)</f>
        <v/>
      </c>
      <c r="Q1021">
        <f>IF(AND(K1021="",N1021="",L1021=""),"",IF(AND((K1021="ALTA"),OR(LEFT(N1021,2)="L0",LEFT(N1021,2)="L1",L1021="No Iniciado")),"CRÍTICO - Incumplimiento Normativo SEPS",IF(AND(OR(LEFT(N1021,2)="L4",LEFT(N1021,2)="L5"),AND(P1021&lt;&gt;"",P1021&lt;&gt;"N/A")),"CONFORME - Control Efectivo ISO 27001","OBSERVACIÓN - Revisar Controles")))</f>
        <v/>
      </c>
    </row>
    <row r="1022">
      <c r="A1022">
        <f>IF(INVENTARIO!A1022="","",INVENTARIO!A1022)</f>
        <v/>
      </c>
      <c r="B1022">
        <f>IF(INVENTARIO!E1022="","",INVENTARIO!E1022)</f>
        <v/>
      </c>
      <c r="C1022">
        <f>IF(INVENTARIO!F1022="","",INVENTARIO!F1022)</f>
        <v/>
      </c>
      <c r="D1022">
        <f>IF(INVENTARIO!H1022="","",INVENTARIO!H1022)</f>
        <v/>
      </c>
      <c r="E1022">
        <f>IF(INVENTARIO!I1022="","",INVENTARIO!I1022)</f>
        <v/>
      </c>
      <c r="F1022">
        <f>IF(INVENTARIO!N1022="","",INVENTARIO!N1022)</f>
        <v/>
      </c>
      <c r="G1022">
        <f>IF(INVENTARIO!P1022="","",INVENTARIO!P1022)</f>
        <v/>
      </c>
      <c r="H1022">
        <f>IF(INVENTARIO!Q1022="","",INVENTARIO!Q1022)</f>
        <v/>
      </c>
      <c r="I1022">
        <f>IF(INVENTARIO!R1022="","",INVENTARIO!R1022)</f>
        <v/>
      </c>
      <c r="J1022">
        <f>IF(G1022="PUBLICA(1)",1,IF(G1022="USO INTERNO(2)",2,IF(G1022="RESTRINGIDO(3)",3,0)))+IF(H1022="BAJA(1)",1,IF(H1022="MEDIA(2)",2,IF(H1022="ALTA(3)",3,0)))+IF(I1022="BAJA(1)",1,IF(I1022="MEDIA(2)",2,IF(I1022="ALTA(3)",3,0)))</f>
        <v/>
      </c>
      <c r="K1022">
        <f>IF(J1022="", "", IF(J1022&gt;=8,"ALTA",IF(J1022&gt;=6,"MEDIA","BAJA")))</f>
        <v/>
      </c>
      <c r="L1022">
        <f>IF(INVENTARIO!Y1022="","",INVENTARIO!Y1022)</f>
        <v/>
      </c>
      <c r="M1022">
        <f>IF(INVENTARIO!Z1022="","",INVENTARIO!Z1022)</f>
        <v/>
      </c>
      <c r="N1022">
        <f>IF(INVENTARIO!AA1022="","",INVENTARIO!AA1022)</f>
        <v/>
      </c>
      <c r="O1022">
        <f>IF(INVENTARIO!AB1022="","",INVENTARIO!AB1022)</f>
        <v/>
      </c>
      <c r="P1022">
        <f>IF(INVENTARIO!AC1022="","",INVENTARIO!AC1022)</f>
        <v/>
      </c>
      <c r="Q1022">
        <f>IF(AND(K1022="",N1022="",L1022=""),"",IF(AND((K1022="ALTA"),OR(LEFT(N1022,2)="L0",LEFT(N1022,2)="L1",L1022="No Iniciado")),"CRÍTICO - Incumplimiento Normativo SEPS",IF(AND(OR(LEFT(N1022,2)="L4",LEFT(N1022,2)="L5"),AND(P1022&lt;&gt;"",P1022&lt;&gt;"N/A")),"CONFORME - Control Efectivo ISO 27001","OBSERVACIÓN - Revisar Controles")))</f>
        <v/>
      </c>
    </row>
    <row r="1023">
      <c r="A1023">
        <f>IF(INVENTARIO!A1023="","",INVENTARIO!A1023)</f>
        <v/>
      </c>
      <c r="B1023">
        <f>IF(INVENTARIO!E1023="","",INVENTARIO!E1023)</f>
        <v/>
      </c>
      <c r="C1023">
        <f>IF(INVENTARIO!F1023="","",INVENTARIO!F1023)</f>
        <v/>
      </c>
      <c r="D1023">
        <f>IF(INVENTARIO!H1023="","",INVENTARIO!H1023)</f>
        <v/>
      </c>
      <c r="E1023">
        <f>IF(INVENTARIO!I1023="","",INVENTARIO!I1023)</f>
        <v/>
      </c>
      <c r="F1023">
        <f>IF(INVENTARIO!N1023="","",INVENTARIO!N1023)</f>
        <v/>
      </c>
      <c r="G1023">
        <f>IF(INVENTARIO!P1023="","",INVENTARIO!P1023)</f>
        <v/>
      </c>
      <c r="H1023">
        <f>IF(INVENTARIO!Q1023="","",INVENTARIO!Q1023)</f>
        <v/>
      </c>
      <c r="I1023">
        <f>IF(INVENTARIO!R1023="","",INVENTARIO!R1023)</f>
        <v/>
      </c>
      <c r="J1023">
        <f>IF(G1023="PUBLICA(1)",1,IF(G1023="USO INTERNO(2)",2,IF(G1023="RESTRINGIDO(3)",3,0)))+IF(H1023="BAJA(1)",1,IF(H1023="MEDIA(2)",2,IF(H1023="ALTA(3)",3,0)))+IF(I1023="BAJA(1)",1,IF(I1023="MEDIA(2)",2,IF(I1023="ALTA(3)",3,0)))</f>
        <v/>
      </c>
      <c r="K1023">
        <f>IF(J1023="", "", IF(J1023&gt;=8,"ALTA",IF(J1023&gt;=6,"MEDIA","BAJA")))</f>
        <v/>
      </c>
      <c r="L1023">
        <f>IF(INVENTARIO!Y1023="","",INVENTARIO!Y1023)</f>
        <v/>
      </c>
      <c r="M1023">
        <f>IF(INVENTARIO!Z1023="","",INVENTARIO!Z1023)</f>
        <v/>
      </c>
      <c r="N1023">
        <f>IF(INVENTARIO!AA1023="","",INVENTARIO!AA1023)</f>
        <v/>
      </c>
      <c r="O1023">
        <f>IF(INVENTARIO!AB1023="","",INVENTARIO!AB1023)</f>
        <v/>
      </c>
      <c r="P1023">
        <f>IF(INVENTARIO!AC1023="","",INVENTARIO!AC1023)</f>
        <v/>
      </c>
      <c r="Q1023">
        <f>IF(AND(K1023="",N1023="",L1023=""),"",IF(AND((K1023="ALTA"),OR(LEFT(N1023,2)="L0",LEFT(N1023,2)="L1",L1023="No Iniciado")),"CRÍTICO - Incumplimiento Normativo SEPS",IF(AND(OR(LEFT(N1023,2)="L4",LEFT(N1023,2)="L5"),AND(P1023&lt;&gt;"",P1023&lt;&gt;"N/A")),"CONFORME - Control Efectivo ISO 27001","OBSERVACIÓN - Revisar Controles")))</f>
        <v/>
      </c>
    </row>
    <row r="1024">
      <c r="A1024">
        <f>IF(INVENTARIO!A1024="","",INVENTARIO!A1024)</f>
        <v/>
      </c>
      <c r="B1024">
        <f>IF(INVENTARIO!E1024="","",INVENTARIO!E1024)</f>
        <v/>
      </c>
      <c r="C1024">
        <f>IF(INVENTARIO!F1024="","",INVENTARIO!F1024)</f>
        <v/>
      </c>
      <c r="D1024">
        <f>IF(INVENTARIO!H1024="","",INVENTARIO!H1024)</f>
        <v/>
      </c>
      <c r="E1024">
        <f>IF(INVENTARIO!I1024="","",INVENTARIO!I1024)</f>
        <v/>
      </c>
      <c r="F1024">
        <f>IF(INVENTARIO!N1024="","",INVENTARIO!N1024)</f>
        <v/>
      </c>
      <c r="G1024">
        <f>IF(INVENTARIO!P1024="","",INVENTARIO!P1024)</f>
        <v/>
      </c>
      <c r="H1024">
        <f>IF(INVENTARIO!Q1024="","",INVENTARIO!Q1024)</f>
        <v/>
      </c>
      <c r="I1024">
        <f>IF(INVENTARIO!R1024="","",INVENTARIO!R1024)</f>
        <v/>
      </c>
      <c r="J1024">
        <f>IF(G1024="PUBLICA(1)",1,IF(G1024="USO INTERNO(2)",2,IF(G1024="RESTRINGIDO(3)",3,0)))+IF(H1024="BAJA(1)",1,IF(H1024="MEDIA(2)",2,IF(H1024="ALTA(3)",3,0)))+IF(I1024="BAJA(1)",1,IF(I1024="MEDIA(2)",2,IF(I1024="ALTA(3)",3,0)))</f>
        <v/>
      </c>
      <c r="K1024">
        <f>IF(J1024="", "", IF(J1024&gt;=8,"ALTA",IF(J1024&gt;=6,"MEDIA","BAJA")))</f>
        <v/>
      </c>
      <c r="L1024">
        <f>IF(INVENTARIO!Y1024="","",INVENTARIO!Y1024)</f>
        <v/>
      </c>
      <c r="M1024">
        <f>IF(INVENTARIO!Z1024="","",INVENTARIO!Z1024)</f>
        <v/>
      </c>
      <c r="N1024">
        <f>IF(INVENTARIO!AA1024="","",INVENTARIO!AA1024)</f>
        <v/>
      </c>
      <c r="O1024">
        <f>IF(INVENTARIO!AB1024="","",INVENTARIO!AB1024)</f>
        <v/>
      </c>
      <c r="P1024">
        <f>IF(INVENTARIO!AC1024="","",INVENTARIO!AC1024)</f>
        <v/>
      </c>
      <c r="Q1024">
        <f>IF(AND(K1024="",N1024="",L1024=""),"",IF(AND((K1024="ALTA"),OR(LEFT(N1024,2)="L0",LEFT(N1024,2)="L1",L1024="No Iniciado")),"CRÍTICO - Incumplimiento Normativo SEPS",IF(AND(OR(LEFT(N1024,2)="L4",LEFT(N1024,2)="L5"),AND(P1024&lt;&gt;"",P1024&lt;&gt;"N/A")),"CONFORME - Control Efectivo ISO 27001","OBSERVACIÓN - Revisar Controles")))</f>
        <v/>
      </c>
    </row>
    <row r="1025">
      <c r="A1025">
        <f>IF(INVENTARIO!A1025="","",INVENTARIO!A1025)</f>
        <v/>
      </c>
      <c r="B1025">
        <f>IF(INVENTARIO!E1025="","",INVENTARIO!E1025)</f>
        <v/>
      </c>
      <c r="C1025">
        <f>IF(INVENTARIO!F1025="","",INVENTARIO!F1025)</f>
        <v/>
      </c>
      <c r="D1025">
        <f>IF(INVENTARIO!H1025="","",INVENTARIO!H1025)</f>
        <v/>
      </c>
      <c r="E1025">
        <f>IF(INVENTARIO!I1025="","",INVENTARIO!I1025)</f>
        <v/>
      </c>
      <c r="F1025">
        <f>IF(INVENTARIO!N1025="","",INVENTARIO!N1025)</f>
        <v/>
      </c>
      <c r="G1025">
        <f>IF(INVENTARIO!P1025="","",INVENTARIO!P1025)</f>
        <v/>
      </c>
      <c r="H1025">
        <f>IF(INVENTARIO!Q1025="","",INVENTARIO!Q1025)</f>
        <v/>
      </c>
      <c r="I1025">
        <f>IF(INVENTARIO!R1025="","",INVENTARIO!R1025)</f>
        <v/>
      </c>
      <c r="J1025">
        <f>IF(G1025="PUBLICA(1)",1,IF(G1025="USO INTERNO(2)",2,IF(G1025="RESTRINGIDO(3)",3,0)))+IF(H1025="BAJA(1)",1,IF(H1025="MEDIA(2)",2,IF(H1025="ALTA(3)",3,0)))+IF(I1025="BAJA(1)",1,IF(I1025="MEDIA(2)",2,IF(I1025="ALTA(3)",3,0)))</f>
        <v/>
      </c>
      <c r="K1025">
        <f>IF(J1025="", "", IF(J1025&gt;=8,"ALTA",IF(J1025&gt;=6,"MEDIA","BAJA")))</f>
        <v/>
      </c>
      <c r="L1025">
        <f>IF(INVENTARIO!Y1025="","",INVENTARIO!Y1025)</f>
        <v/>
      </c>
      <c r="M1025">
        <f>IF(INVENTARIO!Z1025="","",INVENTARIO!Z1025)</f>
        <v/>
      </c>
      <c r="N1025">
        <f>IF(INVENTARIO!AA1025="","",INVENTARIO!AA1025)</f>
        <v/>
      </c>
      <c r="O1025">
        <f>IF(INVENTARIO!AB1025="","",INVENTARIO!AB1025)</f>
        <v/>
      </c>
      <c r="P1025">
        <f>IF(INVENTARIO!AC1025="","",INVENTARIO!AC1025)</f>
        <v/>
      </c>
      <c r="Q1025">
        <f>IF(AND(K1025="",N1025="",L1025=""),"",IF(AND((K1025="ALTA"),OR(LEFT(N1025,2)="L0",LEFT(N1025,2)="L1",L1025="No Iniciado")),"CRÍTICO - Incumplimiento Normativo SEPS",IF(AND(OR(LEFT(N1025,2)="L4",LEFT(N1025,2)="L5"),AND(P1025&lt;&gt;"",P1025&lt;&gt;"N/A")),"CONFORME - Control Efectivo ISO 27001","OBSERVACIÓN - Revisar Controles")))</f>
        <v/>
      </c>
    </row>
    <row r="1026">
      <c r="A1026">
        <f>IF(INVENTARIO!A1026="","",INVENTARIO!A1026)</f>
        <v/>
      </c>
      <c r="B1026">
        <f>IF(INVENTARIO!E1026="","",INVENTARIO!E1026)</f>
        <v/>
      </c>
      <c r="C1026">
        <f>IF(INVENTARIO!F1026="","",INVENTARIO!F1026)</f>
        <v/>
      </c>
      <c r="D1026">
        <f>IF(INVENTARIO!H1026="","",INVENTARIO!H1026)</f>
        <v/>
      </c>
      <c r="E1026">
        <f>IF(INVENTARIO!I1026="","",INVENTARIO!I1026)</f>
        <v/>
      </c>
      <c r="F1026">
        <f>IF(INVENTARIO!N1026="","",INVENTARIO!N1026)</f>
        <v/>
      </c>
      <c r="G1026">
        <f>IF(INVENTARIO!P1026="","",INVENTARIO!P1026)</f>
        <v/>
      </c>
      <c r="H1026">
        <f>IF(INVENTARIO!Q1026="","",INVENTARIO!Q1026)</f>
        <v/>
      </c>
      <c r="I1026">
        <f>IF(INVENTARIO!R1026="","",INVENTARIO!R1026)</f>
        <v/>
      </c>
      <c r="J1026">
        <f>IF(G1026="PUBLICA(1)",1,IF(G1026="USO INTERNO(2)",2,IF(G1026="RESTRINGIDO(3)",3,0)))+IF(H1026="BAJA(1)",1,IF(H1026="MEDIA(2)",2,IF(H1026="ALTA(3)",3,0)))+IF(I1026="BAJA(1)",1,IF(I1026="MEDIA(2)",2,IF(I1026="ALTA(3)",3,0)))</f>
        <v/>
      </c>
      <c r="K1026">
        <f>IF(J1026="", "", IF(J1026&gt;=8,"ALTA",IF(J1026&gt;=6,"MEDIA","BAJA")))</f>
        <v/>
      </c>
      <c r="L1026">
        <f>IF(INVENTARIO!Y1026="","",INVENTARIO!Y1026)</f>
        <v/>
      </c>
      <c r="M1026">
        <f>IF(INVENTARIO!Z1026="","",INVENTARIO!Z1026)</f>
        <v/>
      </c>
      <c r="N1026">
        <f>IF(INVENTARIO!AA1026="","",INVENTARIO!AA1026)</f>
        <v/>
      </c>
      <c r="O1026">
        <f>IF(INVENTARIO!AB1026="","",INVENTARIO!AB1026)</f>
        <v/>
      </c>
      <c r="P1026">
        <f>IF(INVENTARIO!AC1026="","",INVENTARIO!AC1026)</f>
        <v/>
      </c>
      <c r="Q1026">
        <f>IF(AND(K1026="",N1026="",L1026=""),"",IF(AND((K1026="ALTA"),OR(LEFT(N1026,2)="L0",LEFT(N1026,2)="L1",L1026="No Iniciado")),"CRÍTICO - Incumplimiento Normativo SEPS",IF(AND(OR(LEFT(N1026,2)="L4",LEFT(N1026,2)="L5"),AND(P1026&lt;&gt;"",P1026&lt;&gt;"N/A")),"CONFORME - Control Efectivo ISO 27001","OBSERVACIÓN - Revisar Controles")))</f>
        <v/>
      </c>
    </row>
    <row r="1027">
      <c r="A1027">
        <f>IF(INVENTARIO!A1027="","",INVENTARIO!A1027)</f>
        <v/>
      </c>
      <c r="B1027">
        <f>IF(INVENTARIO!E1027="","",INVENTARIO!E1027)</f>
        <v/>
      </c>
      <c r="C1027">
        <f>IF(INVENTARIO!F1027="","",INVENTARIO!F1027)</f>
        <v/>
      </c>
      <c r="D1027">
        <f>IF(INVENTARIO!H1027="","",INVENTARIO!H1027)</f>
        <v/>
      </c>
      <c r="E1027">
        <f>IF(INVENTARIO!I1027="","",INVENTARIO!I1027)</f>
        <v/>
      </c>
      <c r="F1027">
        <f>IF(INVENTARIO!N1027="","",INVENTARIO!N1027)</f>
        <v/>
      </c>
      <c r="G1027">
        <f>IF(INVENTARIO!P1027="","",INVENTARIO!P1027)</f>
        <v/>
      </c>
      <c r="H1027">
        <f>IF(INVENTARIO!Q1027="","",INVENTARIO!Q1027)</f>
        <v/>
      </c>
      <c r="I1027">
        <f>IF(INVENTARIO!R1027="","",INVENTARIO!R1027)</f>
        <v/>
      </c>
      <c r="J1027">
        <f>IF(G1027="PUBLICA(1)",1,IF(G1027="USO INTERNO(2)",2,IF(G1027="RESTRINGIDO(3)",3,0)))+IF(H1027="BAJA(1)",1,IF(H1027="MEDIA(2)",2,IF(H1027="ALTA(3)",3,0)))+IF(I1027="BAJA(1)",1,IF(I1027="MEDIA(2)",2,IF(I1027="ALTA(3)",3,0)))</f>
        <v/>
      </c>
      <c r="K1027">
        <f>IF(J1027="", "", IF(J1027&gt;=8,"ALTA",IF(J1027&gt;=6,"MEDIA","BAJA")))</f>
        <v/>
      </c>
      <c r="L1027">
        <f>IF(INVENTARIO!Y1027="","",INVENTARIO!Y1027)</f>
        <v/>
      </c>
      <c r="M1027">
        <f>IF(INVENTARIO!Z1027="","",INVENTARIO!Z1027)</f>
        <v/>
      </c>
      <c r="N1027">
        <f>IF(INVENTARIO!AA1027="","",INVENTARIO!AA1027)</f>
        <v/>
      </c>
      <c r="O1027">
        <f>IF(INVENTARIO!AB1027="","",INVENTARIO!AB1027)</f>
        <v/>
      </c>
      <c r="P1027">
        <f>IF(INVENTARIO!AC1027="","",INVENTARIO!AC1027)</f>
        <v/>
      </c>
      <c r="Q1027">
        <f>IF(AND(K1027="",N1027="",L1027=""),"",IF(AND((K1027="ALTA"),OR(LEFT(N1027,2)="L0",LEFT(N1027,2)="L1",L1027="No Iniciado")),"CRÍTICO - Incumplimiento Normativo SEPS",IF(AND(OR(LEFT(N1027,2)="L4",LEFT(N1027,2)="L5"),AND(P1027&lt;&gt;"",P1027&lt;&gt;"N/A")),"CONFORME - Control Efectivo ISO 27001","OBSERVACIÓN - Revisar Controles")))</f>
        <v/>
      </c>
    </row>
    <row r="1028">
      <c r="A1028">
        <f>IF(INVENTARIO!A1028="","",INVENTARIO!A1028)</f>
        <v/>
      </c>
      <c r="B1028">
        <f>IF(INVENTARIO!E1028="","",INVENTARIO!E1028)</f>
        <v/>
      </c>
      <c r="C1028">
        <f>IF(INVENTARIO!F1028="","",INVENTARIO!F1028)</f>
        <v/>
      </c>
      <c r="D1028">
        <f>IF(INVENTARIO!H1028="","",INVENTARIO!H1028)</f>
        <v/>
      </c>
      <c r="E1028">
        <f>IF(INVENTARIO!I1028="","",INVENTARIO!I1028)</f>
        <v/>
      </c>
      <c r="F1028">
        <f>IF(INVENTARIO!N1028="","",INVENTARIO!N1028)</f>
        <v/>
      </c>
      <c r="G1028">
        <f>IF(INVENTARIO!P1028="","",INVENTARIO!P1028)</f>
        <v/>
      </c>
      <c r="H1028">
        <f>IF(INVENTARIO!Q1028="","",INVENTARIO!Q1028)</f>
        <v/>
      </c>
      <c r="I1028">
        <f>IF(INVENTARIO!R1028="","",INVENTARIO!R1028)</f>
        <v/>
      </c>
      <c r="J1028">
        <f>IF(G1028="PUBLICA(1)",1,IF(G1028="USO INTERNO(2)",2,IF(G1028="RESTRINGIDO(3)",3,0)))+IF(H1028="BAJA(1)",1,IF(H1028="MEDIA(2)",2,IF(H1028="ALTA(3)",3,0)))+IF(I1028="BAJA(1)",1,IF(I1028="MEDIA(2)",2,IF(I1028="ALTA(3)",3,0)))</f>
        <v/>
      </c>
      <c r="K1028">
        <f>IF(J1028="", "", IF(J1028&gt;=8,"ALTA",IF(J1028&gt;=6,"MEDIA","BAJA")))</f>
        <v/>
      </c>
      <c r="L1028">
        <f>IF(INVENTARIO!Y1028="","",INVENTARIO!Y1028)</f>
        <v/>
      </c>
      <c r="M1028">
        <f>IF(INVENTARIO!Z1028="","",INVENTARIO!Z1028)</f>
        <v/>
      </c>
      <c r="N1028">
        <f>IF(INVENTARIO!AA1028="","",INVENTARIO!AA1028)</f>
        <v/>
      </c>
      <c r="O1028">
        <f>IF(INVENTARIO!AB1028="","",INVENTARIO!AB1028)</f>
        <v/>
      </c>
      <c r="P1028">
        <f>IF(INVENTARIO!AC1028="","",INVENTARIO!AC1028)</f>
        <v/>
      </c>
      <c r="Q1028">
        <f>IF(AND(K1028="",N1028="",L1028=""),"",IF(AND((K1028="ALTA"),OR(LEFT(N1028,2)="L0",LEFT(N1028,2)="L1",L1028="No Iniciado")),"CRÍTICO - Incumplimiento Normativo SEPS",IF(AND(OR(LEFT(N1028,2)="L4",LEFT(N1028,2)="L5"),AND(P1028&lt;&gt;"",P1028&lt;&gt;"N/A")),"CONFORME - Control Efectivo ISO 27001","OBSERVACIÓN - Revisar Controles")))</f>
        <v/>
      </c>
    </row>
    <row r="1029">
      <c r="A1029">
        <f>IF(INVENTARIO!A1029="","",INVENTARIO!A1029)</f>
        <v/>
      </c>
      <c r="B1029">
        <f>IF(INVENTARIO!E1029="","",INVENTARIO!E1029)</f>
        <v/>
      </c>
      <c r="C1029">
        <f>IF(INVENTARIO!F1029="","",INVENTARIO!F1029)</f>
        <v/>
      </c>
      <c r="D1029">
        <f>IF(INVENTARIO!H1029="","",INVENTARIO!H1029)</f>
        <v/>
      </c>
      <c r="E1029">
        <f>IF(INVENTARIO!I1029="","",INVENTARIO!I1029)</f>
        <v/>
      </c>
      <c r="F1029">
        <f>IF(INVENTARIO!N1029="","",INVENTARIO!N1029)</f>
        <v/>
      </c>
      <c r="G1029">
        <f>IF(INVENTARIO!P1029="","",INVENTARIO!P1029)</f>
        <v/>
      </c>
      <c r="H1029">
        <f>IF(INVENTARIO!Q1029="","",INVENTARIO!Q1029)</f>
        <v/>
      </c>
      <c r="I1029">
        <f>IF(INVENTARIO!R1029="","",INVENTARIO!R1029)</f>
        <v/>
      </c>
      <c r="J1029">
        <f>IF(G1029="PUBLICA(1)",1,IF(G1029="USO INTERNO(2)",2,IF(G1029="RESTRINGIDO(3)",3,0)))+IF(H1029="BAJA(1)",1,IF(H1029="MEDIA(2)",2,IF(H1029="ALTA(3)",3,0)))+IF(I1029="BAJA(1)",1,IF(I1029="MEDIA(2)",2,IF(I1029="ALTA(3)",3,0)))</f>
        <v/>
      </c>
      <c r="K1029">
        <f>IF(J1029="", "", IF(J1029&gt;=8,"ALTA",IF(J1029&gt;=6,"MEDIA","BAJA")))</f>
        <v/>
      </c>
      <c r="L1029">
        <f>IF(INVENTARIO!Y1029="","",INVENTARIO!Y1029)</f>
        <v/>
      </c>
      <c r="M1029">
        <f>IF(INVENTARIO!Z1029="","",INVENTARIO!Z1029)</f>
        <v/>
      </c>
      <c r="N1029">
        <f>IF(INVENTARIO!AA1029="","",INVENTARIO!AA1029)</f>
        <v/>
      </c>
      <c r="O1029">
        <f>IF(INVENTARIO!AB1029="","",INVENTARIO!AB1029)</f>
        <v/>
      </c>
      <c r="P1029">
        <f>IF(INVENTARIO!AC1029="","",INVENTARIO!AC1029)</f>
        <v/>
      </c>
      <c r="Q1029">
        <f>IF(AND(K1029="",N1029="",L1029=""),"",IF(AND((K1029="ALTA"),OR(LEFT(N1029,2)="L0",LEFT(N1029,2)="L1",L1029="No Iniciado")),"CRÍTICO - Incumplimiento Normativo SEPS",IF(AND(OR(LEFT(N1029,2)="L4",LEFT(N1029,2)="L5"),AND(P1029&lt;&gt;"",P1029&lt;&gt;"N/A")),"CONFORME - Control Efectivo ISO 27001","OBSERVACIÓN - Revisar Controles")))</f>
        <v/>
      </c>
    </row>
    <row r="1030">
      <c r="A1030">
        <f>IF(INVENTARIO!A1030="","",INVENTARIO!A1030)</f>
        <v/>
      </c>
      <c r="B1030">
        <f>IF(INVENTARIO!E1030="","",INVENTARIO!E1030)</f>
        <v/>
      </c>
      <c r="C1030">
        <f>IF(INVENTARIO!F1030="","",INVENTARIO!F1030)</f>
        <v/>
      </c>
      <c r="D1030">
        <f>IF(INVENTARIO!H1030="","",INVENTARIO!H1030)</f>
        <v/>
      </c>
      <c r="E1030">
        <f>IF(INVENTARIO!I1030="","",INVENTARIO!I1030)</f>
        <v/>
      </c>
      <c r="F1030">
        <f>IF(INVENTARIO!N1030="","",INVENTARIO!N1030)</f>
        <v/>
      </c>
      <c r="G1030">
        <f>IF(INVENTARIO!P1030="","",INVENTARIO!P1030)</f>
        <v/>
      </c>
      <c r="H1030">
        <f>IF(INVENTARIO!Q1030="","",INVENTARIO!Q1030)</f>
        <v/>
      </c>
      <c r="I1030">
        <f>IF(INVENTARIO!R1030="","",INVENTARIO!R1030)</f>
        <v/>
      </c>
      <c r="J1030">
        <f>IF(G1030="PUBLICA(1)",1,IF(G1030="USO INTERNO(2)",2,IF(G1030="RESTRINGIDO(3)",3,0)))+IF(H1030="BAJA(1)",1,IF(H1030="MEDIA(2)",2,IF(H1030="ALTA(3)",3,0)))+IF(I1030="BAJA(1)",1,IF(I1030="MEDIA(2)",2,IF(I1030="ALTA(3)",3,0)))</f>
        <v/>
      </c>
      <c r="K1030">
        <f>IF(J1030="", "", IF(J1030&gt;=8,"ALTA",IF(J1030&gt;=6,"MEDIA","BAJA")))</f>
        <v/>
      </c>
      <c r="L1030">
        <f>IF(INVENTARIO!Y1030="","",INVENTARIO!Y1030)</f>
        <v/>
      </c>
      <c r="M1030">
        <f>IF(INVENTARIO!Z1030="","",INVENTARIO!Z1030)</f>
        <v/>
      </c>
      <c r="N1030">
        <f>IF(INVENTARIO!AA1030="","",INVENTARIO!AA1030)</f>
        <v/>
      </c>
      <c r="O1030">
        <f>IF(INVENTARIO!AB1030="","",INVENTARIO!AB1030)</f>
        <v/>
      </c>
      <c r="P1030">
        <f>IF(INVENTARIO!AC1030="","",INVENTARIO!AC1030)</f>
        <v/>
      </c>
      <c r="Q1030">
        <f>IF(AND(K1030="",N1030="",L1030=""),"",IF(AND((K1030="ALTA"),OR(LEFT(N1030,2)="L0",LEFT(N1030,2)="L1",L1030="No Iniciado")),"CRÍTICO - Incumplimiento Normativo SEPS",IF(AND(OR(LEFT(N1030,2)="L4",LEFT(N1030,2)="L5"),AND(P1030&lt;&gt;"",P1030&lt;&gt;"N/A")),"CONFORME - Control Efectivo ISO 27001","OBSERVACIÓN - Revisar Controles")))</f>
        <v/>
      </c>
    </row>
    <row r="1031">
      <c r="A1031">
        <f>IF(INVENTARIO!A1031="","",INVENTARIO!A1031)</f>
        <v/>
      </c>
      <c r="B1031">
        <f>IF(INVENTARIO!E1031="","",INVENTARIO!E1031)</f>
        <v/>
      </c>
      <c r="C1031">
        <f>IF(INVENTARIO!F1031="","",INVENTARIO!F1031)</f>
        <v/>
      </c>
      <c r="D1031">
        <f>IF(INVENTARIO!H1031="","",INVENTARIO!H1031)</f>
        <v/>
      </c>
      <c r="E1031">
        <f>IF(INVENTARIO!I1031="","",INVENTARIO!I1031)</f>
        <v/>
      </c>
      <c r="F1031">
        <f>IF(INVENTARIO!N1031="","",INVENTARIO!N1031)</f>
        <v/>
      </c>
      <c r="G1031">
        <f>IF(INVENTARIO!P1031="","",INVENTARIO!P1031)</f>
        <v/>
      </c>
      <c r="H1031">
        <f>IF(INVENTARIO!Q1031="","",INVENTARIO!Q1031)</f>
        <v/>
      </c>
      <c r="I1031">
        <f>IF(INVENTARIO!R1031="","",INVENTARIO!R1031)</f>
        <v/>
      </c>
      <c r="J1031">
        <f>IF(G1031="PUBLICA(1)",1,IF(G1031="USO INTERNO(2)",2,IF(G1031="RESTRINGIDO(3)",3,0)))+IF(H1031="BAJA(1)",1,IF(H1031="MEDIA(2)",2,IF(H1031="ALTA(3)",3,0)))+IF(I1031="BAJA(1)",1,IF(I1031="MEDIA(2)",2,IF(I1031="ALTA(3)",3,0)))</f>
        <v/>
      </c>
      <c r="K1031">
        <f>IF(J1031="", "", IF(J1031&gt;=8,"ALTA",IF(J1031&gt;=6,"MEDIA","BAJA")))</f>
        <v/>
      </c>
      <c r="L1031">
        <f>IF(INVENTARIO!Y1031="","",INVENTARIO!Y1031)</f>
        <v/>
      </c>
      <c r="M1031">
        <f>IF(INVENTARIO!Z1031="","",INVENTARIO!Z1031)</f>
        <v/>
      </c>
      <c r="N1031">
        <f>IF(INVENTARIO!AA1031="","",INVENTARIO!AA1031)</f>
        <v/>
      </c>
      <c r="O1031">
        <f>IF(INVENTARIO!AB1031="","",INVENTARIO!AB1031)</f>
        <v/>
      </c>
      <c r="P1031">
        <f>IF(INVENTARIO!AC1031="","",INVENTARIO!AC1031)</f>
        <v/>
      </c>
      <c r="Q1031">
        <f>IF(AND(K1031="",N1031="",L1031=""),"",IF(AND((K1031="ALTA"),OR(LEFT(N1031,2)="L0",LEFT(N1031,2)="L1",L1031="No Iniciado")),"CRÍTICO - Incumplimiento Normativo SEPS",IF(AND(OR(LEFT(N1031,2)="L4",LEFT(N1031,2)="L5"),AND(P1031&lt;&gt;"",P1031&lt;&gt;"N/A")),"CONFORME - Control Efectivo ISO 27001","OBSERVACIÓN - Revisar Controles")))</f>
        <v/>
      </c>
    </row>
    <row r="1032">
      <c r="A1032">
        <f>IF(INVENTARIO!A1032="","",INVENTARIO!A1032)</f>
        <v/>
      </c>
      <c r="B1032">
        <f>IF(INVENTARIO!E1032="","",INVENTARIO!E1032)</f>
        <v/>
      </c>
      <c r="C1032">
        <f>IF(INVENTARIO!F1032="","",INVENTARIO!F1032)</f>
        <v/>
      </c>
      <c r="D1032">
        <f>IF(INVENTARIO!H1032="","",INVENTARIO!H1032)</f>
        <v/>
      </c>
      <c r="E1032">
        <f>IF(INVENTARIO!I1032="","",INVENTARIO!I1032)</f>
        <v/>
      </c>
      <c r="F1032">
        <f>IF(INVENTARIO!N1032="","",INVENTARIO!N1032)</f>
        <v/>
      </c>
      <c r="G1032">
        <f>IF(INVENTARIO!P1032="","",INVENTARIO!P1032)</f>
        <v/>
      </c>
      <c r="H1032">
        <f>IF(INVENTARIO!Q1032="","",INVENTARIO!Q1032)</f>
        <v/>
      </c>
      <c r="I1032">
        <f>IF(INVENTARIO!R1032="","",INVENTARIO!R1032)</f>
        <v/>
      </c>
      <c r="J1032">
        <f>IF(G1032="PUBLICA(1)",1,IF(G1032="USO INTERNO(2)",2,IF(G1032="RESTRINGIDO(3)",3,0)))+IF(H1032="BAJA(1)",1,IF(H1032="MEDIA(2)",2,IF(H1032="ALTA(3)",3,0)))+IF(I1032="BAJA(1)",1,IF(I1032="MEDIA(2)",2,IF(I1032="ALTA(3)",3,0)))</f>
        <v/>
      </c>
      <c r="K1032">
        <f>IF(J1032="", "", IF(J1032&gt;=8,"ALTA",IF(J1032&gt;=6,"MEDIA","BAJA")))</f>
        <v/>
      </c>
      <c r="L1032">
        <f>IF(INVENTARIO!Y1032="","",INVENTARIO!Y1032)</f>
        <v/>
      </c>
      <c r="M1032">
        <f>IF(INVENTARIO!Z1032="","",INVENTARIO!Z1032)</f>
        <v/>
      </c>
      <c r="N1032">
        <f>IF(INVENTARIO!AA1032="","",INVENTARIO!AA1032)</f>
        <v/>
      </c>
      <c r="O1032">
        <f>IF(INVENTARIO!AB1032="","",INVENTARIO!AB1032)</f>
        <v/>
      </c>
      <c r="P1032">
        <f>IF(INVENTARIO!AC1032="","",INVENTARIO!AC1032)</f>
        <v/>
      </c>
      <c r="Q1032">
        <f>IF(AND(K1032="",N1032="",L1032=""),"",IF(AND((K1032="ALTA"),OR(LEFT(N1032,2)="L0",LEFT(N1032,2)="L1",L1032="No Iniciado")),"CRÍTICO - Incumplimiento Normativo SEPS",IF(AND(OR(LEFT(N1032,2)="L4",LEFT(N1032,2)="L5"),AND(P1032&lt;&gt;"",P1032&lt;&gt;"N/A")),"CONFORME - Control Efectivo ISO 27001","OBSERVACIÓN - Revisar Controles")))</f>
        <v/>
      </c>
    </row>
    <row r="1033">
      <c r="A1033">
        <f>IF(INVENTARIO!A1033="","",INVENTARIO!A1033)</f>
        <v/>
      </c>
      <c r="B1033">
        <f>IF(INVENTARIO!E1033="","",INVENTARIO!E1033)</f>
        <v/>
      </c>
      <c r="C1033">
        <f>IF(INVENTARIO!F1033="","",INVENTARIO!F1033)</f>
        <v/>
      </c>
      <c r="D1033">
        <f>IF(INVENTARIO!H1033="","",INVENTARIO!H1033)</f>
        <v/>
      </c>
      <c r="E1033">
        <f>IF(INVENTARIO!I1033="","",INVENTARIO!I1033)</f>
        <v/>
      </c>
      <c r="F1033">
        <f>IF(INVENTARIO!N1033="","",INVENTARIO!N1033)</f>
        <v/>
      </c>
      <c r="G1033">
        <f>IF(INVENTARIO!P1033="","",INVENTARIO!P1033)</f>
        <v/>
      </c>
      <c r="H1033">
        <f>IF(INVENTARIO!Q1033="","",INVENTARIO!Q1033)</f>
        <v/>
      </c>
      <c r="I1033">
        <f>IF(INVENTARIO!R1033="","",INVENTARIO!R1033)</f>
        <v/>
      </c>
      <c r="J1033">
        <f>IF(G1033="PUBLICA(1)",1,IF(G1033="USO INTERNO(2)",2,IF(G1033="RESTRINGIDO(3)",3,0)))+IF(H1033="BAJA(1)",1,IF(H1033="MEDIA(2)",2,IF(H1033="ALTA(3)",3,0)))+IF(I1033="BAJA(1)",1,IF(I1033="MEDIA(2)",2,IF(I1033="ALTA(3)",3,0)))</f>
        <v/>
      </c>
      <c r="K1033">
        <f>IF(J1033="", "", IF(J1033&gt;=8,"ALTA",IF(J1033&gt;=6,"MEDIA","BAJA")))</f>
        <v/>
      </c>
      <c r="L1033">
        <f>IF(INVENTARIO!Y1033="","",INVENTARIO!Y1033)</f>
        <v/>
      </c>
      <c r="M1033">
        <f>IF(INVENTARIO!Z1033="","",INVENTARIO!Z1033)</f>
        <v/>
      </c>
      <c r="N1033">
        <f>IF(INVENTARIO!AA1033="","",INVENTARIO!AA1033)</f>
        <v/>
      </c>
      <c r="O1033">
        <f>IF(INVENTARIO!AB1033="","",INVENTARIO!AB1033)</f>
        <v/>
      </c>
      <c r="P1033">
        <f>IF(INVENTARIO!AC1033="","",INVENTARIO!AC1033)</f>
        <v/>
      </c>
      <c r="Q1033">
        <f>IF(AND(K1033="",N1033="",L1033=""),"",IF(AND((K1033="ALTA"),OR(LEFT(N1033,2)="L0",LEFT(N1033,2)="L1",L1033="No Iniciado")),"CRÍTICO - Incumplimiento Normativo SEPS",IF(AND(OR(LEFT(N1033,2)="L4",LEFT(N1033,2)="L5"),AND(P1033&lt;&gt;"",P1033&lt;&gt;"N/A")),"CONFORME - Control Efectivo ISO 27001","OBSERVACIÓN - Revisar Controles")))</f>
        <v/>
      </c>
    </row>
    <row r="1034">
      <c r="A1034">
        <f>IF(INVENTARIO!A1034="","",INVENTARIO!A1034)</f>
        <v/>
      </c>
      <c r="B1034">
        <f>IF(INVENTARIO!E1034="","",INVENTARIO!E1034)</f>
        <v/>
      </c>
      <c r="C1034">
        <f>IF(INVENTARIO!F1034="","",INVENTARIO!F1034)</f>
        <v/>
      </c>
      <c r="D1034">
        <f>IF(INVENTARIO!H1034="","",INVENTARIO!H1034)</f>
        <v/>
      </c>
      <c r="E1034">
        <f>IF(INVENTARIO!I1034="","",INVENTARIO!I1034)</f>
        <v/>
      </c>
      <c r="F1034">
        <f>IF(INVENTARIO!N1034="","",INVENTARIO!N1034)</f>
        <v/>
      </c>
      <c r="G1034">
        <f>IF(INVENTARIO!P1034="","",INVENTARIO!P1034)</f>
        <v/>
      </c>
      <c r="H1034">
        <f>IF(INVENTARIO!Q1034="","",INVENTARIO!Q1034)</f>
        <v/>
      </c>
      <c r="I1034">
        <f>IF(INVENTARIO!R1034="","",INVENTARIO!R1034)</f>
        <v/>
      </c>
      <c r="J1034">
        <f>IF(G1034="PUBLICA(1)",1,IF(G1034="USO INTERNO(2)",2,IF(G1034="RESTRINGIDO(3)",3,0)))+IF(H1034="BAJA(1)",1,IF(H1034="MEDIA(2)",2,IF(H1034="ALTA(3)",3,0)))+IF(I1034="BAJA(1)",1,IF(I1034="MEDIA(2)",2,IF(I1034="ALTA(3)",3,0)))</f>
        <v/>
      </c>
      <c r="K1034">
        <f>IF(J1034="", "", IF(J1034&gt;=8,"ALTA",IF(J1034&gt;=6,"MEDIA","BAJA")))</f>
        <v/>
      </c>
      <c r="L1034">
        <f>IF(INVENTARIO!Y1034="","",INVENTARIO!Y1034)</f>
        <v/>
      </c>
      <c r="M1034">
        <f>IF(INVENTARIO!Z1034="","",INVENTARIO!Z1034)</f>
        <v/>
      </c>
      <c r="N1034">
        <f>IF(INVENTARIO!AA1034="","",INVENTARIO!AA1034)</f>
        <v/>
      </c>
      <c r="O1034">
        <f>IF(INVENTARIO!AB1034="","",INVENTARIO!AB1034)</f>
        <v/>
      </c>
      <c r="P1034">
        <f>IF(INVENTARIO!AC1034="","",INVENTARIO!AC1034)</f>
        <v/>
      </c>
      <c r="Q1034">
        <f>IF(AND(K1034="",N1034="",L1034=""),"",IF(AND((K1034="ALTA"),OR(LEFT(N1034,2)="L0",LEFT(N1034,2)="L1",L1034="No Iniciado")),"CRÍTICO - Incumplimiento Normativo SEPS",IF(AND(OR(LEFT(N1034,2)="L4",LEFT(N1034,2)="L5"),AND(P1034&lt;&gt;"",P1034&lt;&gt;"N/A")),"CONFORME - Control Efectivo ISO 27001","OBSERVACIÓN - Revisar Controles")))</f>
        <v/>
      </c>
    </row>
    <row r="1035">
      <c r="A1035">
        <f>IF(INVENTARIO!A1035="","",INVENTARIO!A1035)</f>
        <v/>
      </c>
      <c r="B1035">
        <f>IF(INVENTARIO!E1035="","",INVENTARIO!E1035)</f>
        <v/>
      </c>
      <c r="C1035">
        <f>IF(INVENTARIO!F1035="","",INVENTARIO!F1035)</f>
        <v/>
      </c>
      <c r="D1035">
        <f>IF(INVENTARIO!H1035="","",INVENTARIO!H1035)</f>
        <v/>
      </c>
      <c r="E1035">
        <f>IF(INVENTARIO!I1035="","",INVENTARIO!I1035)</f>
        <v/>
      </c>
      <c r="F1035">
        <f>IF(INVENTARIO!N1035="","",INVENTARIO!N1035)</f>
        <v/>
      </c>
      <c r="G1035">
        <f>IF(INVENTARIO!P1035="","",INVENTARIO!P1035)</f>
        <v/>
      </c>
      <c r="H1035">
        <f>IF(INVENTARIO!Q1035="","",INVENTARIO!Q1035)</f>
        <v/>
      </c>
      <c r="I1035">
        <f>IF(INVENTARIO!R1035="","",INVENTARIO!R1035)</f>
        <v/>
      </c>
      <c r="J1035">
        <f>IF(G1035="PUBLICA(1)",1,IF(G1035="USO INTERNO(2)",2,IF(G1035="RESTRINGIDO(3)",3,0)))+IF(H1035="BAJA(1)",1,IF(H1035="MEDIA(2)",2,IF(H1035="ALTA(3)",3,0)))+IF(I1035="BAJA(1)",1,IF(I1035="MEDIA(2)",2,IF(I1035="ALTA(3)",3,0)))</f>
        <v/>
      </c>
      <c r="K1035">
        <f>IF(J1035="", "", IF(J1035&gt;=8,"ALTA",IF(J1035&gt;=6,"MEDIA","BAJA")))</f>
        <v/>
      </c>
      <c r="L1035">
        <f>IF(INVENTARIO!Y1035="","",INVENTARIO!Y1035)</f>
        <v/>
      </c>
      <c r="M1035">
        <f>IF(INVENTARIO!Z1035="","",INVENTARIO!Z1035)</f>
        <v/>
      </c>
      <c r="N1035">
        <f>IF(INVENTARIO!AA1035="","",INVENTARIO!AA1035)</f>
        <v/>
      </c>
      <c r="O1035">
        <f>IF(INVENTARIO!AB1035="","",INVENTARIO!AB1035)</f>
        <v/>
      </c>
      <c r="P1035">
        <f>IF(INVENTARIO!AC1035="","",INVENTARIO!AC1035)</f>
        <v/>
      </c>
      <c r="Q1035">
        <f>IF(AND(K1035="",N1035="",L1035=""),"",IF(AND((K1035="ALTA"),OR(LEFT(N1035,2)="L0",LEFT(N1035,2)="L1",L1035="No Iniciado")),"CRÍTICO - Incumplimiento Normativo SEPS",IF(AND(OR(LEFT(N1035,2)="L4",LEFT(N1035,2)="L5"),AND(P1035&lt;&gt;"",P1035&lt;&gt;"N/A")),"CONFORME - Control Efectivo ISO 27001","OBSERVACIÓN - Revisar Controles")))</f>
        <v/>
      </c>
    </row>
    <row r="1036">
      <c r="A1036">
        <f>IF(INVENTARIO!A1036="","",INVENTARIO!A1036)</f>
        <v/>
      </c>
      <c r="B1036">
        <f>IF(INVENTARIO!E1036="","",INVENTARIO!E1036)</f>
        <v/>
      </c>
      <c r="C1036">
        <f>IF(INVENTARIO!F1036="","",INVENTARIO!F1036)</f>
        <v/>
      </c>
      <c r="D1036">
        <f>IF(INVENTARIO!H1036="","",INVENTARIO!H1036)</f>
        <v/>
      </c>
      <c r="E1036">
        <f>IF(INVENTARIO!I1036="","",INVENTARIO!I1036)</f>
        <v/>
      </c>
      <c r="F1036">
        <f>IF(INVENTARIO!N1036="","",INVENTARIO!N1036)</f>
        <v/>
      </c>
      <c r="G1036">
        <f>IF(INVENTARIO!P1036="","",INVENTARIO!P1036)</f>
        <v/>
      </c>
      <c r="H1036">
        <f>IF(INVENTARIO!Q1036="","",INVENTARIO!Q1036)</f>
        <v/>
      </c>
      <c r="I1036">
        <f>IF(INVENTARIO!R1036="","",INVENTARIO!R1036)</f>
        <v/>
      </c>
      <c r="J1036">
        <f>IF(G1036="PUBLICA(1)",1,IF(G1036="USO INTERNO(2)",2,IF(G1036="RESTRINGIDO(3)",3,0)))+IF(H1036="BAJA(1)",1,IF(H1036="MEDIA(2)",2,IF(H1036="ALTA(3)",3,0)))+IF(I1036="BAJA(1)",1,IF(I1036="MEDIA(2)",2,IF(I1036="ALTA(3)",3,0)))</f>
        <v/>
      </c>
      <c r="K1036">
        <f>IF(J1036="", "", IF(J1036&gt;=8,"ALTA",IF(J1036&gt;=6,"MEDIA","BAJA")))</f>
        <v/>
      </c>
      <c r="L1036">
        <f>IF(INVENTARIO!Y1036="","",INVENTARIO!Y1036)</f>
        <v/>
      </c>
      <c r="M1036">
        <f>IF(INVENTARIO!Z1036="","",INVENTARIO!Z1036)</f>
        <v/>
      </c>
      <c r="N1036">
        <f>IF(INVENTARIO!AA1036="","",INVENTARIO!AA1036)</f>
        <v/>
      </c>
      <c r="O1036">
        <f>IF(INVENTARIO!AB1036="","",INVENTARIO!AB1036)</f>
        <v/>
      </c>
      <c r="P1036">
        <f>IF(INVENTARIO!AC1036="","",INVENTARIO!AC1036)</f>
        <v/>
      </c>
      <c r="Q1036">
        <f>IF(AND(K1036="",N1036="",L1036=""),"",IF(AND((K1036="ALTA"),OR(LEFT(N1036,2)="L0",LEFT(N1036,2)="L1",L1036="No Iniciado")),"CRÍTICO - Incumplimiento Normativo SEPS",IF(AND(OR(LEFT(N1036,2)="L4",LEFT(N1036,2)="L5"),AND(P1036&lt;&gt;"",P1036&lt;&gt;"N/A")),"CONFORME - Control Efectivo ISO 27001","OBSERVACIÓN - Revisar Controles")))</f>
        <v/>
      </c>
    </row>
    <row r="1037">
      <c r="A1037">
        <f>IF(INVENTARIO!A1037="","",INVENTARIO!A1037)</f>
        <v/>
      </c>
      <c r="B1037">
        <f>IF(INVENTARIO!E1037="","",INVENTARIO!E1037)</f>
        <v/>
      </c>
      <c r="C1037">
        <f>IF(INVENTARIO!F1037="","",INVENTARIO!F1037)</f>
        <v/>
      </c>
      <c r="D1037">
        <f>IF(INVENTARIO!H1037="","",INVENTARIO!H1037)</f>
        <v/>
      </c>
      <c r="E1037">
        <f>IF(INVENTARIO!I1037="","",INVENTARIO!I1037)</f>
        <v/>
      </c>
      <c r="F1037">
        <f>IF(INVENTARIO!N1037="","",INVENTARIO!N1037)</f>
        <v/>
      </c>
      <c r="G1037">
        <f>IF(INVENTARIO!P1037="","",INVENTARIO!P1037)</f>
        <v/>
      </c>
      <c r="H1037">
        <f>IF(INVENTARIO!Q1037="","",INVENTARIO!Q1037)</f>
        <v/>
      </c>
      <c r="I1037">
        <f>IF(INVENTARIO!R1037="","",INVENTARIO!R1037)</f>
        <v/>
      </c>
      <c r="J1037">
        <f>IF(G1037="PUBLICA(1)",1,IF(G1037="USO INTERNO(2)",2,IF(G1037="RESTRINGIDO(3)",3,0)))+IF(H1037="BAJA(1)",1,IF(H1037="MEDIA(2)",2,IF(H1037="ALTA(3)",3,0)))+IF(I1037="BAJA(1)",1,IF(I1037="MEDIA(2)",2,IF(I1037="ALTA(3)",3,0)))</f>
        <v/>
      </c>
      <c r="K1037">
        <f>IF(J1037="", "", IF(J1037&gt;=8,"ALTA",IF(J1037&gt;=6,"MEDIA","BAJA")))</f>
        <v/>
      </c>
      <c r="L1037">
        <f>IF(INVENTARIO!Y1037="","",INVENTARIO!Y1037)</f>
        <v/>
      </c>
      <c r="M1037">
        <f>IF(INVENTARIO!Z1037="","",INVENTARIO!Z1037)</f>
        <v/>
      </c>
      <c r="N1037">
        <f>IF(INVENTARIO!AA1037="","",INVENTARIO!AA1037)</f>
        <v/>
      </c>
      <c r="O1037">
        <f>IF(INVENTARIO!AB1037="","",INVENTARIO!AB1037)</f>
        <v/>
      </c>
      <c r="P1037">
        <f>IF(INVENTARIO!AC1037="","",INVENTARIO!AC1037)</f>
        <v/>
      </c>
      <c r="Q1037">
        <f>IF(AND(K1037="",N1037="",L1037=""),"",IF(AND((K1037="ALTA"),OR(LEFT(N1037,2)="L0",LEFT(N1037,2)="L1",L1037="No Iniciado")),"CRÍTICO - Incumplimiento Normativo SEPS",IF(AND(OR(LEFT(N1037,2)="L4",LEFT(N1037,2)="L5"),AND(P1037&lt;&gt;"",P1037&lt;&gt;"N/A")),"CONFORME - Control Efectivo ISO 27001","OBSERVACIÓN - Revisar Controles")))</f>
        <v/>
      </c>
    </row>
    <row r="1038">
      <c r="A1038">
        <f>IF(INVENTARIO!A1038="","",INVENTARIO!A1038)</f>
        <v/>
      </c>
      <c r="B1038">
        <f>IF(INVENTARIO!E1038="","",INVENTARIO!E1038)</f>
        <v/>
      </c>
      <c r="C1038">
        <f>IF(INVENTARIO!F1038="","",INVENTARIO!F1038)</f>
        <v/>
      </c>
      <c r="D1038">
        <f>IF(INVENTARIO!H1038="","",INVENTARIO!H1038)</f>
        <v/>
      </c>
      <c r="E1038">
        <f>IF(INVENTARIO!I1038="","",INVENTARIO!I1038)</f>
        <v/>
      </c>
      <c r="F1038">
        <f>IF(INVENTARIO!N1038="","",INVENTARIO!N1038)</f>
        <v/>
      </c>
      <c r="G1038">
        <f>IF(INVENTARIO!P1038="","",INVENTARIO!P1038)</f>
        <v/>
      </c>
      <c r="H1038">
        <f>IF(INVENTARIO!Q1038="","",INVENTARIO!Q1038)</f>
        <v/>
      </c>
      <c r="I1038">
        <f>IF(INVENTARIO!R1038="","",INVENTARIO!R1038)</f>
        <v/>
      </c>
      <c r="J1038">
        <f>IF(G1038="PUBLICA(1)",1,IF(G1038="USO INTERNO(2)",2,IF(G1038="RESTRINGIDO(3)",3,0)))+IF(H1038="BAJA(1)",1,IF(H1038="MEDIA(2)",2,IF(H1038="ALTA(3)",3,0)))+IF(I1038="BAJA(1)",1,IF(I1038="MEDIA(2)",2,IF(I1038="ALTA(3)",3,0)))</f>
        <v/>
      </c>
      <c r="K1038">
        <f>IF(J1038="", "", IF(J1038&gt;=8,"ALTA",IF(J1038&gt;=6,"MEDIA","BAJA")))</f>
        <v/>
      </c>
      <c r="L1038">
        <f>IF(INVENTARIO!Y1038="","",INVENTARIO!Y1038)</f>
        <v/>
      </c>
      <c r="M1038">
        <f>IF(INVENTARIO!Z1038="","",INVENTARIO!Z1038)</f>
        <v/>
      </c>
      <c r="N1038">
        <f>IF(INVENTARIO!AA1038="","",INVENTARIO!AA1038)</f>
        <v/>
      </c>
      <c r="O1038">
        <f>IF(INVENTARIO!AB1038="","",INVENTARIO!AB1038)</f>
        <v/>
      </c>
      <c r="P1038">
        <f>IF(INVENTARIO!AC1038="","",INVENTARIO!AC1038)</f>
        <v/>
      </c>
      <c r="Q1038">
        <f>IF(AND(K1038="",N1038="",L1038=""),"",IF(AND((K1038="ALTA"),OR(LEFT(N1038,2)="L0",LEFT(N1038,2)="L1",L1038="No Iniciado")),"CRÍTICO - Incumplimiento Normativo SEPS",IF(AND(OR(LEFT(N1038,2)="L4",LEFT(N1038,2)="L5"),AND(P1038&lt;&gt;"",P1038&lt;&gt;"N/A")),"CONFORME - Control Efectivo ISO 27001","OBSERVACIÓN - Revisar Controles")))</f>
        <v/>
      </c>
    </row>
    <row r="1039">
      <c r="A1039">
        <f>IF(INVENTARIO!A1039="","",INVENTARIO!A1039)</f>
        <v/>
      </c>
      <c r="B1039">
        <f>IF(INVENTARIO!E1039="","",INVENTARIO!E1039)</f>
        <v/>
      </c>
      <c r="C1039">
        <f>IF(INVENTARIO!F1039="","",INVENTARIO!F1039)</f>
        <v/>
      </c>
      <c r="D1039">
        <f>IF(INVENTARIO!H1039="","",INVENTARIO!H1039)</f>
        <v/>
      </c>
      <c r="E1039">
        <f>IF(INVENTARIO!I1039="","",INVENTARIO!I1039)</f>
        <v/>
      </c>
      <c r="F1039">
        <f>IF(INVENTARIO!N1039="","",INVENTARIO!N1039)</f>
        <v/>
      </c>
      <c r="G1039">
        <f>IF(INVENTARIO!P1039="","",INVENTARIO!P1039)</f>
        <v/>
      </c>
      <c r="H1039">
        <f>IF(INVENTARIO!Q1039="","",INVENTARIO!Q1039)</f>
        <v/>
      </c>
      <c r="I1039">
        <f>IF(INVENTARIO!R1039="","",INVENTARIO!R1039)</f>
        <v/>
      </c>
      <c r="J1039">
        <f>IF(G1039="PUBLICA(1)",1,IF(G1039="USO INTERNO(2)",2,IF(G1039="RESTRINGIDO(3)",3,0)))+IF(H1039="BAJA(1)",1,IF(H1039="MEDIA(2)",2,IF(H1039="ALTA(3)",3,0)))+IF(I1039="BAJA(1)",1,IF(I1039="MEDIA(2)",2,IF(I1039="ALTA(3)",3,0)))</f>
        <v/>
      </c>
      <c r="K1039">
        <f>IF(J1039="", "", IF(J1039&gt;=8,"ALTA",IF(J1039&gt;=6,"MEDIA","BAJA")))</f>
        <v/>
      </c>
      <c r="L1039">
        <f>IF(INVENTARIO!Y1039="","",INVENTARIO!Y1039)</f>
        <v/>
      </c>
      <c r="M1039">
        <f>IF(INVENTARIO!Z1039="","",INVENTARIO!Z1039)</f>
        <v/>
      </c>
      <c r="N1039">
        <f>IF(INVENTARIO!AA1039="","",INVENTARIO!AA1039)</f>
        <v/>
      </c>
      <c r="O1039">
        <f>IF(INVENTARIO!AB1039="","",INVENTARIO!AB1039)</f>
        <v/>
      </c>
      <c r="P1039">
        <f>IF(INVENTARIO!AC1039="","",INVENTARIO!AC1039)</f>
        <v/>
      </c>
      <c r="Q1039">
        <f>IF(AND(K1039="",N1039="",L1039=""),"",IF(AND((K1039="ALTA"),OR(LEFT(N1039,2)="L0",LEFT(N1039,2)="L1",L1039="No Iniciado")),"CRÍTICO - Incumplimiento Normativo SEPS",IF(AND(OR(LEFT(N1039,2)="L4",LEFT(N1039,2)="L5"),AND(P1039&lt;&gt;"",P1039&lt;&gt;"N/A")),"CONFORME - Control Efectivo ISO 27001","OBSERVACIÓN - Revisar Controles")))</f>
        <v/>
      </c>
    </row>
    <row r="1040">
      <c r="A1040">
        <f>IF(INVENTARIO!A1040="","",INVENTARIO!A1040)</f>
        <v/>
      </c>
      <c r="B1040">
        <f>IF(INVENTARIO!E1040="","",INVENTARIO!E1040)</f>
        <v/>
      </c>
      <c r="C1040">
        <f>IF(INVENTARIO!F1040="","",INVENTARIO!F1040)</f>
        <v/>
      </c>
      <c r="D1040">
        <f>IF(INVENTARIO!H1040="","",INVENTARIO!H1040)</f>
        <v/>
      </c>
      <c r="E1040">
        <f>IF(INVENTARIO!I1040="","",INVENTARIO!I1040)</f>
        <v/>
      </c>
      <c r="F1040">
        <f>IF(INVENTARIO!N1040="","",INVENTARIO!N1040)</f>
        <v/>
      </c>
      <c r="G1040">
        <f>IF(INVENTARIO!P1040="","",INVENTARIO!P1040)</f>
        <v/>
      </c>
      <c r="H1040">
        <f>IF(INVENTARIO!Q1040="","",INVENTARIO!Q1040)</f>
        <v/>
      </c>
      <c r="I1040">
        <f>IF(INVENTARIO!R1040="","",INVENTARIO!R1040)</f>
        <v/>
      </c>
      <c r="J1040">
        <f>IF(G1040="PUBLICA(1)",1,IF(G1040="USO INTERNO(2)",2,IF(G1040="RESTRINGIDO(3)",3,0)))+IF(H1040="BAJA(1)",1,IF(H1040="MEDIA(2)",2,IF(H1040="ALTA(3)",3,0)))+IF(I1040="BAJA(1)",1,IF(I1040="MEDIA(2)",2,IF(I1040="ALTA(3)",3,0)))</f>
        <v/>
      </c>
      <c r="K1040">
        <f>IF(J1040="", "", IF(J1040&gt;=8,"ALTA",IF(J1040&gt;=6,"MEDIA","BAJA")))</f>
        <v/>
      </c>
      <c r="L1040">
        <f>IF(INVENTARIO!Y1040="","",INVENTARIO!Y1040)</f>
        <v/>
      </c>
      <c r="M1040">
        <f>IF(INVENTARIO!Z1040="","",INVENTARIO!Z1040)</f>
        <v/>
      </c>
      <c r="N1040">
        <f>IF(INVENTARIO!AA1040="","",INVENTARIO!AA1040)</f>
        <v/>
      </c>
      <c r="O1040">
        <f>IF(INVENTARIO!AB1040="","",INVENTARIO!AB1040)</f>
        <v/>
      </c>
      <c r="P1040">
        <f>IF(INVENTARIO!AC1040="","",INVENTARIO!AC1040)</f>
        <v/>
      </c>
      <c r="Q1040">
        <f>IF(AND(K1040="",N1040="",L1040=""),"",IF(AND((K1040="ALTA"),OR(LEFT(N1040,2)="L0",LEFT(N1040,2)="L1",L1040="No Iniciado")),"CRÍTICO - Incumplimiento Normativo SEPS",IF(AND(OR(LEFT(N1040,2)="L4",LEFT(N1040,2)="L5"),AND(P1040&lt;&gt;"",P1040&lt;&gt;"N/A")),"CONFORME - Control Efectivo ISO 27001","OBSERVACIÓN - Revisar Controles")))</f>
        <v/>
      </c>
    </row>
    <row r="1041">
      <c r="A1041">
        <f>IF(INVENTARIO!A1041="","",INVENTARIO!A1041)</f>
        <v/>
      </c>
      <c r="B1041">
        <f>IF(INVENTARIO!E1041="","",INVENTARIO!E1041)</f>
        <v/>
      </c>
      <c r="C1041">
        <f>IF(INVENTARIO!F1041="","",INVENTARIO!F1041)</f>
        <v/>
      </c>
      <c r="D1041">
        <f>IF(INVENTARIO!H1041="","",INVENTARIO!H1041)</f>
        <v/>
      </c>
      <c r="E1041">
        <f>IF(INVENTARIO!I1041="","",INVENTARIO!I1041)</f>
        <v/>
      </c>
      <c r="F1041">
        <f>IF(INVENTARIO!N1041="","",INVENTARIO!N1041)</f>
        <v/>
      </c>
      <c r="G1041">
        <f>IF(INVENTARIO!P1041="","",INVENTARIO!P1041)</f>
        <v/>
      </c>
      <c r="H1041">
        <f>IF(INVENTARIO!Q1041="","",INVENTARIO!Q1041)</f>
        <v/>
      </c>
      <c r="I1041">
        <f>IF(INVENTARIO!R1041="","",INVENTARIO!R1041)</f>
        <v/>
      </c>
      <c r="J1041">
        <f>IF(G1041="PUBLICA(1)",1,IF(G1041="USO INTERNO(2)",2,IF(G1041="RESTRINGIDO(3)",3,0)))+IF(H1041="BAJA(1)",1,IF(H1041="MEDIA(2)",2,IF(H1041="ALTA(3)",3,0)))+IF(I1041="BAJA(1)",1,IF(I1041="MEDIA(2)",2,IF(I1041="ALTA(3)",3,0)))</f>
        <v/>
      </c>
      <c r="K1041">
        <f>IF(J1041="", "", IF(J1041&gt;=8,"ALTA",IF(J1041&gt;=6,"MEDIA","BAJA")))</f>
        <v/>
      </c>
      <c r="L1041">
        <f>IF(INVENTARIO!Y1041="","",INVENTARIO!Y1041)</f>
        <v/>
      </c>
      <c r="M1041">
        <f>IF(INVENTARIO!Z1041="","",INVENTARIO!Z1041)</f>
        <v/>
      </c>
      <c r="N1041">
        <f>IF(INVENTARIO!AA1041="","",INVENTARIO!AA1041)</f>
        <v/>
      </c>
      <c r="O1041">
        <f>IF(INVENTARIO!AB1041="","",INVENTARIO!AB1041)</f>
        <v/>
      </c>
      <c r="P1041">
        <f>IF(INVENTARIO!AC1041="","",INVENTARIO!AC1041)</f>
        <v/>
      </c>
      <c r="Q1041">
        <f>IF(AND(K1041="",N1041="",L1041=""),"",IF(AND((K1041="ALTA"),OR(LEFT(N1041,2)="L0",LEFT(N1041,2)="L1",L1041="No Iniciado")),"CRÍTICO - Incumplimiento Normativo SEPS",IF(AND(OR(LEFT(N1041,2)="L4",LEFT(N1041,2)="L5"),AND(P1041&lt;&gt;"",P1041&lt;&gt;"N/A")),"CONFORME - Control Efectivo ISO 27001","OBSERVACIÓN - Revisar Controles")))</f>
        <v/>
      </c>
    </row>
    <row r="1042">
      <c r="A1042">
        <f>IF(INVENTARIO!A1042="","",INVENTARIO!A1042)</f>
        <v/>
      </c>
      <c r="B1042">
        <f>IF(INVENTARIO!E1042="","",INVENTARIO!E1042)</f>
        <v/>
      </c>
      <c r="C1042">
        <f>IF(INVENTARIO!F1042="","",INVENTARIO!F1042)</f>
        <v/>
      </c>
      <c r="D1042">
        <f>IF(INVENTARIO!H1042="","",INVENTARIO!H1042)</f>
        <v/>
      </c>
      <c r="E1042">
        <f>IF(INVENTARIO!I1042="","",INVENTARIO!I1042)</f>
        <v/>
      </c>
      <c r="F1042">
        <f>IF(INVENTARIO!N1042="","",INVENTARIO!N1042)</f>
        <v/>
      </c>
      <c r="G1042">
        <f>IF(INVENTARIO!P1042="","",INVENTARIO!P1042)</f>
        <v/>
      </c>
      <c r="H1042">
        <f>IF(INVENTARIO!Q1042="","",INVENTARIO!Q1042)</f>
        <v/>
      </c>
      <c r="I1042">
        <f>IF(INVENTARIO!R1042="","",INVENTARIO!R1042)</f>
        <v/>
      </c>
      <c r="J1042">
        <f>IF(G1042="PUBLICA(1)",1,IF(G1042="USO INTERNO(2)",2,IF(G1042="RESTRINGIDO(3)",3,0)))+IF(H1042="BAJA(1)",1,IF(H1042="MEDIA(2)",2,IF(H1042="ALTA(3)",3,0)))+IF(I1042="BAJA(1)",1,IF(I1042="MEDIA(2)",2,IF(I1042="ALTA(3)",3,0)))</f>
        <v/>
      </c>
      <c r="K1042">
        <f>IF(J1042="", "", IF(J1042&gt;=8,"ALTA",IF(J1042&gt;=6,"MEDIA","BAJA")))</f>
        <v/>
      </c>
      <c r="L1042">
        <f>IF(INVENTARIO!Y1042="","",INVENTARIO!Y1042)</f>
        <v/>
      </c>
      <c r="M1042">
        <f>IF(INVENTARIO!Z1042="","",INVENTARIO!Z1042)</f>
        <v/>
      </c>
      <c r="N1042">
        <f>IF(INVENTARIO!AA1042="","",INVENTARIO!AA1042)</f>
        <v/>
      </c>
      <c r="O1042">
        <f>IF(INVENTARIO!AB1042="","",INVENTARIO!AB1042)</f>
        <v/>
      </c>
      <c r="P1042">
        <f>IF(INVENTARIO!AC1042="","",INVENTARIO!AC1042)</f>
        <v/>
      </c>
      <c r="Q1042">
        <f>IF(AND(K1042="",N1042="",L1042=""),"",IF(AND((K1042="ALTA"),OR(LEFT(N1042,2)="L0",LEFT(N1042,2)="L1",L1042="No Iniciado")),"CRÍTICO - Incumplimiento Normativo SEPS",IF(AND(OR(LEFT(N1042,2)="L4",LEFT(N1042,2)="L5"),AND(P1042&lt;&gt;"",P1042&lt;&gt;"N/A")),"CONFORME - Control Efectivo ISO 27001","OBSERVACIÓN - Revisar Controles")))</f>
        <v/>
      </c>
    </row>
    <row r="1043">
      <c r="A1043">
        <f>IF(INVENTARIO!A1043="","",INVENTARIO!A1043)</f>
        <v/>
      </c>
      <c r="B1043">
        <f>IF(INVENTARIO!E1043="","",INVENTARIO!E1043)</f>
        <v/>
      </c>
      <c r="C1043">
        <f>IF(INVENTARIO!F1043="","",INVENTARIO!F1043)</f>
        <v/>
      </c>
      <c r="D1043">
        <f>IF(INVENTARIO!H1043="","",INVENTARIO!H1043)</f>
        <v/>
      </c>
      <c r="E1043">
        <f>IF(INVENTARIO!I1043="","",INVENTARIO!I1043)</f>
        <v/>
      </c>
      <c r="F1043">
        <f>IF(INVENTARIO!N1043="","",INVENTARIO!N1043)</f>
        <v/>
      </c>
      <c r="G1043">
        <f>IF(INVENTARIO!P1043="","",INVENTARIO!P1043)</f>
        <v/>
      </c>
      <c r="H1043">
        <f>IF(INVENTARIO!Q1043="","",INVENTARIO!Q1043)</f>
        <v/>
      </c>
      <c r="I1043">
        <f>IF(INVENTARIO!R1043="","",INVENTARIO!R1043)</f>
        <v/>
      </c>
      <c r="J1043">
        <f>IF(G1043="PUBLICA(1)",1,IF(G1043="USO INTERNO(2)",2,IF(G1043="RESTRINGIDO(3)",3,0)))+IF(H1043="BAJA(1)",1,IF(H1043="MEDIA(2)",2,IF(H1043="ALTA(3)",3,0)))+IF(I1043="BAJA(1)",1,IF(I1043="MEDIA(2)",2,IF(I1043="ALTA(3)",3,0)))</f>
        <v/>
      </c>
      <c r="K1043">
        <f>IF(J1043="", "", IF(J1043&gt;=8,"ALTA",IF(J1043&gt;=6,"MEDIA","BAJA")))</f>
        <v/>
      </c>
      <c r="L1043">
        <f>IF(INVENTARIO!Y1043="","",INVENTARIO!Y1043)</f>
        <v/>
      </c>
      <c r="M1043">
        <f>IF(INVENTARIO!Z1043="","",INVENTARIO!Z1043)</f>
        <v/>
      </c>
      <c r="N1043">
        <f>IF(INVENTARIO!AA1043="","",INVENTARIO!AA1043)</f>
        <v/>
      </c>
      <c r="O1043">
        <f>IF(INVENTARIO!AB1043="","",INVENTARIO!AB1043)</f>
        <v/>
      </c>
      <c r="P1043">
        <f>IF(INVENTARIO!AC1043="","",INVENTARIO!AC1043)</f>
        <v/>
      </c>
      <c r="Q1043">
        <f>IF(AND(K1043="",N1043="",L1043=""),"",IF(AND((K1043="ALTA"),OR(LEFT(N1043,2)="L0",LEFT(N1043,2)="L1",L1043="No Iniciado")),"CRÍTICO - Incumplimiento Normativo SEPS",IF(AND(OR(LEFT(N1043,2)="L4",LEFT(N1043,2)="L5"),AND(P1043&lt;&gt;"",P1043&lt;&gt;"N/A")),"CONFORME - Control Efectivo ISO 27001","OBSERVACIÓN - Revisar Controles")))</f>
        <v/>
      </c>
    </row>
    <row r="1044">
      <c r="A1044">
        <f>IF(INVENTARIO!A1044="","",INVENTARIO!A1044)</f>
        <v/>
      </c>
      <c r="B1044">
        <f>IF(INVENTARIO!E1044="","",INVENTARIO!E1044)</f>
        <v/>
      </c>
      <c r="C1044">
        <f>IF(INVENTARIO!F1044="","",INVENTARIO!F1044)</f>
        <v/>
      </c>
      <c r="D1044">
        <f>IF(INVENTARIO!H1044="","",INVENTARIO!H1044)</f>
        <v/>
      </c>
      <c r="E1044">
        <f>IF(INVENTARIO!I1044="","",INVENTARIO!I1044)</f>
        <v/>
      </c>
      <c r="F1044">
        <f>IF(INVENTARIO!N1044="","",INVENTARIO!N1044)</f>
        <v/>
      </c>
      <c r="G1044">
        <f>IF(INVENTARIO!P1044="","",INVENTARIO!P1044)</f>
        <v/>
      </c>
      <c r="H1044">
        <f>IF(INVENTARIO!Q1044="","",INVENTARIO!Q1044)</f>
        <v/>
      </c>
      <c r="I1044">
        <f>IF(INVENTARIO!R1044="","",INVENTARIO!R1044)</f>
        <v/>
      </c>
      <c r="J1044">
        <f>IF(G1044="PUBLICA(1)",1,IF(G1044="USO INTERNO(2)",2,IF(G1044="RESTRINGIDO(3)",3,0)))+IF(H1044="BAJA(1)",1,IF(H1044="MEDIA(2)",2,IF(H1044="ALTA(3)",3,0)))+IF(I1044="BAJA(1)",1,IF(I1044="MEDIA(2)",2,IF(I1044="ALTA(3)",3,0)))</f>
        <v/>
      </c>
      <c r="K1044">
        <f>IF(J1044="", "", IF(J1044&gt;=8,"ALTA",IF(J1044&gt;=6,"MEDIA","BAJA")))</f>
        <v/>
      </c>
      <c r="L1044">
        <f>IF(INVENTARIO!Y1044="","",INVENTARIO!Y1044)</f>
        <v/>
      </c>
      <c r="M1044">
        <f>IF(INVENTARIO!Z1044="","",INVENTARIO!Z1044)</f>
        <v/>
      </c>
      <c r="N1044">
        <f>IF(INVENTARIO!AA1044="","",INVENTARIO!AA1044)</f>
        <v/>
      </c>
      <c r="O1044">
        <f>IF(INVENTARIO!AB1044="","",INVENTARIO!AB1044)</f>
        <v/>
      </c>
      <c r="P1044">
        <f>IF(INVENTARIO!AC1044="","",INVENTARIO!AC1044)</f>
        <v/>
      </c>
      <c r="Q1044">
        <f>IF(AND(K1044="",N1044="",L1044=""),"",IF(AND((K1044="ALTA"),OR(LEFT(N1044,2)="L0",LEFT(N1044,2)="L1",L1044="No Iniciado")),"CRÍTICO - Incumplimiento Normativo SEPS",IF(AND(OR(LEFT(N1044,2)="L4",LEFT(N1044,2)="L5"),AND(P1044&lt;&gt;"",P1044&lt;&gt;"N/A")),"CONFORME - Control Efectivo ISO 27001","OBSERVACIÓN - Revisar Controles")))</f>
        <v/>
      </c>
    </row>
    <row r="1045">
      <c r="A1045">
        <f>IF(INVENTARIO!A1045="","",INVENTARIO!A1045)</f>
        <v/>
      </c>
      <c r="B1045">
        <f>IF(INVENTARIO!E1045="","",INVENTARIO!E1045)</f>
        <v/>
      </c>
      <c r="C1045">
        <f>IF(INVENTARIO!F1045="","",INVENTARIO!F1045)</f>
        <v/>
      </c>
      <c r="D1045">
        <f>IF(INVENTARIO!H1045="","",INVENTARIO!H1045)</f>
        <v/>
      </c>
      <c r="E1045">
        <f>IF(INVENTARIO!I1045="","",INVENTARIO!I1045)</f>
        <v/>
      </c>
      <c r="F1045">
        <f>IF(INVENTARIO!N1045="","",INVENTARIO!N1045)</f>
        <v/>
      </c>
      <c r="G1045">
        <f>IF(INVENTARIO!P1045="","",INVENTARIO!P1045)</f>
        <v/>
      </c>
      <c r="H1045">
        <f>IF(INVENTARIO!Q1045="","",INVENTARIO!Q1045)</f>
        <v/>
      </c>
      <c r="I1045">
        <f>IF(INVENTARIO!R1045="","",INVENTARIO!R1045)</f>
        <v/>
      </c>
      <c r="J1045">
        <f>IF(G1045="PUBLICA(1)",1,IF(G1045="USO INTERNO(2)",2,IF(G1045="RESTRINGIDO(3)",3,0)))+IF(H1045="BAJA(1)",1,IF(H1045="MEDIA(2)",2,IF(H1045="ALTA(3)",3,0)))+IF(I1045="BAJA(1)",1,IF(I1045="MEDIA(2)",2,IF(I1045="ALTA(3)",3,0)))</f>
        <v/>
      </c>
      <c r="K1045">
        <f>IF(J1045="", "", IF(J1045&gt;=8,"ALTA",IF(J1045&gt;=6,"MEDIA","BAJA")))</f>
        <v/>
      </c>
      <c r="L1045">
        <f>IF(INVENTARIO!Y1045="","",INVENTARIO!Y1045)</f>
        <v/>
      </c>
      <c r="M1045">
        <f>IF(INVENTARIO!Z1045="","",INVENTARIO!Z1045)</f>
        <v/>
      </c>
      <c r="N1045">
        <f>IF(INVENTARIO!AA1045="","",INVENTARIO!AA1045)</f>
        <v/>
      </c>
      <c r="O1045">
        <f>IF(INVENTARIO!AB1045="","",INVENTARIO!AB1045)</f>
        <v/>
      </c>
      <c r="P1045">
        <f>IF(INVENTARIO!AC1045="","",INVENTARIO!AC1045)</f>
        <v/>
      </c>
      <c r="Q1045">
        <f>IF(AND(K1045="",N1045="",L1045=""),"",IF(AND((K1045="ALTA"),OR(LEFT(N1045,2)="L0",LEFT(N1045,2)="L1",L1045="No Iniciado")),"CRÍTICO - Incumplimiento Normativo SEPS",IF(AND(OR(LEFT(N1045,2)="L4",LEFT(N1045,2)="L5"),AND(P1045&lt;&gt;"",P1045&lt;&gt;"N/A")),"CONFORME - Control Efectivo ISO 27001","OBSERVACIÓN - Revisar Controles")))</f>
        <v/>
      </c>
    </row>
    <row r="1046">
      <c r="A1046">
        <f>IF(INVENTARIO!A1046="","",INVENTARIO!A1046)</f>
        <v/>
      </c>
      <c r="B1046">
        <f>IF(INVENTARIO!E1046="","",INVENTARIO!E1046)</f>
        <v/>
      </c>
      <c r="C1046">
        <f>IF(INVENTARIO!F1046="","",INVENTARIO!F1046)</f>
        <v/>
      </c>
      <c r="D1046">
        <f>IF(INVENTARIO!H1046="","",INVENTARIO!H1046)</f>
        <v/>
      </c>
      <c r="E1046">
        <f>IF(INVENTARIO!I1046="","",INVENTARIO!I1046)</f>
        <v/>
      </c>
      <c r="F1046">
        <f>IF(INVENTARIO!N1046="","",INVENTARIO!N1046)</f>
        <v/>
      </c>
      <c r="G1046">
        <f>IF(INVENTARIO!P1046="","",INVENTARIO!P1046)</f>
        <v/>
      </c>
      <c r="H1046">
        <f>IF(INVENTARIO!Q1046="","",INVENTARIO!Q1046)</f>
        <v/>
      </c>
      <c r="I1046">
        <f>IF(INVENTARIO!R1046="","",INVENTARIO!R1046)</f>
        <v/>
      </c>
      <c r="J1046">
        <f>IF(G1046="PUBLICA(1)",1,IF(G1046="USO INTERNO(2)",2,IF(G1046="RESTRINGIDO(3)",3,0)))+IF(H1046="BAJA(1)",1,IF(H1046="MEDIA(2)",2,IF(H1046="ALTA(3)",3,0)))+IF(I1046="BAJA(1)",1,IF(I1046="MEDIA(2)",2,IF(I1046="ALTA(3)",3,0)))</f>
        <v/>
      </c>
      <c r="K1046">
        <f>IF(J1046="", "", IF(J1046&gt;=8,"ALTA",IF(J1046&gt;=6,"MEDIA","BAJA")))</f>
        <v/>
      </c>
      <c r="L1046">
        <f>IF(INVENTARIO!Y1046="","",INVENTARIO!Y1046)</f>
        <v/>
      </c>
      <c r="M1046">
        <f>IF(INVENTARIO!Z1046="","",INVENTARIO!Z1046)</f>
        <v/>
      </c>
      <c r="N1046">
        <f>IF(INVENTARIO!AA1046="","",INVENTARIO!AA1046)</f>
        <v/>
      </c>
      <c r="O1046">
        <f>IF(INVENTARIO!AB1046="","",INVENTARIO!AB1046)</f>
        <v/>
      </c>
      <c r="P1046">
        <f>IF(INVENTARIO!AC1046="","",INVENTARIO!AC1046)</f>
        <v/>
      </c>
      <c r="Q1046">
        <f>IF(AND(K1046="",N1046="",L1046=""),"",IF(AND((K1046="ALTA"),OR(LEFT(N1046,2)="L0",LEFT(N1046,2)="L1",L1046="No Iniciado")),"CRÍTICO - Incumplimiento Normativo SEPS",IF(AND(OR(LEFT(N1046,2)="L4",LEFT(N1046,2)="L5"),AND(P1046&lt;&gt;"",P1046&lt;&gt;"N/A")),"CONFORME - Control Efectivo ISO 27001","OBSERVACIÓN - Revisar Controles")))</f>
        <v/>
      </c>
    </row>
    <row r="1047">
      <c r="A1047">
        <f>IF(INVENTARIO!A1047="","",INVENTARIO!A1047)</f>
        <v/>
      </c>
      <c r="B1047">
        <f>IF(INVENTARIO!E1047="","",INVENTARIO!E1047)</f>
        <v/>
      </c>
      <c r="C1047">
        <f>IF(INVENTARIO!F1047="","",INVENTARIO!F1047)</f>
        <v/>
      </c>
      <c r="D1047">
        <f>IF(INVENTARIO!H1047="","",INVENTARIO!H1047)</f>
        <v/>
      </c>
      <c r="E1047">
        <f>IF(INVENTARIO!I1047="","",INVENTARIO!I1047)</f>
        <v/>
      </c>
      <c r="F1047">
        <f>IF(INVENTARIO!N1047="","",INVENTARIO!N1047)</f>
        <v/>
      </c>
      <c r="G1047">
        <f>IF(INVENTARIO!P1047="","",INVENTARIO!P1047)</f>
        <v/>
      </c>
      <c r="H1047">
        <f>IF(INVENTARIO!Q1047="","",INVENTARIO!Q1047)</f>
        <v/>
      </c>
      <c r="I1047">
        <f>IF(INVENTARIO!R1047="","",INVENTARIO!R1047)</f>
        <v/>
      </c>
      <c r="J1047">
        <f>IF(G1047="PUBLICA(1)",1,IF(G1047="USO INTERNO(2)",2,IF(G1047="RESTRINGIDO(3)",3,0)))+IF(H1047="BAJA(1)",1,IF(H1047="MEDIA(2)",2,IF(H1047="ALTA(3)",3,0)))+IF(I1047="BAJA(1)",1,IF(I1047="MEDIA(2)",2,IF(I1047="ALTA(3)",3,0)))</f>
        <v/>
      </c>
      <c r="K1047">
        <f>IF(J1047="", "", IF(J1047&gt;=8,"ALTA",IF(J1047&gt;=6,"MEDIA","BAJA")))</f>
        <v/>
      </c>
      <c r="L1047">
        <f>IF(INVENTARIO!Y1047="","",INVENTARIO!Y1047)</f>
        <v/>
      </c>
      <c r="M1047">
        <f>IF(INVENTARIO!Z1047="","",INVENTARIO!Z1047)</f>
        <v/>
      </c>
      <c r="N1047">
        <f>IF(INVENTARIO!AA1047="","",INVENTARIO!AA1047)</f>
        <v/>
      </c>
      <c r="O1047">
        <f>IF(INVENTARIO!AB1047="","",INVENTARIO!AB1047)</f>
        <v/>
      </c>
      <c r="P1047">
        <f>IF(INVENTARIO!AC1047="","",INVENTARIO!AC1047)</f>
        <v/>
      </c>
      <c r="Q1047">
        <f>IF(AND(K1047="",N1047="",L1047=""),"",IF(AND((K1047="ALTA"),OR(LEFT(N1047,2)="L0",LEFT(N1047,2)="L1",L1047="No Iniciado")),"CRÍTICO - Incumplimiento Normativo SEPS",IF(AND(OR(LEFT(N1047,2)="L4",LEFT(N1047,2)="L5"),AND(P1047&lt;&gt;"",P1047&lt;&gt;"N/A")),"CONFORME - Control Efectivo ISO 27001","OBSERVACIÓN - Revisar Controles")))</f>
        <v/>
      </c>
    </row>
    <row r="1048">
      <c r="A1048">
        <f>IF(INVENTARIO!A1048="","",INVENTARIO!A1048)</f>
        <v/>
      </c>
      <c r="B1048">
        <f>IF(INVENTARIO!E1048="","",INVENTARIO!E1048)</f>
        <v/>
      </c>
      <c r="C1048">
        <f>IF(INVENTARIO!F1048="","",INVENTARIO!F1048)</f>
        <v/>
      </c>
      <c r="D1048">
        <f>IF(INVENTARIO!H1048="","",INVENTARIO!H1048)</f>
        <v/>
      </c>
      <c r="E1048">
        <f>IF(INVENTARIO!I1048="","",INVENTARIO!I1048)</f>
        <v/>
      </c>
      <c r="F1048">
        <f>IF(INVENTARIO!N1048="","",INVENTARIO!N1048)</f>
        <v/>
      </c>
      <c r="G1048">
        <f>IF(INVENTARIO!P1048="","",INVENTARIO!P1048)</f>
        <v/>
      </c>
      <c r="H1048">
        <f>IF(INVENTARIO!Q1048="","",INVENTARIO!Q1048)</f>
        <v/>
      </c>
      <c r="I1048">
        <f>IF(INVENTARIO!R1048="","",INVENTARIO!R1048)</f>
        <v/>
      </c>
      <c r="J1048">
        <f>IF(G1048="PUBLICA(1)",1,IF(G1048="USO INTERNO(2)",2,IF(G1048="RESTRINGIDO(3)",3,0)))+IF(H1048="BAJA(1)",1,IF(H1048="MEDIA(2)",2,IF(H1048="ALTA(3)",3,0)))+IF(I1048="BAJA(1)",1,IF(I1048="MEDIA(2)",2,IF(I1048="ALTA(3)",3,0)))</f>
        <v/>
      </c>
      <c r="K1048">
        <f>IF(J1048="", "", IF(J1048&gt;=8,"ALTA",IF(J1048&gt;=6,"MEDIA","BAJA")))</f>
        <v/>
      </c>
      <c r="L1048">
        <f>IF(INVENTARIO!Y1048="","",INVENTARIO!Y1048)</f>
        <v/>
      </c>
      <c r="M1048">
        <f>IF(INVENTARIO!Z1048="","",INVENTARIO!Z1048)</f>
        <v/>
      </c>
      <c r="N1048">
        <f>IF(INVENTARIO!AA1048="","",INVENTARIO!AA1048)</f>
        <v/>
      </c>
      <c r="O1048">
        <f>IF(INVENTARIO!AB1048="","",INVENTARIO!AB1048)</f>
        <v/>
      </c>
      <c r="P1048">
        <f>IF(INVENTARIO!AC1048="","",INVENTARIO!AC1048)</f>
        <v/>
      </c>
      <c r="Q1048">
        <f>IF(AND(K1048="",N1048="",L1048=""),"",IF(AND((K1048="ALTA"),OR(LEFT(N1048,2)="L0",LEFT(N1048,2)="L1",L1048="No Iniciado")),"CRÍTICO - Incumplimiento Normativo SEPS",IF(AND(OR(LEFT(N1048,2)="L4",LEFT(N1048,2)="L5"),AND(P1048&lt;&gt;"",P1048&lt;&gt;"N/A")),"CONFORME - Control Efectivo ISO 27001","OBSERVACIÓN - Revisar Controles")))</f>
        <v/>
      </c>
    </row>
    <row r="1049">
      <c r="A1049">
        <f>IF(INVENTARIO!A1049="","",INVENTARIO!A1049)</f>
        <v/>
      </c>
      <c r="B1049">
        <f>IF(INVENTARIO!E1049="","",INVENTARIO!E1049)</f>
        <v/>
      </c>
      <c r="C1049">
        <f>IF(INVENTARIO!F1049="","",INVENTARIO!F1049)</f>
        <v/>
      </c>
      <c r="D1049">
        <f>IF(INVENTARIO!H1049="","",INVENTARIO!H1049)</f>
        <v/>
      </c>
      <c r="E1049">
        <f>IF(INVENTARIO!I1049="","",INVENTARIO!I1049)</f>
        <v/>
      </c>
      <c r="F1049">
        <f>IF(INVENTARIO!N1049="","",INVENTARIO!N1049)</f>
        <v/>
      </c>
      <c r="G1049">
        <f>IF(INVENTARIO!P1049="","",INVENTARIO!P1049)</f>
        <v/>
      </c>
      <c r="H1049">
        <f>IF(INVENTARIO!Q1049="","",INVENTARIO!Q1049)</f>
        <v/>
      </c>
      <c r="I1049">
        <f>IF(INVENTARIO!R1049="","",INVENTARIO!R1049)</f>
        <v/>
      </c>
      <c r="J1049">
        <f>IF(G1049="PUBLICA(1)",1,IF(G1049="USO INTERNO(2)",2,IF(G1049="RESTRINGIDO(3)",3,0)))+IF(H1049="BAJA(1)",1,IF(H1049="MEDIA(2)",2,IF(H1049="ALTA(3)",3,0)))+IF(I1049="BAJA(1)",1,IF(I1049="MEDIA(2)",2,IF(I1049="ALTA(3)",3,0)))</f>
        <v/>
      </c>
      <c r="K1049">
        <f>IF(J1049="", "", IF(J1049&gt;=8,"ALTA",IF(J1049&gt;=6,"MEDIA","BAJA")))</f>
        <v/>
      </c>
      <c r="L1049">
        <f>IF(INVENTARIO!Y1049="","",INVENTARIO!Y1049)</f>
        <v/>
      </c>
      <c r="M1049">
        <f>IF(INVENTARIO!Z1049="","",INVENTARIO!Z1049)</f>
        <v/>
      </c>
      <c r="N1049">
        <f>IF(INVENTARIO!AA1049="","",INVENTARIO!AA1049)</f>
        <v/>
      </c>
      <c r="O1049">
        <f>IF(INVENTARIO!AB1049="","",INVENTARIO!AB1049)</f>
        <v/>
      </c>
      <c r="P1049">
        <f>IF(INVENTARIO!AC1049="","",INVENTARIO!AC1049)</f>
        <v/>
      </c>
      <c r="Q1049">
        <f>IF(AND(K1049="",N1049="",L1049=""),"",IF(AND((K1049="ALTA"),OR(LEFT(N1049,2)="L0",LEFT(N1049,2)="L1",L1049="No Iniciado")),"CRÍTICO - Incumplimiento Normativo SEPS",IF(AND(OR(LEFT(N1049,2)="L4",LEFT(N1049,2)="L5"),AND(P1049&lt;&gt;"",P1049&lt;&gt;"N/A")),"CONFORME - Control Efectivo ISO 27001","OBSERVACIÓN - Revisar Controles")))</f>
        <v/>
      </c>
    </row>
    <row r="1050">
      <c r="A1050">
        <f>IF(INVENTARIO!A1050="","",INVENTARIO!A1050)</f>
        <v/>
      </c>
      <c r="B1050">
        <f>IF(INVENTARIO!E1050="","",INVENTARIO!E1050)</f>
        <v/>
      </c>
      <c r="C1050">
        <f>IF(INVENTARIO!F1050="","",INVENTARIO!F1050)</f>
        <v/>
      </c>
      <c r="D1050">
        <f>IF(INVENTARIO!H1050="","",INVENTARIO!H1050)</f>
        <v/>
      </c>
      <c r="E1050">
        <f>IF(INVENTARIO!I1050="","",INVENTARIO!I1050)</f>
        <v/>
      </c>
      <c r="F1050">
        <f>IF(INVENTARIO!N1050="","",INVENTARIO!N1050)</f>
        <v/>
      </c>
      <c r="G1050">
        <f>IF(INVENTARIO!P1050="","",INVENTARIO!P1050)</f>
        <v/>
      </c>
      <c r="H1050">
        <f>IF(INVENTARIO!Q1050="","",INVENTARIO!Q1050)</f>
        <v/>
      </c>
      <c r="I1050">
        <f>IF(INVENTARIO!R1050="","",INVENTARIO!R1050)</f>
        <v/>
      </c>
      <c r="J1050">
        <f>IF(G1050="PUBLICA(1)",1,IF(G1050="USO INTERNO(2)",2,IF(G1050="RESTRINGIDO(3)",3,0)))+IF(H1050="BAJA(1)",1,IF(H1050="MEDIA(2)",2,IF(H1050="ALTA(3)",3,0)))+IF(I1050="BAJA(1)",1,IF(I1050="MEDIA(2)",2,IF(I1050="ALTA(3)",3,0)))</f>
        <v/>
      </c>
      <c r="K1050">
        <f>IF(J1050="", "", IF(J1050&gt;=8,"ALTA",IF(J1050&gt;=6,"MEDIA","BAJA")))</f>
        <v/>
      </c>
      <c r="L1050">
        <f>IF(INVENTARIO!Y1050="","",INVENTARIO!Y1050)</f>
        <v/>
      </c>
      <c r="M1050">
        <f>IF(INVENTARIO!Z1050="","",INVENTARIO!Z1050)</f>
        <v/>
      </c>
      <c r="N1050">
        <f>IF(INVENTARIO!AA1050="","",INVENTARIO!AA1050)</f>
        <v/>
      </c>
      <c r="O1050">
        <f>IF(INVENTARIO!AB1050="","",INVENTARIO!AB1050)</f>
        <v/>
      </c>
      <c r="P1050">
        <f>IF(INVENTARIO!AC1050="","",INVENTARIO!AC1050)</f>
        <v/>
      </c>
      <c r="Q1050">
        <f>IF(AND(K1050="",N1050="",L1050=""),"",IF(AND((K1050="ALTA"),OR(LEFT(N1050,2)="L0",LEFT(N1050,2)="L1",L1050="No Iniciado")),"CRÍTICO - Incumplimiento Normativo SEPS",IF(AND(OR(LEFT(N1050,2)="L4",LEFT(N1050,2)="L5"),AND(P1050&lt;&gt;"",P1050&lt;&gt;"N/A")),"CONFORME - Control Efectivo ISO 27001","OBSERVACIÓN - Revisar Controles")))</f>
        <v/>
      </c>
    </row>
    <row r="1051">
      <c r="A1051">
        <f>IF(INVENTARIO!A1051="","",INVENTARIO!A1051)</f>
        <v/>
      </c>
      <c r="B1051">
        <f>IF(INVENTARIO!E1051="","",INVENTARIO!E1051)</f>
        <v/>
      </c>
      <c r="C1051">
        <f>IF(INVENTARIO!F1051="","",INVENTARIO!F1051)</f>
        <v/>
      </c>
      <c r="D1051">
        <f>IF(INVENTARIO!H1051="","",INVENTARIO!H1051)</f>
        <v/>
      </c>
      <c r="E1051">
        <f>IF(INVENTARIO!I1051="","",INVENTARIO!I1051)</f>
        <v/>
      </c>
      <c r="F1051">
        <f>IF(INVENTARIO!N1051="","",INVENTARIO!N1051)</f>
        <v/>
      </c>
      <c r="G1051">
        <f>IF(INVENTARIO!P1051="","",INVENTARIO!P1051)</f>
        <v/>
      </c>
      <c r="H1051">
        <f>IF(INVENTARIO!Q1051="","",INVENTARIO!Q1051)</f>
        <v/>
      </c>
      <c r="I1051">
        <f>IF(INVENTARIO!R1051="","",INVENTARIO!R1051)</f>
        <v/>
      </c>
      <c r="J1051">
        <f>IF(G1051="PUBLICA(1)",1,IF(G1051="USO INTERNO(2)",2,IF(G1051="RESTRINGIDO(3)",3,0)))+IF(H1051="BAJA(1)",1,IF(H1051="MEDIA(2)",2,IF(H1051="ALTA(3)",3,0)))+IF(I1051="BAJA(1)",1,IF(I1051="MEDIA(2)",2,IF(I1051="ALTA(3)",3,0)))</f>
        <v/>
      </c>
      <c r="K1051">
        <f>IF(J1051="", "", IF(J1051&gt;=8,"ALTA",IF(J1051&gt;=6,"MEDIA","BAJA")))</f>
        <v/>
      </c>
      <c r="L1051">
        <f>IF(INVENTARIO!Y1051="","",INVENTARIO!Y1051)</f>
        <v/>
      </c>
      <c r="M1051">
        <f>IF(INVENTARIO!Z1051="","",INVENTARIO!Z1051)</f>
        <v/>
      </c>
      <c r="N1051">
        <f>IF(INVENTARIO!AA1051="","",INVENTARIO!AA1051)</f>
        <v/>
      </c>
      <c r="O1051">
        <f>IF(INVENTARIO!AB1051="","",INVENTARIO!AB1051)</f>
        <v/>
      </c>
      <c r="P1051">
        <f>IF(INVENTARIO!AC1051="","",INVENTARIO!AC1051)</f>
        <v/>
      </c>
      <c r="Q1051">
        <f>IF(AND(K1051="",N1051="",L1051=""),"",IF(AND((K1051="ALTA"),OR(LEFT(N1051,2)="L0",LEFT(N1051,2)="L1",L1051="No Iniciado")),"CRÍTICO - Incumplimiento Normativo SEPS",IF(AND(OR(LEFT(N1051,2)="L4",LEFT(N1051,2)="L5"),AND(P1051&lt;&gt;"",P1051&lt;&gt;"N/A")),"CONFORME - Control Efectivo ISO 27001","OBSERVACIÓN - Revisar Controles")))</f>
        <v/>
      </c>
    </row>
    <row r="1052">
      <c r="A1052">
        <f>IF(INVENTARIO!A1052="","",INVENTARIO!A1052)</f>
        <v/>
      </c>
      <c r="B1052">
        <f>IF(INVENTARIO!E1052="","",INVENTARIO!E1052)</f>
        <v/>
      </c>
      <c r="C1052">
        <f>IF(INVENTARIO!F1052="","",INVENTARIO!F1052)</f>
        <v/>
      </c>
      <c r="D1052">
        <f>IF(INVENTARIO!H1052="","",INVENTARIO!H1052)</f>
        <v/>
      </c>
      <c r="E1052">
        <f>IF(INVENTARIO!I1052="","",INVENTARIO!I1052)</f>
        <v/>
      </c>
      <c r="F1052">
        <f>IF(INVENTARIO!N1052="","",INVENTARIO!N1052)</f>
        <v/>
      </c>
      <c r="G1052">
        <f>IF(INVENTARIO!P1052="","",INVENTARIO!P1052)</f>
        <v/>
      </c>
      <c r="H1052">
        <f>IF(INVENTARIO!Q1052="","",INVENTARIO!Q1052)</f>
        <v/>
      </c>
      <c r="I1052">
        <f>IF(INVENTARIO!R1052="","",INVENTARIO!R1052)</f>
        <v/>
      </c>
      <c r="J1052">
        <f>IF(G1052="PUBLICA(1)",1,IF(G1052="USO INTERNO(2)",2,IF(G1052="RESTRINGIDO(3)",3,0)))+IF(H1052="BAJA(1)",1,IF(H1052="MEDIA(2)",2,IF(H1052="ALTA(3)",3,0)))+IF(I1052="BAJA(1)",1,IF(I1052="MEDIA(2)",2,IF(I1052="ALTA(3)",3,0)))</f>
        <v/>
      </c>
      <c r="K1052">
        <f>IF(J1052="", "", IF(J1052&gt;=8,"ALTA",IF(J1052&gt;=6,"MEDIA","BAJA")))</f>
        <v/>
      </c>
      <c r="L1052">
        <f>IF(INVENTARIO!Y1052="","",INVENTARIO!Y1052)</f>
        <v/>
      </c>
      <c r="M1052">
        <f>IF(INVENTARIO!Z1052="","",INVENTARIO!Z1052)</f>
        <v/>
      </c>
      <c r="N1052">
        <f>IF(INVENTARIO!AA1052="","",INVENTARIO!AA1052)</f>
        <v/>
      </c>
      <c r="O1052">
        <f>IF(INVENTARIO!AB1052="","",INVENTARIO!AB1052)</f>
        <v/>
      </c>
      <c r="P1052">
        <f>IF(INVENTARIO!AC1052="","",INVENTARIO!AC1052)</f>
        <v/>
      </c>
      <c r="Q1052">
        <f>IF(AND(K1052="",N1052="",L1052=""),"",IF(AND((K1052="ALTA"),OR(LEFT(N1052,2)="L0",LEFT(N1052,2)="L1",L1052="No Iniciado")),"CRÍTICO - Incumplimiento Normativo SEPS",IF(AND(OR(LEFT(N1052,2)="L4",LEFT(N1052,2)="L5"),AND(P1052&lt;&gt;"",P1052&lt;&gt;"N/A")),"CONFORME - Control Efectivo ISO 27001","OBSERVACIÓN - Revisar Controles")))</f>
        <v/>
      </c>
    </row>
    <row r="1053">
      <c r="A1053">
        <f>IF(INVENTARIO!A1053="","",INVENTARIO!A1053)</f>
        <v/>
      </c>
      <c r="B1053">
        <f>IF(INVENTARIO!E1053="","",INVENTARIO!E1053)</f>
        <v/>
      </c>
      <c r="C1053">
        <f>IF(INVENTARIO!F1053="","",INVENTARIO!F1053)</f>
        <v/>
      </c>
      <c r="D1053">
        <f>IF(INVENTARIO!H1053="","",INVENTARIO!H1053)</f>
        <v/>
      </c>
      <c r="E1053">
        <f>IF(INVENTARIO!I1053="","",INVENTARIO!I1053)</f>
        <v/>
      </c>
      <c r="F1053">
        <f>IF(INVENTARIO!N1053="","",INVENTARIO!N1053)</f>
        <v/>
      </c>
      <c r="G1053">
        <f>IF(INVENTARIO!P1053="","",INVENTARIO!P1053)</f>
        <v/>
      </c>
      <c r="H1053">
        <f>IF(INVENTARIO!Q1053="","",INVENTARIO!Q1053)</f>
        <v/>
      </c>
      <c r="I1053">
        <f>IF(INVENTARIO!R1053="","",INVENTARIO!R1053)</f>
        <v/>
      </c>
      <c r="J1053">
        <f>IF(G1053="PUBLICA(1)",1,IF(G1053="USO INTERNO(2)",2,IF(G1053="RESTRINGIDO(3)",3,0)))+IF(H1053="BAJA(1)",1,IF(H1053="MEDIA(2)",2,IF(H1053="ALTA(3)",3,0)))+IF(I1053="BAJA(1)",1,IF(I1053="MEDIA(2)",2,IF(I1053="ALTA(3)",3,0)))</f>
        <v/>
      </c>
      <c r="K1053">
        <f>IF(J1053="", "", IF(J1053&gt;=8,"ALTA",IF(J1053&gt;=6,"MEDIA","BAJA")))</f>
        <v/>
      </c>
      <c r="L1053">
        <f>IF(INVENTARIO!Y1053="","",INVENTARIO!Y1053)</f>
        <v/>
      </c>
      <c r="M1053">
        <f>IF(INVENTARIO!Z1053="","",INVENTARIO!Z1053)</f>
        <v/>
      </c>
      <c r="N1053">
        <f>IF(INVENTARIO!AA1053="","",INVENTARIO!AA1053)</f>
        <v/>
      </c>
      <c r="O1053">
        <f>IF(INVENTARIO!AB1053="","",INVENTARIO!AB1053)</f>
        <v/>
      </c>
      <c r="P1053">
        <f>IF(INVENTARIO!AC1053="","",INVENTARIO!AC1053)</f>
        <v/>
      </c>
      <c r="Q1053">
        <f>IF(AND(K1053="",N1053="",L1053=""),"",IF(AND((K1053="ALTA"),OR(LEFT(N1053,2)="L0",LEFT(N1053,2)="L1",L1053="No Iniciado")),"CRÍTICO - Incumplimiento Normativo SEPS",IF(AND(OR(LEFT(N1053,2)="L4",LEFT(N1053,2)="L5"),AND(P1053&lt;&gt;"",P1053&lt;&gt;"N/A")),"CONFORME - Control Efectivo ISO 27001","OBSERVACIÓN - Revisar Controles")))</f>
        <v/>
      </c>
    </row>
    <row r="1054">
      <c r="A1054">
        <f>IF(INVENTARIO!A1054="","",INVENTARIO!A1054)</f>
        <v/>
      </c>
      <c r="B1054">
        <f>IF(INVENTARIO!E1054="","",INVENTARIO!E1054)</f>
        <v/>
      </c>
      <c r="C1054">
        <f>IF(INVENTARIO!F1054="","",INVENTARIO!F1054)</f>
        <v/>
      </c>
      <c r="D1054">
        <f>IF(INVENTARIO!H1054="","",INVENTARIO!H1054)</f>
        <v/>
      </c>
      <c r="E1054">
        <f>IF(INVENTARIO!I1054="","",INVENTARIO!I1054)</f>
        <v/>
      </c>
      <c r="F1054">
        <f>IF(INVENTARIO!N1054="","",INVENTARIO!N1054)</f>
        <v/>
      </c>
      <c r="G1054">
        <f>IF(INVENTARIO!P1054="","",INVENTARIO!P1054)</f>
        <v/>
      </c>
      <c r="H1054">
        <f>IF(INVENTARIO!Q1054="","",INVENTARIO!Q1054)</f>
        <v/>
      </c>
      <c r="I1054">
        <f>IF(INVENTARIO!R1054="","",INVENTARIO!R1054)</f>
        <v/>
      </c>
      <c r="J1054">
        <f>IF(G1054="PUBLICA(1)",1,IF(G1054="USO INTERNO(2)",2,IF(G1054="RESTRINGIDO(3)",3,0)))+IF(H1054="BAJA(1)",1,IF(H1054="MEDIA(2)",2,IF(H1054="ALTA(3)",3,0)))+IF(I1054="BAJA(1)",1,IF(I1054="MEDIA(2)",2,IF(I1054="ALTA(3)",3,0)))</f>
        <v/>
      </c>
      <c r="K1054">
        <f>IF(J1054="", "", IF(J1054&gt;=8,"ALTA",IF(J1054&gt;=6,"MEDIA","BAJA")))</f>
        <v/>
      </c>
      <c r="L1054">
        <f>IF(INVENTARIO!Y1054="","",INVENTARIO!Y1054)</f>
        <v/>
      </c>
      <c r="M1054">
        <f>IF(INVENTARIO!Z1054="","",INVENTARIO!Z1054)</f>
        <v/>
      </c>
      <c r="N1054">
        <f>IF(INVENTARIO!AA1054="","",INVENTARIO!AA1054)</f>
        <v/>
      </c>
      <c r="O1054">
        <f>IF(INVENTARIO!AB1054="","",INVENTARIO!AB1054)</f>
        <v/>
      </c>
      <c r="P1054">
        <f>IF(INVENTARIO!AC1054="","",INVENTARIO!AC1054)</f>
        <v/>
      </c>
      <c r="Q1054">
        <f>IF(AND(K1054="",N1054="",L1054=""),"",IF(AND((K1054="ALTA"),OR(LEFT(N1054,2)="L0",LEFT(N1054,2)="L1",L1054="No Iniciado")),"CRÍTICO - Incumplimiento Normativo SEPS",IF(AND(OR(LEFT(N1054,2)="L4",LEFT(N1054,2)="L5"),AND(P1054&lt;&gt;"",P1054&lt;&gt;"N/A")),"CONFORME - Control Efectivo ISO 27001","OBSERVACIÓN - Revisar Controles")))</f>
        <v/>
      </c>
    </row>
    <row r="1055">
      <c r="A1055">
        <f>IF(INVENTARIO!A1055="","",INVENTARIO!A1055)</f>
        <v/>
      </c>
      <c r="B1055">
        <f>IF(INVENTARIO!E1055="","",INVENTARIO!E1055)</f>
        <v/>
      </c>
      <c r="C1055">
        <f>IF(INVENTARIO!F1055="","",INVENTARIO!F1055)</f>
        <v/>
      </c>
      <c r="D1055">
        <f>IF(INVENTARIO!H1055="","",INVENTARIO!H1055)</f>
        <v/>
      </c>
      <c r="E1055">
        <f>IF(INVENTARIO!I1055="","",INVENTARIO!I1055)</f>
        <v/>
      </c>
      <c r="F1055">
        <f>IF(INVENTARIO!N1055="","",INVENTARIO!N1055)</f>
        <v/>
      </c>
      <c r="G1055">
        <f>IF(INVENTARIO!P1055="","",INVENTARIO!P1055)</f>
        <v/>
      </c>
      <c r="H1055">
        <f>IF(INVENTARIO!Q1055="","",INVENTARIO!Q1055)</f>
        <v/>
      </c>
      <c r="I1055">
        <f>IF(INVENTARIO!R1055="","",INVENTARIO!R1055)</f>
        <v/>
      </c>
      <c r="J1055">
        <f>IF(G1055="PUBLICA(1)",1,IF(G1055="USO INTERNO(2)",2,IF(G1055="RESTRINGIDO(3)",3,0)))+IF(H1055="BAJA(1)",1,IF(H1055="MEDIA(2)",2,IF(H1055="ALTA(3)",3,0)))+IF(I1055="BAJA(1)",1,IF(I1055="MEDIA(2)",2,IF(I1055="ALTA(3)",3,0)))</f>
        <v/>
      </c>
      <c r="K1055">
        <f>IF(J1055="", "", IF(J1055&gt;=8,"ALTA",IF(J1055&gt;=6,"MEDIA","BAJA")))</f>
        <v/>
      </c>
      <c r="L1055">
        <f>IF(INVENTARIO!Y1055="","",INVENTARIO!Y1055)</f>
        <v/>
      </c>
      <c r="M1055">
        <f>IF(INVENTARIO!Z1055="","",INVENTARIO!Z1055)</f>
        <v/>
      </c>
      <c r="N1055">
        <f>IF(INVENTARIO!AA1055="","",INVENTARIO!AA1055)</f>
        <v/>
      </c>
      <c r="O1055">
        <f>IF(INVENTARIO!AB1055="","",INVENTARIO!AB1055)</f>
        <v/>
      </c>
      <c r="P1055">
        <f>IF(INVENTARIO!AC1055="","",INVENTARIO!AC1055)</f>
        <v/>
      </c>
      <c r="Q1055">
        <f>IF(AND(K1055="",N1055="",L1055=""),"",IF(AND((K1055="ALTA"),OR(LEFT(N1055,2)="L0",LEFT(N1055,2)="L1",L1055="No Iniciado")),"CRÍTICO - Incumplimiento Normativo SEPS",IF(AND(OR(LEFT(N1055,2)="L4",LEFT(N1055,2)="L5"),AND(P1055&lt;&gt;"",P1055&lt;&gt;"N/A")),"CONFORME - Control Efectivo ISO 27001","OBSERVACIÓN - Revisar Controles")))</f>
        <v/>
      </c>
    </row>
    <row r="1056">
      <c r="A1056">
        <f>IF(INVENTARIO!A1056="","",INVENTARIO!A1056)</f>
        <v/>
      </c>
      <c r="B1056">
        <f>IF(INVENTARIO!E1056="","",INVENTARIO!E1056)</f>
        <v/>
      </c>
      <c r="C1056">
        <f>IF(INVENTARIO!F1056="","",INVENTARIO!F1056)</f>
        <v/>
      </c>
      <c r="D1056">
        <f>IF(INVENTARIO!H1056="","",INVENTARIO!H1056)</f>
        <v/>
      </c>
      <c r="E1056">
        <f>IF(INVENTARIO!I1056="","",INVENTARIO!I1056)</f>
        <v/>
      </c>
      <c r="F1056">
        <f>IF(INVENTARIO!N1056="","",INVENTARIO!N1056)</f>
        <v/>
      </c>
      <c r="G1056">
        <f>IF(INVENTARIO!P1056="","",INVENTARIO!P1056)</f>
        <v/>
      </c>
      <c r="H1056">
        <f>IF(INVENTARIO!Q1056="","",INVENTARIO!Q1056)</f>
        <v/>
      </c>
      <c r="I1056">
        <f>IF(INVENTARIO!R1056="","",INVENTARIO!R1056)</f>
        <v/>
      </c>
      <c r="J1056">
        <f>IF(G1056="PUBLICA(1)",1,IF(G1056="USO INTERNO(2)",2,IF(G1056="RESTRINGIDO(3)",3,0)))+IF(H1056="BAJA(1)",1,IF(H1056="MEDIA(2)",2,IF(H1056="ALTA(3)",3,0)))+IF(I1056="BAJA(1)",1,IF(I1056="MEDIA(2)",2,IF(I1056="ALTA(3)",3,0)))</f>
        <v/>
      </c>
      <c r="K1056">
        <f>IF(J1056="", "", IF(J1056&gt;=8,"ALTA",IF(J1056&gt;=6,"MEDIA","BAJA")))</f>
        <v/>
      </c>
      <c r="L1056">
        <f>IF(INVENTARIO!Y1056="","",INVENTARIO!Y1056)</f>
        <v/>
      </c>
      <c r="M1056">
        <f>IF(INVENTARIO!Z1056="","",INVENTARIO!Z1056)</f>
        <v/>
      </c>
      <c r="N1056">
        <f>IF(INVENTARIO!AA1056="","",INVENTARIO!AA1056)</f>
        <v/>
      </c>
      <c r="O1056">
        <f>IF(INVENTARIO!AB1056="","",INVENTARIO!AB1056)</f>
        <v/>
      </c>
      <c r="P1056">
        <f>IF(INVENTARIO!AC1056="","",INVENTARIO!AC1056)</f>
        <v/>
      </c>
      <c r="Q1056">
        <f>IF(AND(K1056="",N1056="",L1056=""),"",IF(AND((K1056="ALTA"),OR(LEFT(N1056,2)="L0",LEFT(N1056,2)="L1",L1056="No Iniciado")),"CRÍTICO - Incumplimiento Normativo SEPS",IF(AND(OR(LEFT(N1056,2)="L4",LEFT(N1056,2)="L5"),AND(P1056&lt;&gt;"",P1056&lt;&gt;"N/A")),"CONFORME - Control Efectivo ISO 27001","OBSERVACIÓN - Revisar Controles")))</f>
        <v/>
      </c>
    </row>
    <row r="1057">
      <c r="A1057">
        <f>IF(INVENTARIO!A1057="","",INVENTARIO!A1057)</f>
        <v/>
      </c>
      <c r="B1057">
        <f>IF(INVENTARIO!E1057="","",INVENTARIO!E1057)</f>
        <v/>
      </c>
      <c r="C1057">
        <f>IF(INVENTARIO!F1057="","",INVENTARIO!F1057)</f>
        <v/>
      </c>
      <c r="D1057">
        <f>IF(INVENTARIO!H1057="","",INVENTARIO!H1057)</f>
        <v/>
      </c>
      <c r="E1057">
        <f>IF(INVENTARIO!I1057="","",INVENTARIO!I1057)</f>
        <v/>
      </c>
      <c r="F1057">
        <f>IF(INVENTARIO!N1057="","",INVENTARIO!N1057)</f>
        <v/>
      </c>
      <c r="G1057">
        <f>IF(INVENTARIO!P1057="","",INVENTARIO!P1057)</f>
        <v/>
      </c>
      <c r="H1057">
        <f>IF(INVENTARIO!Q1057="","",INVENTARIO!Q1057)</f>
        <v/>
      </c>
      <c r="I1057">
        <f>IF(INVENTARIO!R1057="","",INVENTARIO!R1057)</f>
        <v/>
      </c>
      <c r="J1057">
        <f>IF(G1057="PUBLICA(1)",1,IF(G1057="USO INTERNO(2)",2,IF(G1057="RESTRINGIDO(3)",3,0)))+IF(H1057="BAJA(1)",1,IF(H1057="MEDIA(2)",2,IF(H1057="ALTA(3)",3,0)))+IF(I1057="BAJA(1)",1,IF(I1057="MEDIA(2)",2,IF(I1057="ALTA(3)",3,0)))</f>
        <v/>
      </c>
      <c r="K1057">
        <f>IF(J1057="", "", IF(J1057&gt;=8,"ALTA",IF(J1057&gt;=6,"MEDIA","BAJA")))</f>
        <v/>
      </c>
      <c r="L1057">
        <f>IF(INVENTARIO!Y1057="","",INVENTARIO!Y1057)</f>
        <v/>
      </c>
      <c r="M1057">
        <f>IF(INVENTARIO!Z1057="","",INVENTARIO!Z1057)</f>
        <v/>
      </c>
      <c r="N1057">
        <f>IF(INVENTARIO!AA1057="","",INVENTARIO!AA1057)</f>
        <v/>
      </c>
      <c r="O1057">
        <f>IF(INVENTARIO!AB1057="","",INVENTARIO!AB1057)</f>
        <v/>
      </c>
      <c r="P1057">
        <f>IF(INVENTARIO!AC1057="","",INVENTARIO!AC1057)</f>
        <v/>
      </c>
      <c r="Q1057">
        <f>IF(AND(K1057="",N1057="",L1057=""),"",IF(AND((K1057="ALTA"),OR(LEFT(N1057,2)="L0",LEFT(N1057,2)="L1",L1057="No Iniciado")),"CRÍTICO - Incumplimiento Normativo SEPS",IF(AND(OR(LEFT(N1057,2)="L4",LEFT(N1057,2)="L5"),AND(P1057&lt;&gt;"",P1057&lt;&gt;"N/A")),"CONFORME - Control Efectivo ISO 27001","OBSERVACIÓN - Revisar Controles")))</f>
        <v/>
      </c>
    </row>
    <row r="1058">
      <c r="A1058">
        <f>IF(INVENTARIO!A1058="","",INVENTARIO!A1058)</f>
        <v/>
      </c>
      <c r="B1058">
        <f>IF(INVENTARIO!E1058="","",INVENTARIO!E1058)</f>
        <v/>
      </c>
      <c r="C1058">
        <f>IF(INVENTARIO!F1058="","",INVENTARIO!F1058)</f>
        <v/>
      </c>
      <c r="D1058">
        <f>IF(INVENTARIO!H1058="","",INVENTARIO!H1058)</f>
        <v/>
      </c>
      <c r="E1058">
        <f>IF(INVENTARIO!I1058="","",INVENTARIO!I1058)</f>
        <v/>
      </c>
      <c r="F1058">
        <f>IF(INVENTARIO!N1058="","",INVENTARIO!N1058)</f>
        <v/>
      </c>
      <c r="G1058">
        <f>IF(INVENTARIO!P1058="","",INVENTARIO!P1058)</f>
        <v/>
      </c>
      <c r="H1058">
        <f>IF(INVENTARIO!Q1058="","",INVENTARIO!Q1058)</f>
        <v/>
      </c>
      <c r="I1058">
        <f>IF(INVENTARIO!R1058="","",INVENTARIO!R1058)</f>
        <v/>
      </c>
      <c r="J1058">
        <f>IF(G1058="PUBLICA(1)",1,IF(G1058="USO INTERNO(2)",2,IF(G1058="RESTRINGIDO(3)",3,0)))+IF(H1058="BAJA(1)",1,IF(H1058="MEDIA(2)",2,IF(H1058="ALTA(3)",3,0)))+IF(I1058="BAJA(1)",1,IF(I1058="MEDIA(2)",2,IF(I1058="ALTA(3)",3,0)))</f>
        <v/>
      </c>
      <c r="K1058">
        <f>IF(J1058="", "", IF(J1058&gt;=8,"ALTA",IF(J1058&gt;=6,"MEDIA","BAJA")))</f>
        <v/>
      </c>
      <c r="L1058">
        <f>IF(INVENTARIO!Y1058="","",INVENTARIO!Y1058)</f>
        <v/>
      </c>
      <c r="M1058">
        <f>IF(INVENTARIO!Z1058="","",INVENTARIO!Z1058)</f>
        <v/>
      </c>
      <c r="N1058">
        <f>IF(INVENTARIO!AA1058="","",INVENTARIO!AA1058)</f>
        <v/>
      </c>
      <c r="O1058">
        <f>IF(INVENTARIO!AB1058="","",INVENTARIO!AB1058)</f>
        <v/>
      </c>
      <c r="P1058">
        <f>IF(INVENTARIO!AC1058="","",INVENTARIO!AC1058)</f>
        <v/>
      </c>
      <c r="Q1058">
        <f>IF(AND(K1058="",N1058="",L1058=""),"",IF(AND((K1058="ALTA"),OR(LEFT(N1058,2)="L0",LEFT(N1058,2)="L1",L1058="No Iniciado")),"CRÍTICO - Incumplimiento Normativo SEPS",IF(AND(OR(LEFT(N1058,2)="L4",LEFT(N1058,2)="L5"),AND(P1058&lt;&gt;"",P1058&lt;&gt;"N/A")),"CONFORME - Control Efectivo ISO 27001","OBSERVACIÓN - Revisar Controles")))</f>
        <v/>
      </c>
    </row>
    <row r="1059">
      <c r="A1059">
        <f>IF(INVENTARIO!A1059="","",INVENTARIO!A1059)</f>
        <v/>
      </c>
      <c r="B1059">
        <f>IF(INVENTARIO!E1059="","",INVENTARIO!E1059)</f>
        <v/>
      </c>
      <c r="C1059">
        <f>IF(INVENTARIO!F1059="","",INVENTARIO!F1059)</f>
        <v/>
      </c>
      <c r="D1059">
        <f>IF(INVENTARIO!H1059="","",INVENTARIO!H1059)</f>
        <v/>
      </c>
      <c r="E1059">
        <f>IF(INVENTARIO!I1059="","",INVENTARIO!I1059)</f>
        <v/>
      </c>
      <c r="F1059">
        <f>IF(INVENTARIO!N1059="","",INVENTARIO!N1059)</f>
        <v/>
      </c>
      <c r="G1059">
        <f>IF(INVENTARIO!P1059="","",INVENTARIO!P1059)</f>
        <v/>
      </c>
      <c r="H1059">
        <f>IF(INVENTARIO!Q1059="","",INVENTARIO!Q1059)</f>
        <v/>
      </c>
      <c r="I1059">
        <f>IF(INVENTARIO!R1059="","",INVENTARIO!R1059)</f>
        <v/>
      </c>
      <c r="J1059">
        <f>IF(G1059="PUBLICA(1)",1,IF(G1059="USO INTERNO(2)",2,IF(G1059="RESTRINGIDO(3)",3,0)))+IF(H1059="BAJA(1)",1,IF(H1059="MEDIA(2)",2,IF(H1059="ALTA(3)",3,0)))+IF(I1059="BAJA(1)",1,IF(I1059="MEDIA(2)",2,IF(I1059="ALTA(3)",3,0)))</f>
        <v/>
      </c>
      <c r="K1059">
        <f>IF(J1059="", "", IF(J1059&gt;=8,"ALTA",IF(J1059&gt;=6,"MEDIA","BAJA")))</f>
        <v/>
      </c>
      <c r="L1059">
        <f>IF(INVENTARIO!Y1059="","",INVENTARIO!Y1059)</f>
        <v/>
      </c>
      <c r="M1059">
        <f>IF(INVENTARIO!Z1059="","",INVENTARIO!Z1059)</f>
        <v/>
      </c>
      <c r="N1059">
        <f>IF(INVENTARIO!AA1059="","",INVENTARIO!AA1059)</f>
        <v/>
      </c>
      <c r="O1059">
        <f>IF(INVENTARIO!AB1059="","",INVENTARIO!AB1059)</f>
        <v/>
      </c>
      <c r="P1059">
        <f>IF(INVENTARIO!AC1059="","",INVENTARIO!AC1059)</f>
        <v/>
      </c>
      <c r="Q1059">
        <f>IF(AND(K1059="",N1059="",L1059=""),"",IF(AND((K1059="ALTA"),OR(LEFT(N1059,2)="L0",LEFT(N1059,2)="L1",L1059="No Iniciado")),"CRÍTICO - Incumplimiento Normativo SEPS",IF(AND(OR(LEFT(N1059,2)="L4",LEFT(N1059,2)="L5"),AND(P1059&lt;&gt;"",P1059&lt;&gt;"N/A")),"CONFORME - Control Efectivo ISO 27001","OBSERVACIÓN - Revisar Controles")))</f>
        <v/>
      </c>
    </row>
    <row r="1060">
      <c r="A1060">
        <f>IF(INVENTARIO!A1060="","",INVENTARIO!A1060)</f>
        <v/>
      </c>
      <c r="B1060">
        <f>IF(INVENTARIO!E1060="","",INVENTARIO!E1060)</f>
        <v/>
      </c>
      <c r="C1060">
        <f>IF(INVENTARIO!F1060="","",INVENTARIO!F1060)</f>
        <v/>
      </c>
      <c r="D1060">
        <f>IF(INVENTARIO!H1060="","",INVENTARIO!H1060)</f>
        <v/>
      </c>
      <c r="E1060">
        <f>IF(INVENTARIO!I1060="","",INVENTARIO!I1060)</f>
        <v/>
      </c>
      <c r="F1060">
        <f>IF(INVENTARIO!N1060="","",INVENTARIO!N1060)</f>
        <v/>
      </c>
      <c r="G1060">
        <f>IF(INVENTARIO!P1060="","",INVENTARIO!P1060)</f>
        <v/>
      </c>
      <c r="H1060">
        <f>IF(INVENTARIO!Q1060="","",INVENTARIO!Q1060)</f>
        <v/>
      </c>
      <c r="I1060">
        <f>IF(INVENTARIO!R1060="","",INVENTARIO!R1060)</f>
        <v/>
      </c>
      <c r="J1060">
        <f>IF(G1060="PUBLICA(1)",1,IF(G1060="USO INTERNO(2)",2,IF(G1060="RESTRINGIDO(3)",3,0)))+IF(H1060="BAJA(1)",1,IF(H1060="MEDIA(2)",2,IF(H1060="ALTA(3)",3,0)))+IF(I1060="BAJA(1)",1,IF(I1060="MEDIA(2)",2,IF(I1060="ALTA(3)",3,0)))</f>
        <v/>
      </c>
      <c r="K1060">
        <f>IF(J1060="", "", IF(J1060&gt;=8,"ALTA",IF(J1060&gt;=6,"MEDIA","BAJA")))</f>
        <v/>
      </c>
      <c r="L1060">
        <f>IF(INVENTARIO!Y1060="","",INVENTARIO!Y1060)</f>
        <v/>
      </c>
      <c r="M1060">
        <f>IF(INVENTARIO!Z1060="","",INVENTARIO!Z1060)</f>
        <v/>
      </c>
      <c r="N1060">
        <f>IF(INVENTARIO!AA1060="","",INVENTARIO!AA1060)</f>
        <v/>
      </c>
      <c r="O1060">
        <f>IF(INVENTARIO!AB1060="","",INVENTARIO!AB1060)</f>
        <v/>
      </c>
      <c r="P1060">
        <f>IF(INVENTARIO!AC1060="","",INVENTARIO!AC1060)</f>
        <v/>
      </c>
      <c r="Q1060">
        <f>IF(AND(K1060="",N1060="",L1060=""),"",IF(AND((K1060="ALTA"),OR(LEFT(N1060,2)="L0",LEFT(N1060,2)="L1",L1060="No Iniciado")),"CRÍTICO - Incumplimiento Normativo SEPS",IF(AND(OR(LEFT(N1060,2)="L4",LEFT(N1060,2)="L5"),AND(P1060&lt;&gt;"",P1060&lt;&gt;"N/A")),"CONFORME - Control Efectivo ISO 27001","OBSERVACIÓN - Revisar Controles")))</f>
        <v/>
      </c>
    </row>
    <row r="1061">
      <c r="A1061">
        <f>IF(INVENTARIO!A1061="","",INVENTARIO!A1061)</f>
        <v/>
      </c>
      <c r="B1061">
        <f>IF(INVENTARIO!E1061="","",INVENTARIO!E1061)</f>
        <v/>
      </c>
      <c r="C1061">
        <f>IF(INVENTARIO!F1061="","",INVENTARIO!F1061)</f>
        <v/>
      </c>
      <c r="D1061">
        <f>IF(INVENTARIO!H1061="","",INVENTARIO!H1061)</f>
        <v/>
      </c>
      <c r="E1061">
        <f>IF(INVENTARIO!I1061="","",INVENTARIO!I1061)</f>
        <v/>
      </c>
      <c r="F1061">
        <f>IF(INVENTARIO!N1061="","",INVENTARIO!N1061)</f>
        <v/>
      </c>
      <c r="G1061">
        <f>IF(INVENTARIO!P1061="","",INVENTARIO!P1061)</f>
        <v/>
      </c>
      <c r="H1061">
        <f>IF(INVENTARIO!Q1061="","",INVENTARIO!Q1061)</f>
        <v/>
      </c>
      <c r="I1061">
        <f>IF(INVENTARIO!R1061="","",INVENTARIO!R1061)</f>
        <v/>
      </c>
      <c r="J1061">
        <f>IF(G1061="PUBLICA(1)",1,IF(G1061="USO INTERNO(2)",2,IF(G1061="RESTRINGIDO(3)",3,0)))+IF(H1061="BAJA(1)",1,IF(H1061="MEDIA(2)",2,IF(H1061="ALTA(3)",3,0)))+IF(I1061="BAJA(1)",1,IF(I1061="MEDIA(2)",2,IF(I1061="ALTA(3)",3,0)))</f>
        <v/>
      </c>
      <c r="K1061">
        <f>IF(J1061="", "", IF(J1061&gt;=8,"ALTA",IF(J1061&gt;=6,"MEDIA","BAJA")))</f>
        <v/>
      </c>
      <c r="L1061">
        <f>IF(INVENTARIO!Y1061="","",INVENTARIO!Y1061)</f>
        <v/>
      </c>
      <c r="M1061">
        <f>IF(INVENTARIO!Z1061="","",INVENTARIO!Z1061)</f>
        <v/>
      </c>
      <c r="N1061">
        <f>IF(INVENTARIO!AA1061="","",INVENTARIO!AA1061)</f>
        <v/>
      </c>
      <c r="O1061">
        <f>IF(INVENTARIO!AB1061="","",INVENTARIO!AB1061)</f>
        <v/>
      </c>
      <c r="P1061">
        <f>IF(INVENTARIO!AC1061="","",INVENTARIO!AC1061)</f>
        <v/>
      </c>
      <c r="Q1061">
        <f>IF(AND(K1061="",N1061="",L1061=""),"",IF(AND((K1061="ALTA"),OR(LEFT(N1061,2)="L0",LEFT(N1061,2)="L1",L1061="No Iniciado")),"CRÍTICO - Incumplimiento Normativo SEPS",IF(AND(OR(LEFT(N1061,2)="L4",LEFT(N1061,2)="L5"),AND(P1061&lt;&gt;"",P1061&lt;&gt;"N/A")),"CONFORME - Control Efectivo ISO 27001","OBSERVACIÓN - Revisar Controles")))</f>
        <v/>
      </c>
    </row>
    <row r="1062">
      <c r="A1062">
        <f>IF(INVENTARIO!A1062="","",INVENTARIO!A1062)</f>
        <v/>
      </c>
      <c r="B1062">
        <f>IF(INVENTARIO!E1062="","",INVENTARIO!E1062)</f>
        <v/>
      </c>
      <c r="C1062">
        <f>IF(INVENTARIO!F1062="","",INVENTARIO!F1062)</f>
        <v/>
      </c>
      <c r="D1062">
        <f>IF(INVENTARIO!H1062="","",INVENTARIO!H1062)</f>
        <v/>
      </c>
      <c r="E1062">
        <f>IF(INVENTARIO!I1062="","",INVENTARIO!I1062)</f>
        <v/>
      </c>
      <c r="F1062">
        <f>IF(INVENTARIO!N1062="","",INVENTARIO!N1062)</f>
        <v/>
      </c>
      <c r="G1062">
        <f>IF(INVENTARIO!P1062="","",INVENTARIO!P1062)</f>
        <v/>
      </c>
      <c r="H1062">
        <f>IF(INVENTARIO!Q1062="","",INVENTARIO!Q1062)</f>
        <v/>
      </c>
      <c r="I1062">
        <f>IF(INVENTARIO!R1062="","",INVENTARIO!R1062)</f>
        <v/>
      </c>
      <c r="J1062">
        <f>IF(G1062="PUBLICA(1)",1,IF(G1062="USO INTERNO(2)",2,IF(G1062="RESTRINGIDO(3)",3,0)))+IF(H1062="BAJA(1)",1,IF(H1062="MEDIA(2)",2,IF(H1062="ALTA(3)",3,0)))+IF(I1062="BAJA(1)",1,IF(I1062="MEDIA(2)",2,IF(I1062="ALTA(3)",3,0)))</f>
        <v/>
      </c>
      <c r="K1062">
        <f>IF(J1062="", "", IF(J1062&gt;=8,"ALTA",IF(J1062&gt;=6,"MEDIA","BAJA")))</f>
        <v/>
      </c>
      <c r="L1062">
        <f>IF(INVENTARIO!Y1062="","",INVENTARIO!Y1062)</f>
        <v/>
      </c>
      <c r="M1062">
        <f>IF(INVENTARIO!Z1062="","",INVENTARIO!Z1062)</f>
        <v/>
      </c>
      <c r="N1062">
        <f>IF(INVENTARIO!AA1062="","",INVENTARIO!AA1062)</f>
        <v/>
      </c>
      <c r="O1062">
        <f>IF(INVENTARIO!AB1062="","",INVENTARIO!AB1062)</f>
        <v/>
      </c>
      <c r="P1062">
        <f>IF(INVENTARIO!AC1062="","",INVENTARIO!AC1062)</f>
        <v/>
      </c>
      <c r="Q1062">
        <f>IF(AND(K1062="",N1062="",L1062=""),"",IF(AND((K1062="ALTA"),OR(LEFT(N1062,2)="L0",LEFT(N1062,2)="L1",L1062="No Iniciado")),"CRÍTICO - Incumplimiento Normativo SEPS",IF(AND(OR(LEFT(N1062,2)="L4",LEFT(N1062,2)="L5"),AND(P1062&lt;&gt;"",P1062&lt;&gt;"N/A")),"CONFORME - Control Efectivo ISO 27001","OBSERVACIÓN - Revisar Controles")))</f>
        <v/>
      </c>
    </row>
    <row r="1063">
      <c r="A1063">
        <f>IF(INVENTARIO!A1063="","",INVENTARIO!A1063)</f>
        <v/>
      </c>
      <c r="B1063">
        <f>IF(INVENTARIO!E1063="","",INVENTARIO!E1063)</f>
        <v/>
      </c>
      <c r="C1063">
        <f>IF(INVENTARIO!F1063="","",INVENTARIO!F1063)</f>
        <v/>
      </c>
      <c r="D1063">
        <f>IF(INVENTARIO!H1063="","",INVENTARIO!H1063)</f>
        <v/>
      </c>
      <c r="E1063">
        <f>IF(INVENTARIO!I1063="","",INVENTARIO!I1063)</f>
        <v/>
      </c>
      <c r="F1063">
        <f>IF(INVENTARIO!N1063="","",INVENTARIO!N1063)</f>
        <v/>
      </c>
      <c r="G1063">
        <f>IF(INVENTARIO!P1063="","",INVENTARIO!P1063)</f>
        <v/>
      </c>
      <c r="H1063">
        <f>IF(INVENTARIO!Q1063="","",INVENTARIO!Q1063)</f>
        <v/>
      </c>
      <c r="I1063">
        <f>IF(INVENTARIO!R1063="","",INVENTARIO!R1063)</f>
        <v/>
      </c>
      <c r="J1063">
        <f>IF(G1063="PUBLICA(1)",1,IF(G1063="USO INTERNO(2)",2,IF(G1063="RESTRINGIDO(3)",3,0)))+IF(H1063="BAJA(1)",1,IF(H1063="MEDIA(2)",2,IF(H1063="ALTA(3)",3,0)))+IF(I1063="BAJA(1)",1,IF(I1063="MEDIA(2)",2,IF(I1063="ALTA(3)",3,0)))</f>
        <v/>
      </c>
      <c r="K1063">
        <f>IF(J1063="", "", IF(J1063&gt;=8,"ALTA",IF(J1063&gt;=6,"MEDIA","BAJA")))</f>
        <v/>
      </c>
      <c r="L1063">
        <f>IF(INVENTARIO!Y1063="","",INVENTARIO!Y1063)</f>
        <v/>
      </c>
      <c r="M1063">
        <f>IF(INVENTARIO!Z1063="","",INVENTARIO!Z1063)</f>
        <v/>
      </c>
      <c r="N1063">
        <f>IF(INVENTARIO!AA1063="","",INVENTARIO!AA1063)</f>
        <v/>
      </c>
      <c r="O1063">
        <f>IF(INVENTARIO!AB1063="","",INVENTARIO!AB1063)</f>
        <v/>
      </c>
      <c r="P1063">
        <f>IF(INVENTARIO!AC1063="","",INVENTARIO!AC1063)</f>
        <v/>
      </c>
      <c r="Q1063">
        <f>IF(AND(K1063="",N1063="",L1063=""),"",IF(AND((K1063="ALTA"),OR(LEFT(N1063,2)="L0",LEFT(N1063,2)="L1",L1063="No Iniciado")),"CRÍTICO - Incumplimiento Normativo SEPS",IF(AND(OR(LEFT(N1063,2)="L4",LEFT(N1063,2)="L5"),AND(P1063&lt;&gt;"",P1063&lt;&gt;"N/A")),"CONFORME - Control Efectivo ISO 27001","OBSERVACIÓN - Revisar Controles")))</f>
        <v/>
      </c>
    </row>
    <row r="1064">
      <c r="A1064">
        <f>IF(INVENTARIO!A1064="","",INVENTARIO!A1064)</f>
        <v/>
      </c>
      <c r="B1064">
        <f>IF(INVENTARIO!E1064="","",INVENTARIO!E1064)</f>
        <v/>
      </c>
      <c r="C1064">
        <f>IF(INVENTARIO!F1064="","",INVENTARIO!F1064)</f>
        <v/>
      </c>
      <c r="D1064">
        <f>IF(INVENTARIO!H1064="","",INVENTARIO!H1064)</f>
        <v/>
      </c>
      <c r="E1064">
        <f>IF(INVENTARIO!I1064="","",INVENTARIO!I1064)</f>
        <v/>
      </c>
      <c r="F1064">
        <f>IF(INVENTARIO!N1064="","",INVENTARIO!N1064)</f>
        <v/>
      </c>
      <c r="G1064">
        <f>IF(INVENTARIO!P1064="","",INVENTARIO!P1064)</f>
        <v/>
      </c>
      <c r="H1064">
        <f>IF(INVENTARIO!Q1064="","",INVENTARIO!Q1064)</f>
        <v/>
      </c>
      <c r="I1064">
        <f>IF(INVENTARIO!R1064="","",INVENTARIO!R1064)</f>
        <v/>
      </c>
      <c r="J1064">
        <f>IF(G1064="PUBLICA(1)",1,IF(G1064="USO INTERNO(2)",2,IF(G1064="RESTRINGIDO(3)",3,0)))+IF(H1064="BAJA(1)",1,IF(H1064="MEDIA(2)",2,IF(H1064="ALTA(3)",3,0)))+IF(I1064="BAJA(1)",1,IF(I1064="MEDIA(2)",2,IF(I1064="ALTA(3)",3,0)))</f>
        <v/>
      </c>
      <c r="K1064">
        <f>IF(J1064="", "", IF(J1064&gt;=8,"ALTA",IF(J1064&gt;=6,"MEDIA","BAJA")))</f>
        <v/>
      </c>
      <c r="L1064">
        <f>IF(INVENTARIO!Y1064="","",INVENTARIO!Y1064)</f>
        <v/>
      </c>
      <c r="M1064">
        <f>IF(INVENTARIO!Z1064="","",INVENTARIO!Z1064)</f>
        <v/>
      </c>
      <c r="N1064">
        <f>IF(INVENTARIO!AA1064="","",INVENTARIO!AA1064)</f>
        <v/>
      </c>
      <c r="O1064">
        <f>IF(INVENTARIO!AB1064="","",INVENTARIO!AB1064)</f>
        <v/>
      </c>
      <c r="P1064">
        <f>IF(INVENTARIO!AC1064="","",INVENTARIO!AC1064)</f>
        <v/>
      </c>
      <c r="Q1064">
        <f>IF(AND(K1064="",N1064="",L1064=""),"",IF(AND((K1064="ALTA"),OR(LEFT(N1064,2)="L0",LEFT(N1064,2)="L1",L1064="No Iniciado")),"CRÍTICO - Incumplimiento Normativo SEPS",IF(AND(OR(LEFT(N1064,2)="L4",LEFT(N1064,2)="L5"),AND(P1064&lt;&gt;"",P1064&lt;&gt;"N/A")),"CONFORME - Control Efectivo ISO 27001","OBSERVACIÓN - Revisar Controles")))</f>
        <v/>
      </c>
    </row>
    <row r="1065">
      <c r="A1065">
        <f>IF(INVENTARIO!A1065="","",INVENTARIO!A1065)</f>
        <v/>
      </c>
      <c r="B1065">
        <f>IF(INVENTARIO!E1065="","",INVENTARIO!E1065)</f>
        <v/>
      </c>
      <c r="C1065">
        <f>IF(INVENTARIO!F1065="","",INVENTARIO!F1065)</f>
        <v/>
      </c>
      <c r="D1065">
        <f>IF(INVENTARIO!H1065="","",INVENTARIO!H1065)</f>
        <v/>
      </c>
      <c r="E1065">
        <f>IF(INVENTARIO!I1065="","",INVENTARIO!I1065)</f>
        <v/>
      </c>
      <c r="F1065">
        <f>IF(INVENTARIO!N1065="","",INVENTARIO!N1065)</f>
        <v/>
      </c>
      <c r="G1065">
        <f>IF(INVENTARIO!P1065="","",INVENTARIO!P1065)</f>
        <v/>
      </c>
      <c r="H1065">
        <f>IF(INVENTARIO!Q1065="","",INVENTARIO!Q1065)</f>
        <v/>
      </c>
      <c r="I1065">
        <f>IF(INVENTARIO!R1065="","",INVENTARIO!R1065)</f>
        <v/>
      </c>
      <c r="J1065">
        <f>IF(G1065="PUBLICA(1)",1,IF(G1065="USO INTERNO(2)",2,IF(G1065="RESTRINGIDO(3)",3,0)))+IF(H1065="BAJA(1)",1,IF(H1065="MEDIA(2)",2,IF(H1065="ALTA(3)",3,0)))+IF(I1065="BAJA(1)",1,IF(I1065="MEDIA(2)",2,IF(I1065="ALTA(3)",3,0)))</f>
        <v/>
      </c>
      <c r="K1065">
        <f>IF(J1065="", "", IF(J1065&gt;=8,"ALTA",IF(J1065&gt;=6,"MEDIA","BAJA")))</f>
        <v/>
      </c>
      <c r="L1065">
        <f>IF(INVENTARIO!Y1065="","",INVENTARIO!Y1065)</f>
        <v/>
      </c>
      <c r="M1065">
        <f>IF(INVENTARIO!Z1065="","",INVENTARIO!Z1065)</f>
        <v/>
      </c>
      <c r="N1065">
        <f>IF(INVENTARIO!AA1065="","",INVENTARIO!AA1065)</f>
        <v/>
      </c>
      <c r="O1065">
        <f>IF(INVENTARIO!AB1065="","",INVENTARIO!AB1065)</f>
        <v/>
      </c>
      <c r="P1065">
        <f>IF(INVENTARIO!AC1065="","",INVENTARIO!AC1065)</f>
        <v/>
      </c>
      <c r="Q1065">
        <f>IF(AND(K1065="",N1065="",L1065=""),"",IF(AND((K1065="ALTA"),OR(LEFT(N1065,2)="L0",LEFT(N1065,2)="L1",L1065="No Iniciado")),"CRÍTICO - Incumplimiento Normativo SEPS",IF(AND(OR(LEFT(N1065,2)="L4",LEFT(N1065,2)="L5"),AND(P1065&lt;&gt;"",P1065&lt;&gt;"N/A")),"CONFORME - Control Efectivo ISO 27001","OBSERVACIÓN - Revisar Controles")))</f>
        <v/>
      </c>
    </row>
    <row r="1066">
      <c r="A1066">
        <f>IF(INVENTARIO!A1066="","",INVENTARIO!A1066)</f>
        <v/>
      </c>
      <c r="B1066">
        <f>IF(INVENTARIO!E1066="","",INVENTARIO!E1066)</f>
        <v/>
      </c>
      <c r="C1066">
        <f>IF(INVENTARIO!F1066="","",INVENTARIO!F1066)</f>
        <v/>
      </c>
      <c r="D1066">
        <f>IF(INVENTARIO!H1066="","",INVENTARIO!H1066)</f>
        <v/>
      </c>
      <c r="E1066">
        <f>IF(INVENTARIO!I1066="","",INVENTARIO!I1066)</f>
        <v/>
      </c>
      <c r="F1066">
        <f>IF(INVENTARIO!N1066="","",INVENTARIO!N1066)</f>
        <v/>
      </c>
      <c r="G1066">
        <f>IF(INVENTARIO!P1066="","",INVENTARIO!P1066)</f>
        <v/>
      </c>
      <c r="H1066">
        <f>IF(INVENTARIO!Q1066="","",INVENTARIO!Q1066)</f>
        <v/>
      </c>
      <c r="I1066">
        <f>IF(INVENTARIO!R1066="","",INVENTARIO!R1066)</f>
        <v/>
      </c>
      <c r="J1066">
        <f>IF(G1066="PUBLICA(1)",1,IF(G1066="USO INTERNO(2)",2,IF(G1066="RESTRINGIDO(3)",3,0)))+IF(H1066="BAJA(1)",1,IF(H1066="MEDIA(2)",2,IF(H1066="ALTA(3)",3,0)))+IF(I1066="BAJA(1)",1,IF(I1066="MEDIA(2)",2,IF(I1066="ALTA(3)",3,0)))</f>
        <v/>
      </c>
      <c r="K1066">
        <f>IF(J1066="", "", IF(J1066&gt;=8,"ALTA",IF(J1066&gt;=6,"MEDIA","BAJA")))</f>
        <v/>
      </c>
      <c r="L1066">
        <f>IF(INVENTARIO!Y1066="","",INVENTARIO!Y1066)</f>
        <v/>
      </c>
      <c r="M1066">
        <f>IF(INVENTARIO!Z1066="","",INVENTARIO!Z1066)</f>
        <v/>
      </c>
      <c r="N1066">
        <f>IF(INVENTARIO!AA1066="","",INVENTARIO!AA1066)</f>
        <v/>
      </c>
      <c r="O1066">
        <f>IF(INVENTARIO!AB1066="","",INVENTARIO!AB1066)</f>
        <v/>
      </c>
      <c r="P1066">
        <f>IF(INVENTARIO!AC1066="","",INVENTARIO!AC1066)</f>
        <v/>
      </c>
      <c r="Q1066">
        <f>IF(AND(K1066="",N1066="",L1066=""),"",IF(AND((K1066="ALTA"),OR(LEFT(N1066,2)="L0",LEFT(N1066,2)="L1",L1066="No Iniciado")),"CRÍTICO - Incumplimiento Normativo SEPS",IF(AND(OR(LEFT(N1066,2)="L4",LEFT(N1066,2)="L5"),AND(P1066&lt;&gt;"",P1066&lt;&gt;"N/A")),"CONFORME - Control Efectivo ISO 27001","OBSERVACIÓN - Revisar Controles")))</f>
        <v/>
      </c>
    </row>
    <row r="1067">
      <c r="A1067">
        <f>IF(INVENTARIO!A1067="","",INVENTARIO!A1067)</f>
        <v/>
      </c>
      <c r="B1067">
        <f>IF(INVENTARIO!E1067="","",INVENTARIO!E1067)</f>
        <v/>
      </c>
      <c r="C1067">
        <f>IF(INVENTARIO!F1067="","",INVENTARIO!F1067)</f>
        <v/>
      </c>
      <c r="D1067">
        <f>IF(INVENTARIO!H1067="","",INVENTARIO!H1067)</f>
        <v/>
      </c>
      <c r="E1067">
        <f>IF(INVENTARIO!I1067="","",INVENTARIO!I1067)</f>
        <v/>
      </c>
      <c r="F1067">
        <f>IF(INVENTARIO!N1067="","",INVENTARIO!N1067)</f>
        <v/>
      </c>
      <c r="G1067">
        <f>IF(INVENTARIO!P1067="","",INVENTARIO!P1067)</f>
        <v/>
      </c>
      <c r="H1067">
        <f>IF(INVENTARIO!Q1067="","",INVENTARIO!Q1067)</f>
        <v/>
      </c>
      <c r="I1067">
        <f>IF(INVENTARIO!R1067="","",INVENTARIO!R1067)</f>
        <v/>
      </c>
      <c r="J1067">
        <f>IF(G1067="PUBLICA(1)",1,IF(G1067="USO INTERNO(2)",2,IF(G1067="RESTRINGIDO(3)",3,0)))+IF(H1067="BAJA(1)",1,IF(H1067="MEDIA(2)",2,IF(H1067="ALTA(3)",3,0)))+IF(I1067="BAJA(1)",1,IF(I1067="MEDIA(2)",2,IF(I1067="ALTA(3)",3,0)))</f>
        <v/>
      </c>
      <c r="K1067">
        <f>IF(J1067="", "", IF(J1067&gt;=8,"ALTA",IF(J1067&gt;=6,"MEDIA","BAJA")))</f>
        <v/>
      </c>
      <c r="L1067">
        <f>IF(INVENTARIO!Y1067="","",INVENTARIO!Y1067)</f>
        <v/>
      </c>
      <c r="M1067">
        <f>IF(INVENTARIO!Z1067="","",INVENTARIO!Z1067)</f>
        <v/>
      </c>
      <c r="N1067">
        <f>IF(INVENTARIO!AA1067="","",INVENTARIO!AA1067)</f>
        <v/>
      </c>
      <c r="O1067">
        <f>IF(INVENTARIO!AB1067="","",INVENTARIO!AB1067)</f>
        <v/>
      </c>
      <c r="P1067">
        <f>IF(INVENTARIO!AC1067="","",INVENTARIO!AC1067)</f>
        <v/>
      </c>
      <c r="Q1067">
        <f>IF(AND(K1067="",N1067="",L1067=""),"",IF(AND((K1067="ALTA"),OR(LEFT(N1067,2)="L0",LEFT(N1067,2)="L1",L1067="No Iniciado")),"CRÍTICO - Incumplimiento Normativo SEPS",IF(AND(OR(LEFT(N1067,2)="L4",LEFT(N1067,2)="L5"),AND(P1067&lt;&gt;"",P1067&lt;&gt;"N/A")),"CONFORME - Control Efectivo ISO 27001","OBSERVACIÓN - Revisar Controles")))</f>
        <v/>
      </c>
    </row>
    <row r="1068">
      <c r="A1068">
        <f>IF(INVENTARIO!A1068="","",INVENTARIO!A1068)</f>
        <v/>
      </c>
      <c r="B1068">
        <f>IF(INVENTARIO!E1068="","",INVENTARIO!E1068)</f>
        <v/>
      </c>
      <c r="C1068">
        <f>IF(INVENTARIO!F1068="","",INVENTARIO!F1068)</f>
        <v/>
      </c>
      <c r="D1068">
        <f>IF(INVENTARIO!H1068="","",INVENTARIO!H1068)</f>
        <v/>
      </c>
      <c r="E1068">
        <f>IF(INVENTARIO!I1068="","",INVENTARIO!I1068)</f>
        <v/>
      </c>
      <c r="F1068">
        <f>IF(INVENTARIO!N1068="","",INVENTARIO!N1068)</f>
        <v/>
      </c>
      <c r="G1068">
        <f>IF(INVENTARIO!P1068="","",INVENTARIO!P1068)</f>
        <v/>
      </c>
      <c r="H1068">
        <f>IF(INVENTARIO!Q1068="","",INVENTARIO!Q1068)</f>
        <v/>
      </c>
      <c r="I1068">
        <f>IF(INVENTARIO!R1068="","",INVENTARIO!R1068)</f>
        <v/>
      </c>
      <c r="J1068">
        <f>IF(G1068="PUBLICA(1)",1,IF(G1068="USO INTERNO(2)",2,IF(G1068="RESTRINGIDO(3)",3,0)))+IF(H1068="BAJA(1)",1,IF(H1068="MEDIA(2)",2,IF(H1068="ALTA(3)",3,0)))+IF(I1068="BAJA(1)",1,IF(I1068="MEDIA(2)",2,IF(I1068="ALTA(3)",3,0)))</f>
        <v/>
      </c>
      <c r="K1068">
        <f>IF(J1068="", "", IF(J1068&gt;=8,"ALTA",IF(J1068&gt;=6,"MEDIA","BAJA")))</f>
        <v/>
      </c>
      <c r="L1068">
        <f>IF(INVENTARIO!Y1068="","",INVENTARIO!Y1068)</f>
        <v/>
      </c>
      <c r="M1068">
        <f>IF(INVENTARIO!Z1068="","",INVENTARIO!Z1068)</f>
        <v/>
      </c>
      <c r="N1068">
        <f>IF(INVENTARIO!AA1068="","",INVENTARIO!AA1068)</f>
        <v/>
      </c>
      <c r="O1068">
        <f>IF(INVENTARIO!AB1068="","",INVENTARIO!AB1068)</f>
        <v/>
      </c>
      <c r="P1068">
        <f>IF(INVENTARIO!AC1068="","",INVENTARIO!AC1068)</f>
        <v/>
      </c>
      <c r="Q1068">
        <f>IF(AND(K1068="",N1068="",L1068=""),"",IF(AND((K1068="ALTA"),OR(LEFT(N1068,2)="L0",LEFT(N1068,2)="L1",L1068="No Iniciado")),"CRÍTICO - Incumplimiento Normativo SEPS",IF(AND(OR(LEFT(N1068,2)="L4",LEFT(N1068,2)="L5"),AND(P1068&lt;&gt;"",P1068&lt;&gt;"N/A")),"CONFORME - Control Efectivo ISO 27001","OBSERVACIÓN - Revisar Controles")))</f>
        <v/>
      </c>
    </row>
    <row r="1069">
      <c r="A1069">
        <f>IF(INVENTARIO!A1069="","",INVENTARIO!A1069)</f>
        <v/>
      </c>
      <c r="B1069">
        <f>IF(INVENTARIO!E1069="","",INVENTARIO!E1069)</f>
        <v/>
      </c>
      <c r="C1069">
        <f>IF(INVENTARIO!F1069="","",INVENTARIO!F1069)</f>
        <v/>
      </c>
      <c r="D1069">
        <f>IF(INVENTARIO!H1069="","",INVENTARIO!H1069)</f>
        <v/>
      </c>
      <c r="E1069">
        <f>IF(INVENTARIO!I1069="","",INVENTARIO!I1069)</f>
        <v/>
      </c>
      <c r="F1069">
        <f>IF(INVENTARIO!N1069="","",INVENTARIO!N1069)</f>
        <v/>
      </c>
      <c r="G1069">
        <f>IF(INVENTARIO!P1069="","",INVENTARIO!P1069)</f>
        <v/>
      </c>
      <c r="H1069">
        <f>IF(INVENTARIO!Q1069="","",INVENTARIO!Q1069)</f>
        <v/>
      </c>
      <c r="I1069">
        <f>IF(INVENTARIO!R1069="","",INVENTARIO!R1069)</f>
        <v/>
      </c>
      <c r="J1069">
        <f>IF(G1069="PUBLICA(1)",1,IF(G1069="USO INTERNO(2)",2,IF(G1069="RESTRINGIDO(3)",3,0)))+IF(H1069="BAJA(1)",1,IF(H1069="MEDIA(2)",2,IF(H1069="ALTA(3)",3,0)))+IF(I1069="BAJA(1)",1,IF(I1069="MEDIA(2)",2,IF(I1069="ALTA(3)",3,0)))</f>
        <v/>
      </c>
      <c r="K1069">
        <f>IF(J1069="", "", IF(J1069&gt;=8,"ALTA",IF(J1069&gt;=6,"MEDIA","BAJA")))</f>
        <v/>
      </c>
      <c r="L1069">
        <f>IF(INVENTARIO!Y1069="","",INVENTARIO!Y1069)</f>
        <v/>
      </c>
      <c r="M1069">
        <f>IF(INVENTARIO!Z1069="","",INVENTARIO!Z1069)</f>
        <v/>
      </c>
      <c r="N1069">
        <f>IF(INVENTARIO!AA1069="","",INVENTARIO!AA1069)</f>
        <v/>
      </c>
      <c r="O1069">
        <f>IF(INVENTARIO!AB1069="","",INVENTARIO!AB1069)</f>
        <v/>
      </c>
      <c r="P1069">
        <f>IF(INVENTARIO!AC1069="","",INVENTARIO!AC1069)</f>
        <v/>
      </c>
      <c r="Q1069">
        <f>IF(AND(K1069="",N1069="",L1069=""),"",IF(AND((K1069="ALTA"),OR(LEFT(N1069,2)="L0",LEFT(N1069,2)="L1",L1069="No Iniciado")),"CRÍTICO - Incumplimiento Normativo SEPS",IF(AND(OR(LEFT(N1069,2)="L4",LEFT(N1069,2)="L5"),AND(P1069&lt;&gt;"",P1069&lt;&gt;"N/A")),"CONFORME - Control Efectivo ISO 27001","OBSERVACIÓN - Revisar Controles")))</f>
        <v/>
      </c>
    </row>
    <row r="1070">
      <c r="A1070">
        <f>IF(INVENTARIO!A1070="","",INVENTARIO!A1070)</f>
        <v/>
      </c>
      <c r="B1070">
        <f>IF(INVENTARIO!E1070="","",INVENTARIO!E1070)</f>
        <v/>
      </c>
      <c r="C1070">
        <f>IF(INVENTARIO!F1070="","",INVENTARIO!F1070)</f>
        <v/>
      </c>
      <c r="D1070">
        <f>IF(INVENTARIO!H1070="","",INVENTARIO!H1070)</f>
        <v/>
      </c>
      <c r="E1070">
        <f>IF(INVENTARIO!I1070="","",INVENTARIO!I1070)</f>
        <v/>
      </c>
      <c r="F1070">
        <f>IF(INVENTARIO!N1070="","",INVENTARIO!N1070)</f>
        <v/>
      </c>
      <c r="G1070">
        <f>IF(INVENTARIO!P1070="","",INVENTARIO!P1070)</f>
        <v/>
      </c>
      <c r="H1070">
        <f>IF(INVENTARIO!Q1070="","",INVENTARIO!Q1070)</f>
        <v/>
      </c>
      <c r="I1070">
        <f>IF(INVENTARIO!R1070="","",INVENTARIO!R1070)</f>
        <v/>
      </c>
      <c r="J1070">
        <f>IF(G1070="PUBLICA(1)",1,IF(G1070="USO INTERNO(2)",2,IF(G1070="RESTRINGIDO(3)",3,0)))+IF(H1070="BAJA(1)",1,IF(H1070="MEDIA(2)",2,IF(H1070="ALTA(3)",3,0)))+IF(I1070="BAJA(1)",1,IF(I1070="MEDIA(2)",2,IF(I1070="ALTA(3)",3,0)))</f>
        <v/>
      </c>
      <c r="K1070">
        <f>IF(J1070="", "", IF(J1070&gt;=8,"ALTA",IF(J1070&gt;=6,"MEDIA","BAJA")))</f>
        <v/>
      </c>
      <c r="L1070">
        <f>IF(INVENTARIO!Y1070="","",INVENTARIO!Y1070)</f>
        <v/>
      </c>
      <c r="M1070">
        <f>IF(INVENTARIO!Z1070="","",INVENTARIO!Z1070)</f>
        <v/>
      </c>
      <c r="N1070">
        <f>IF(INVENTARIO!AA1070="","",INVENTARIO!AA1070)</f>
        <v/>
      </c>
      <c r="O1070">
        <f>IF(INVENTARIO!AB1070="","",INVENTARIO!AB1070)</f>
        <v/>
      </c>
      <c r="P1070">
        <f>IF(INVENTARIO!AC1070="","",INVENTARIO!AC1070)</f>
        <v/>
      </c>
      <c r="Q1070">
        <f>IF(AND(K1070="",N1070="",L1070=""),"",IF(AND((K1070="ALTA"),OR(LEFT(N1070,2)="L0",LEFT(N1070,2)="L1",L1070="No Iniciado")),"CRÍTICO - Incumplimiento Normativo SEPS",IF(AND(OR(LEFT(N1070,2)="L4",LEFT(N1070,2)="L5"),AND(P1070&lt;&gt;"",P1070&lt;&gt;"N/A")),"CONFORME - Control Efectivo ISO 27001","OBSERVACIÓN - Revisar Controles")))</f>
        <v/>
      </c>
    </row>
    <row r="1071">
      <c r="A1071">
        <f>IF(INVENTARIO!A1071="","",INVENTARIO!A1071)</f>
        <v/>
      </c>
      <c r="B1071">
        <f>IF(INVENTARIO!E1071="","",INVENTARIO!E1071)</f>
        <v/>
      </c>
      <c r="C1071">
        <f>IF(INVENTARIO!F1071="","",INVENTARIO!F1071)</f>
        <v/>
      </c>
      <c r="D1071">
        <f>IF(INVENTARIO!H1071="","",INVENTARIO!H1071)</f>
        <v/>
      </c>
      <c r="E1071">
        <f>IF(INVENTARIO!I1071="","",INVENTARIO!I1071)</f>
        <v/>
      </c>
      <c r="F1071">
        <f>IF(INVENTARIO!N1071="","",INVENTARIO!N1071)</f>
        <v/>
      </c>
      <c r="G1071">
        <f>IF(INVENTARIO!P1071="","",INVENTARIO!P1071)</f>
        <v/>
      </c>
      <c r="H1071">
        <f>IF(INVENTARIO!Q1071="","",INVENTARIO!Q1071)</f>
        <v/>
      </c>
      <c r="I1071">
        <f>IF(INVENTARIO!R1071="","",INVENTARIO!R1071)</f>
        <v/>
      </c>
      <c r="J1071">
        <f>IF(G1071="PUBLICA(1)",1,IF(G1071="USO INTERNO(2)",2,IF(G1071="RESTRINGIDO(3)",3,0)))+IF(H1071="BAJA(1)",1,IF(H1071="MEDIA(2)",2,IF(H1071="ALTA(3)",3,0)))+IF(I1071="BAJA(1)",1,IF(I1071="MEDIA(2)",2,IF(I1071="ALTA(3)",3,0)))</f>
        <v/>
      </c>
      <c r="K1071">
        <f>IF(J1071="", "", IF(J1071&gt;=8,"ALTA",IF(J1071&gt;=6,"MEDIA","BAJA")))</f>
        <v/>
      </c>
      <c r="L1071">
        <f>IF(INVENTARIO!Y1071="","",INVENTARIO!Y1071)</f>
        <v/>
      </c>
      <c r="M1071">
        <f>IF(INVENTARIO!Z1071="","",INVENTARIO!Z1071)</f>
        <v/>
      </c>
      <c r="N1071">
        <f>IF(INVENTARIO!AA1071="","",INVENTARIO!AA1071)</f>
        <v/>
      </c>
      <c r="O1071">
        <f>IF(INVENTARIO!AB1071="","",INVENTARIO!AB1071)</f>
        <v/>
      </c>
      <c r="P1071">
        <f>IF(INVENTARIO!AC1071="","",INVENTARIO!AC1071)</f>
        <v/>
      </c>
      <c r="Q1071">
        <f>IF(AND(K1071="",N1071="",L1071=""),"",IF(AND((K1071="ALTA"),OR(LEFT(N1071,2)="L0",LEFT(N1071,2)="L1",L1071="No Iniciado")),"CRÍTICO - Incumplimiento Normativo SEPS",IF(AND(OR(LEFT(N1071,2)="L4",LEFT(N1071,2)="L5"),AND(P1071&lt;&gt;"",P1071&lt;&gt;"N/A")),"CONFORME - Control Efectivo ISO 27001","OBSERVACIÓN - Revisar Controles")))</f>
        <v/>
      </c>
    </row>
    <row r="1072">
      <c r="A1072">
        <f>IF(INVENTARIO!A1072="","",INVENTARIO!A1072)</f>
        <v/>
      </c>
      <c r="B1072">
        <f>IF(INVENTARIO!E1072="","",INVENTARIO!E1072)</f>
        <v/>
      </c>
      <c r="C1072">
        <f>IF(INVENTARIO!F1072="","",INVENTARIO!F1072)</f>
        <v/>
      </c>
      <c r="D1072">
        <f>IF(INVENTARIO!H1072="","",INVENTARIO!H1072)</f>
        <v/>
      </c>
      <c r="E1072">
        <f>IF(INVENTARIO!I1072="","",INVENTARIO!I1072)</f>
        <v/>
      </c>
      <c r="F1072">
        <f>IF(INVENTARIO!N1072="","",INVENTARIO!N1072)</f>
        <v/>
      </c>
      <c r="G1072">
        <f>IF(INVENTARIO!P1072="","",INVENTARIO!P1072)</f>
        <v/>
      </c>
      <c r="H1072">
        <f>IF(INVENTARIO!Q1072="","",INVENTARIO!Q1072)</f>
        <v/>
      </c>
      <c r="I1072">
        <f>IF(INVENTARIO!R1072="","",INVENTARIO!R1072)</f>
        <v/>
      </c>
      <c r="J1072">
        <f>IF(G1072="PUBLICA(1)",1,IF(G1072="USO INTERNO(2)",2,IF(G1072="RESTRINGIDO(3)",3,0)))+IF(H1072="BAJA(1)",1,IF(H1072="MEDIA(2)",2,IF(H1072="ALTA(3)",3,0)))+IF(I1072="BAJA(1)",1,IF(I1072="MEDIA(2)",2,IF(I1072="ALTA(3)",3,0)))</f>
        <v/>
      </c>
      <c r="K1072">
        <f>IF(J1072="", "", IF(J1072&gt;=8,"ALTA",IF(J1072&gt;=6,"MEDIA","BAJA")))</f>
        <v/>
      </c>
      <c r="L1072">
        <f>IF(INVENTARIO!Y1072="","",INVENTARIO!Y1072)</f>
        <v/>
      </c>
      <c r="M1072">
        <f>IF(INVENTARIO!Z1072="","",INVENTARIO!Z1072)</f>
        <v/>
      </c>
      <c r="N1072">
        <f>IF(INVENTARIO!AA1072="","",INVENTARIO!AA1072)</f>
        <v/>
      </c>
      <c r="O1072">
        <f>IF(INVENTARIO!AB1072="","",INVENTARIO!AB1072)</f>
        <v/>
      </c>
      <c r="P1072">
        <f>IF(INVENTARIO!AC1072="","",INVENTARIO!AC1072)</f>
        <v/>
      </c>
      <c r="Q1072">
        <f>IF(AND(K1072="",N1072="",L1072=""),"",IF(AND((K1072="ALTA"),OR(LEFT(N1072,2)="L0",LEFT(N1072,2)="L1",L1072="No Iniciado")),"CRÍTICO - Incumplimiento Normativo SEPS",IF(AND(OR(LEFT(N1072,2)="L4",LEFT(N1072,2)="L5"),AND(P1072&lt;&gt;"",P1072&lt;&gt;"N/A")),"CONFORME - Control Efectivo ISO 27001","OBSERVACIÓN - Revisar Controles")))</f>
        <v/>
      </c>
    </row>
    <row r="1073">
      <c r="A1073">
        <f>IF(INVENTARIO!A1073="","",INVENTARIO!A1073)</f>
        <v/>
      </c>
      <c r="B1073">
        <f>IF(INVENTARIO!E1073="","",INVENTARIO!E1073)</f>
        <v/>
      </c>
      <c r="C1073">
        <f>IF(INVENTARIO!F1073="","",INVENTARIO!F1073)</f>
        <v/>
      </c>
      <c r="D1073">
        <f>IF(INVENTARIO!H1073="","",INVENTARIO!H1073)</f>
        <v/>
      </c>
      <c r="E1073">
        <f>IF(INVENTARIO!I1073="","",INVENTARIO!I1073)</f>
        <v/>
      </c>
      <c r="F1073">
        <f>IF(INVENTARIO!N1073="","",INVENTARIO!N1073)</f>
        <v/>
      </c>
      <c r="G1073">
        <f>IF(INVENTARIO!P1073="","",INVENTARIO!P1073)</f>
        <v/>
      </c>
      <c r="H1073">
        <f>IF(INVENTARIO!Q1073="","",INVENTARIO!Q1073)</f>
        <v/>
      </c>
      <c r="I1073">
        <f>IF(INVENTARIO!R1073="","",INVENTARIO!R1073)</f>
        <v/>
      </c>
      <c r="J1073">
        <f>IF(G1073="PUBLICA(1)",1,IF(G1073="USO INTERNO(2)",2,IF(G1073="RESTRINGIDO(3)",3,0)))+IF(H1073="BAJA(1)",1,IF(H1073="MEDIA(2)",2,IF(H1073="ALTA(3)",3,0)))+IF(I1073="BAJA(1)",1,IF(I1073="MEDIA(2)",2,IF(I1073="ALTA(3)",3,0)))</f>
        <v/>
      </c>
      <c r="K1073">
        <f>IF(J1073="", "", IF(J1073&gt;=8,"ALTA",IF(J1073&gt;=6,"MEDIA","BAJA")))</f>
        <v/>
      </c>
      <c r="L1073">
        <f>IF(INVENTARIO!Y1073="","",INVENTARIO!Y1073)</f>
        <v/>
      </c>
      <c r="M1073">
        <f>IF(INVENTARIO!Z1073="","",INVENTARIO!Z1073)</f>
        <v/>
      </c>
      <c r="N1073">
        <f>IF(INVENTARIO!AA1073="","",INVENTARIO!AA1073)</f>
        <v/>
      </c>
      <c r="O1073">
        <f>IF(INVENTARIO!AB1073="","",INVENTARIO!AB1073)</f>
        <v/>
      </c>
      <c r="P1073">
        <f>IF(INVENTARIO!AC1073="","",INVENTARIO!AC1073)</f>
        <v/>
      </c>
      <c r="Q1073">
        <f>IF(AND(K1073="",N1073="",L1073=""),"",IF(AND((K1073="ALTA"),OR(LEFT(N1073,2)="L0",LEFT(N1073,2)="L1",L1073="No Iniciado")),"CRÍTICO - Incumplimiento Normativo SEPS",IF(AND(OR(LEFT(N1073,2)="L4",LEFT(N1073,2)="L5"),AND(P1073&lt;&gt;"",P1073&lt;&gt;"N/A")),"CONFORME - Control Efectivo ISO 27001","OBSERVACIÓN - Revisar Controles")))</f>
        <v/>
      </c>
    </row>
    <row r="1074">
      <c r="A1074">
        <f>IF(INVENTARIO!A1074="","",INVENTARIO!A1074)</f>
        <v/>
      </c>
      <c r="B1074">
        <f>IF(INVENTARIO!E1074="","",INVENTARIO!E1074)</f>
        <v/>
      </c>
      <c r="C1074">
        <f>IF(INVENTARIO!F1074="","",INVENTARIO!F1074)</f>
        <v/>
      </c>
      <c r="D1074">
        <f>IF(INVENTARIO!H1074="","",INVENTARIO!H1074)</f>
        <v/>
      </c>
      <c r="E1074">
        <f>IF(INVENTARIO!I1074="","",INVENTARIO!I1074)</f>
        <v/>
      </c>
      <c r="F1074">
        <f>IF(INVENTARIO!N1074="","",INVENTARIO!N1074)</f>
        <v/>
      </c>
      <c r="G1074">
        <f>IF(INVENTARIO!P1074="","",INVENTARIO!P1074)</f>
        <v/>
      </c>
      <c r="H1074">
        <f>IF(INVENTARIO!Q1074="","",INVENTARIO!Q1074)</f>
        <v/>
      </c>
      <c r="I1074">
        <f>IF(INVENTARIO!R1074="","",INVENTARIO!R1074)</f>
        <v/>
      </c>
      <c r="J1074">
        <f>IF(G1074="PUBLICA(1)",1,IF(G1074="USO INTERNO(2)",2,IF(G1074="RESTRINGIDO(3)",3,0)))+IF(H1074="BAJA(1)",1,IF(H1074="MEDIA(2)",2,IF(H1074="ALTA(3)",3,0)))+IF(I1074="BAJA(1)",1,IF(I1074="MEDIA(2)",2,IF(I1074="ALTA(3)",3,0)))</f>
        <v/>
      </c>
      <c r="K1074">
        <f>IF(J1074="", "", IF(J1074&gt;=8,"ALTA",IF(J1074&gt;=6,"MEDIA","BAJA")))</f>
        <v/>
      </c>
      <c r="L1074">
        <f>IF(INVENTARIO!Y1074="","",INVENTARIO!Y1074)</f>
        <v/>
      </c>
      <c r="M1074">
        <f>IF(INVENTARIO!Z1074="","",INVENTARIO!Z1074)</f>
        <v/>
      </c>
      <c r="N1074">
        <f>IF(INVENTARIO!AA1074="","",INVENTARIO!AA1074)</f>
        <v/>
      </c>
      <c r="O1074">
        <f>IF(INVENTARIO!AB1074="","",INVENTARIO!AB1074)</f>
        <v/>
      </c>
      <c r="P1074">
        <f>IF(INVENTARIO!AC1074="","",INVENTARIO!AC1074)</f>
        <v/>
      </c>
      <c r="Q1074">
        <f>IF(AND(K1074="",N1074="",L1074=""),"",IF(AND((K1074="ALTA"),OR(LEFT(N1074,2)="L0",LEFT(N1074,2)="L1",L1074="No Iniciado")),"CRÍTICO - Incumplimiento Normativo SEPS",IF(AND(OR(LEFT(N1074,2)="L4",LEFT(N1074,2)="L5"),AND(P1074&lt;&gt;"",P1074&lt;&gt;"N/A")),"CONFORME - Control Efectivo ISO 27001","OBSERVACIÓN - Revisar Controles")))</f>
        <v/>
      </c>
    </row>
    <row r="1075">
      <c r="A1075">
        <f>IF(INVENTARIO!A1075="","",INVENTARIO!A1075)</f>
        <v/>
      </c>
      <c r="B1075">
        <f>IF(INVENTARIO!E1075="","",INVENTARIO!E1075)</f>
        <v/>
      </c>
      <c r="C1075">
        <f>IF(INVENTARIO!F1075="","",INVENTARIO!F1075)</f>
        <v/>
      </c>
      <c r="D1075">
        <f>IF(INVENTARIO!H1075="","",INVENTARIO!H1075)</f>
        <v/>
      </c>
      <c r="E1075">
        <f>IF(INVENTARIO!I1075="","",INVENTARIO!I1075)</f>
        <v/>
      </c>
      <c r="F1075">
        <f>IF(INVENTARIO!N1075="","",INVENTARIO!N1075)</f>
        <v/>
      </c>
      <c r="G1075">
        <f>IF(INVENTARIO!P1075="","",INVENTARIO!P1075)</f>
        <v/>
      </c>
      <c r="H1075">
        <f>IF(INVENTARIO!Q1075="","",INVENTARIO!Q1075)</f>
        <v/>
      </c>
      <c r="I1075">
        <f>IF(INVENTARIO!R1075="","",INVENTARIO!R1075)</f>
        <v/>
      </c>
      <c r="J1075">
        <f>IF(G1075="PUBLICA(1)",1,IF(G1075="USO INTERNO(2)",2,IF(G1075="RESTRINGIDO(3)",3,0)))+IF(H1075="BAJA(1)",1,IF(H1075="MEDIA(2)",2,IF(H1075="ALTA(3)",3,0)))+IF(I1075="BAJA(1)",1,IF(I1075="MEDIA(2)",2,IF(I1075="ALTA(3)",3,0)))</f>
        <v/>
      </c>
      <c r="K1075">
        <f>IF(J1075="", "", IF(J1075&gt;=8,"ALTA",IF(J1075&gt;=6,"MEDIA","BAJA")))</f>
        <v/>
      </c>
      <c r="L1075">
        <f>IF(INVENTARIO!Y1075="","",INVENTARIO!Y1075)</f>
        <v/>
      </c>
      <c r="M1075">
        <f>IF(INVENTARIO!Z1075="","",INVENTARIO!Z1075)</f>
        <v/>
      </c>
      <c r="N1075">
        <f>IF(INVENTARIO!AA1075="","",INVENTARIO!AA1075)</f>
        <v/>
      </c>
      <c r="O1075">
        <f>IF(INVENTARIO!AB1075="","",INVENTARIO!AB1075)</f>
        <v/>
      </c>
      <c r="P1075">
        <f>IF(INVENTARIO!AC1075="","",INVENTARIO!AC1075)</f>
        <v/>
      </c>
      <c r="Q1075">
        <f>IF(AND(K1075="",N1075="",L1075=""),"",IF(AND((K1075="ALTA"),OR(LEFT(N1075,2)="L0",LEFT(N1075,2)="L1",L1075="No Iniciado")),"CRÍTICO - Incumplimiento Normativo SEPS",IF(AND(OR(LEFT(N1075,2)="L4",LEFT(N1075,2)="L5"),AND(P1075&lt;&gt;"",P1075&lt;&gt;"N/A")),"CONFORME - Control Efectivo ISO 27001","OBSERVACIÓN - Revisar Controles")))</f>
        <v/>
      </c>
    </row>
    <row r="1076">
      <c r="A1076">
        <f>IF(INVENTARIO!A1076="","",INVENTARIO!A1076)</f>
        <v/>
      </c>
      <c r="B1076">
        <f>IF(INVENTARIO!E1076="","",INVENTARIO!E1076)</f>
        <v/>
      </c>
      <c r="C1076">
        <f>IF(INVENTARIO!F1076="","",INVENTARIO!F1076)</f>
        <v/>
      </c>
      <c r="D1076">
        <f>IF(INVENTARIO!H1076="","",INVENTARIO!H1076)</f>
        <v/>
      </c>
      <c r="E1076">
        <f>IF(INVENTARIO!I1076="","",INVENTARIO!I1076)</f>
        <v/>
      </c>
      <c r="F1076">
        <f>IF(INVENTARIO!N1076="","",INVENTARIO!N1076)</f>
        <v/>
      </c>
      <c r="G1076">
        <f>IF(INVENTARIO!P1076="","",INVENTARIO!P1076)</f>
        <v/>
      </c>
      <c r="H1076">
        <f>IF(INVENTARIO!Q1076="","",INVENTARIO!Q1076)</f>
        <v/>
      </c>
      <c r="I1076">
        <f>IF(INVENTARIO!R1076="","",INVENTARIO!R1076)</f>
        <v/>
      </c>
      <c r="J1076">
        <f>IF(G1076="PUBLICA(1)",1,IF(G1076="USO INTERNO(2)",2,IF(G1076="RESTRINGIDO(3)",3,0)))+IF(H1076="BAJA(1)",1,IF(H1076="MEDIA(2)",2,IF(H1076="ALTA(3)",3,0)))+IF(I1076="BAJA(1)",1,IF(I1076="MEDIA(2)",2,IF(I1076="ALTA(3)",3,0)))</f>
        <v/>
      </c>
      <c r="K1076">
        <f>IF(J1076="", "", IF(J1076&gt;=8,"ALTA",IF(J1076&gt;=6,"MEDIA","BAJA")))</f>
        <v/>
      </c>
      <c r="L1076">
        <f>IF(INVENTARIO!Y1076="","",INVENTARIO!Y1076)</f>
        <v/>
      </c>
      <c r="M1076">
        <f>IF(INVENTARIO!Z1076="","",INVENTARIO!Z1076)</f>
        <v/>
      </c>
      <c r="N1076">
        <f>IF(INVENTARIO!AA1076="","",INVENTARIO!AA1076)</f>
        <v/>
      </c>
      <c r="O1076">
        <f>IF(INVENTARIO!AB1076="","",INVENTARIO!AB1076)</f>
        <v/>
      </c>
      <c r="P1076">
        <f>IF(INVENTARIO!AC1076="","",INVENTARIO!AC1076)</f>
        <v/>
      </c>
      <c r="Q1076">
        <f>IF(AND(K1076="",N1076="",L1076=""),"",IF(AND((K1076="ALTA"),OR(LEFT(N1076,2)="L0",LEFT(N1076,2)="L1",L1076="No Iniciado")),"CRÍTICO - Incumplimiento Normativo SEPS",IF(AND(OR(LEFT(N1076,2)="L4",LEFT(N1076,2)="L5"),AND(P1076&lt;&gt;"",P1076&lt;&gt;"N/A")),"CONFORME - Control Efectivo ISO 27001","OBSERVACIÓN - Revisar Controles")))</f>
        <v/>
      </c>
    </row>
    <row r="1077">
      <c r="A1077">
        <f>IF(INVENTARIO!A1077="","",INVENTARIO!A1077)</f>
        <v/>
      </c>
      <c r="B1077">
        <f>IF(INVENTARIO!E1077="","",INVENTARIO!E1077)</f>
        <v/>
      </c>
      <c r="C1077">
        <f>IF(INVENTARIO!F1077="","",INVENTARIO!F1077)</f>
        <v/>
      </c>
      <c r="D1077">
        <f>IF(INVENTARIO!H1077="","",INVENTARIO!H1077)</f>
        <v/>
      </c>
      <c r="E1077">
        <f>IF(INVENTARIO!I1077="","",INVENTARIO!I1077)</f>
        <v/>
      </c>
      <c r="F1077">
        <f>IF(INVENTARIO!N1077="","",INVENTARIO!N1077)</f>
        <v/>
      </c>
      <c r="G1077">
        <f>IF(INVENTARIO!P1077="","",INVENTARIO!P1077)</f>
        <v/>
      </c>
      <c r="H1077">
        <f>IF(INVENTARIO!Q1077="","",INVENTARIO!Q1077)</f>
        <v/>
      </c>
      <c r="I1077">
        <f>IF(INVENTARIO!R1077="","",INVENTARIO!R1077)</f>
        <v/>
      </c>
      <c r="J1077">
        <f>IF(G1077="PUBLICA(1)",1,IF(G1077="USO INTERNO(2)",2,IF(G1077="RESTRINGIDO(3)",3,0)))+IF(H1077="BAJA(1)",1,IF(H1077="MEDIA(2)",2,IF(H1077="ALTA(3)",3,0)))+IF(I1077="BAJA(1)",1,IF(I1077="MEDIA(2)",2,IF(I1077="ALTA(3)",3,0)))</f>
        <v/>
      </c>
      <c r="K1077">
        <f>IF(J1077="", "", IF(J1077&gt;=8,"ALTA",IF(J1077&gt;=6,"MEDIA","BAJA")))</f>
        <v/>
      </c>
      <c r="L1077">
        <f>IF(INVENTARIO!Y1077="","",INVENTARIO!Y1077)</f>
        <v/>
      </c>
      <c r="M1077">
        <f>IF(INVENTARIO!Z1077="","",INVENTARIO!Z1077)</f>
        <v/>
      </c>
      <c r="N1077">
        <f>IF(INVENTARIO!AA1077="","",INVENTARIO!AA1077)</f>
        <v/>
      </c>
      <c r="O1077">
        <f>IF(INVENTARIO!AB1077="","",INVENTARIO!AB1077)</f>
        <v/>
      </c>
      <c r="P1077">
        <f>IF(INVENTARIO!AC1077="","",INVENTARIO!AC1077)</f>
        <v/>
      </c>
      <c r="Q1077">
        <f>IF(AND(K1077="",N1077="",L1077=""),"",IF(AND((K1077="ALTA"),OR(LEFT(N1077,2)="L0",LEFT(N1077,2)="L1",L1077="No Iniciado")),"CRÍTICO - Incumplimiento Normativo SEPS",IF(AND(OR(LEFT(N1077,2)="L4",LEFT(N1077,2)="L5"),AND(P1077&lt;&gt;"",P1077&lt;&gt;"N/A")),"CONFORME - Control Efectivo ISO 27001","OBSERVACIÓN - Revisar Controles")))</f>
        <v/>
      </c>
    </row>
    <row r="1078">
      <c r="A1078">
        <f>IF(INVENTARIO!A1078="","",INVENTARIO!A1078)</f>
        <v/>
      </c>
      <c r="B1078">
        <f>IF(INVENTARIO!E1078="","",INVENTARIO!E1078)</f>
        <v/>
      </c>
      <c r="C1078">
        <f>IF(INVENTARIO!F1078="","",INVENTARIO!F1078)</f>
        <v/>
      </c>
      <c r="D1078">
        <f>IF(INVENTARIO!H1078="","",INVENTARIO!H1078)</f>
        <v/>
      </c>
      <c r="E1078">
        <f>IF(INVENTARIO!I1078="","",INVENTARIO!I1078)</f>
        <v/>
      </c>
      <c r="F1078">
        <f>IF(INVENTARIO!N1078="","",INVENTARIO!N1078)</f>
        <v/>
      </c>
      <c r="G1078">
        <f>IF(INVENTARIO!P1078="","",INVENTARIO!P1078)</f>
        <v/>
      </c>
      <c r="H1078">
        <f>IF(INVENTARIO!Q1078="","",INVENTARIO!Q1078)</f>
        <v/>
      </c>
      <c r="I1078">
        <f>IF(INVENTARIO!R1078="","",INVENTARIO!R1078)</f>
        <v/>
      </c>
      <c r="J1078">
        <f>IF(G1078="PUBLICA(1)",1,IF(G1078="USO INTERNO(2)",2,IF(G1078="RESTRINGIDO(3)",3,0)))+IF(H1078="BAJA(1)",1,IF(H1078="MEDIA(2)",2,IF(H1078="ALTA(3)",3,0)))+IF(I1078="BAJA(1)",1,IF(I1078="MEDIA(2)",2,IF(I1078="ALTA(3)",3,0)))</f>
        <v/>
      </c>
      <c r="K1078">
        <f>IF(J1078="", "", IF(J1078&gt;=8,"ALTA",IF(J1078&gt;=6,"MEDIA","BAJA")))</f>
        <v/>
      </c>
      <c r="L1078">
        <f>IF(INVENTARIO!Y1078="","",INVENTARIO!Y1078)</f>
        <v/>
      </c>
      <c r="M1078">
        <f>IF(INVENTARIO!Z1078="","",INVENTARIO!Z1078)</f>
        <v/>
      </c>
      <c r="N1078">
        <f>IF(INVENTARIO!AA1078="","",INVENTARIO!AA1078)</f>
        <v/>
      </c>
      <c r="O1078">
        <f>IF(INVENTARIO!AB1078="","",INVENTARIO!AB1078)</f>
        <v/>
      </c>
      <c r="P1078">
        <f>IF(INVENTARIO!AC1078="","",INVENTARIO!AC1078)</f>
        <v/>
      </c>
      <c r="Q1078">
        <f>IF(AND(K1078="",N1078="",L1078=""),"",IF(AND((K1078="ALTA"),OR(LEFT(N1078,2)="L0",LEFT(N1078,2)="L1",L1078="No Iniciado")),"CRÍTICO - Incumplimiento Normativo SEPS",IF(AND(OR(LEFT(N1078,2)="L4",LEFT(N1078,2)="L5"),AND(P1078&lt;&gt;"",P1078&lt;&gt;"N/A")),"CONFORME - Control Efectivo ISO 27001","OBSERVACIÓN - Revisar Controles")))</f>
        <v/>
      </c>
    </row>
    <row r="1079">
      <c r="A1079">
        <f>IF(INVENTARIO!A1079="","",INVENTARIO!A1079)</f>
        <v/>
      </c>
      <c r="B1079">
        <f>IF(INVENTARIO!E1079="","",INVENTARIO!E1079)</f>
        <v/>
      </c>
      <c r="C1079">
        <f>IF(INVENTARIO!F1079="","",INVENTARIO!F1079)</f>
        <v/>
      </c>
      <c r="D1079">
        <f>IF(INVENTARIO!H1079="","",INVENTARIO!H1079)</f>
        <v/>
      </c>
      <c r="E1079">
        <f>IF(INVENTARIO!I1079="","",INVENTARIO!I1079)</f>
        <v/>
      </c>
      <c r="F1079">
        <f>IF(INVENTARIO!N1079="","",INVENTARIO!N1079)</f>
        <v/>
      </c>
      <c r="G1079">
        <f>IF(INVENTARIO!P1079="","",INVENTARIO!P1079)</f>
        <v/>
      </c>
      <c r="H1079">
        <f>IF(INVENTARIO!Q1079="","",INVENTARIO!Q1079)</f>
        <v/>
      </c>
      <c r="I1079">
        <f>IF(INVENTARIO!R1079="","",INVENTARIO!R1079)</f>
        <v/>
      </c>
      <c r="J1079">
        <f>IF(G1079="PUBLICA(1)",1,IF(G1079="USO INTERNO(2)",2,IF(G1079="RESTRINGIDO(3)",3,0)))+IF(H1079="BAJA(1)",1,IF(H1079="MEDIA(2)",2,IF(H1079="ALTA(3)",3,0)))+IF(I1079="BAJA(1)",1,IF(I1079="MEDIA(2)",2,IF(I1079="ALTA(3)",3,0)))</f>
        <v/>
      </c>
      <c r="K1079">
        <f>IF(J1079="", "", IF(J1079&gt;=8,"ALTA",IF(J1079&gt;=6,"MEDIA","BAJA")))</f>
        <v/>
      </c>
      <c r="L1079">
        <f>IF(INVENTARIO!Y1079="","",INVENTARIO!Y1079)</f>
        <v/>
      </c>
      <c r="M1079">
        <f>IF(INVENTARIO!Z1079="","",INVENTARIO!Z1079)</f>
        <v/>
      </c>
      <c r="N1079">
        <f>IF(INVENTARIO!AA1079="","",INVENTARIO!AA1079)</f>
        <v/>
      </c>
      <c r="O1079">
        <f>IF(INVENTARIO!AB1079="","",INVENTARIO!AB1079)</f>
        <v/>
      </c>
      <c r="P1079">
        <f>IF(INVENTARIO!AC1079="","",INVENTARIO!AC1079)</f>
        <v/>
      </c>
      <c r="Q1079">
        <f>IF(AND(K1079="",N1079="",L1079=""),"",IF(AND((K1079="ALTA"),OR(LEFT(N1079,2)="L0",LEFT(N1079,2)="L1",L1079="No Iniciado")),"CRÍTICO - Incumplimiento Normativo SEPS",IF(AND(OR(LEFT(N1079,2)="L4",LEFT(N1079,2)="L5"),AND(P1079&lt;&gt;"",P1079&lt;&gt;"N/A")),"CONFORME - Control Efectivo ISO 27001","OBSERVACIÓN - Revisar Controles")))</f>
        <v/>
      </c>
    </row>
    <row r="1080">
      <c r="A1080">
        <f>IF(INVENTARIO!A1080="","",INVENTARIO!A1080)</f>
        <v/>
      </c>
      <c r="B1080">
        <f>IF(INVENTARIO!E1080="","",INVENTARIO!E1080)</f>
        <v/>
      </c>
      <c r="C1080">
        <f>IF(INVENTARIO!F1080="","",INVENTARIO!F1080)</f>
        <v/>
      </c>
      <c r="D1080">
        <f>IF(INVENTARIO!H1080="","",INVENTARIO!H1080)</f>
        <v/>
      </c>
      <c r="E1080">
        <f>IF(INVENTARIO!I1080="","",INVENTARIO!I1080)</f>
        <v/>
      </c>
      <c r="F1080">
        <f>IF(INVENTARIO!N1080="","",INVENTARIO!N1080)</f>
        <v/>
      </c>
      <c r="G1080">
        <f>IF(INVENTARIO!P1080="","",INVENTARIO!P1080)</f>
        <v/>
      </c>
      <c r="H1080">
        <f>IF(INVENTARIO!Q1080="","",INVENTARIO!Q1080)</f>
        <v/>
      </c>
      <c r="I1080">
        <f>IF(INVENTARIO!R1080="","",INVENTARIO!R1080)</f>
        <v/>
      </c>
      <c r="J1080">
        <f>IF(G1080="PUBLICA(1)",1,IF(G1080="USO INTERNO(2)",2,IF(G1080="RESTRINGIDO(3)",3,0)))+IF(H1080="BAJA(1)",1,IF(H1080="MEDIA(2)",2,IF(H1080="ALTA(3)",3,0)))+IF(I1080="BAJA(1)",1,IF(I1080="MEDIA(2)",2,IF(I1080="ALTA(3)",3,0)))</f>
        <v/>
      </c>
      <c r="K1080">
        <f>IF(J1080="", "", IF(J1080&gt;=8,"ALTA",IF(J1080&gt;=6,"MEDIA","BAJA")))</f>
        <v/>
      </c>
      <c r="L1080">
        <f>IF(INVENTARIO!Y1080="","",INVENTARIO!Y1080)</f>
        <v/>
      </c>
      <c r="M1080">
        <f>IF(INVENTARIO!Z1080="","",INVENTARIO!Z1080)</f>
        <v/>
      </c>
      <c r="N1080">
        <f>IF(INVENTARIO!AA1080="","",INVENTARIO!AA1080)</f>
        <v/>
      </c>
      <c r="O1080">
        <f>IF(INVENTARIO!AB1080="","",INVENTARIO!AB1080)</f>
        <v/>
      </c>
      <c r="P1080">
        <f>IF(INVENTARIO!AC1080="","",INVENTARIO!AC1080)</f>
        <v/>
      </c>
      <c r="Q1080">
        <f>IF(AND(K1080="",N1080="",L1080=""),"",IF(AND((K1080="ALTA"),OR(LEFT(N1080,2)="L0",LEFT(N1080,2)="L1",L1080="No Iniciado")),"CRÍTICO - Incumplimiento Normativo SEPS",IF(AND(OR(LEFT(N1080,2)="L4",LEFT(N1080,2)="L5"),AND(P1080&lt;&gt;"",P1080&lt;&gt;"N/A")),"CONFORME - Control Efectivo ISO 27001","OBSERVACIÓN - Revisar Controles")))</f>
        <v/>
      </c>
    </row>
    <row r="1081">
      <c r="A1081">
        <f>IF(INVENTARIO!A1081="","",INVENTARIO!A1081)</f>
        <v/>
      </c>
      <c r="B1081">
        <f>IF(INVENTARIO!E1081="","",INVENTARIO!E1081)</f>
        <v/>
      </c>
      <c r="C1081">
        <f>IF(INVENTARIO!F1081="","",INVENTARIO!F1081)</f>
        <v/>
      </c>
      <c r="D1081">
        <f>IF(INVENTARIO!H1081="","",INVENTARIO!H1081)</f>
        <v/>
      </c>
      <c r="E1081">
        <f>IF(INVENTARIO!I1081="","",INVENTARIO!I1081)</f>
        <v/>
      </c>
      <c r="F1081">
        <f>IF(INVENTARIO!N1081="","",INVENTARIO!N1081)</f>
        <v/>
      </c>
      <c r="G1081">
        <f>IF(INVENTARIO!P1081="","",INVENTARIO!P1081)</f>
        <v/>
      </c>
      <c r="H1081">
        <f>IF(INVENTARIO!Q1081="","",INVENTARIO!Q1081)</f>
        <v/>
      </c>
      <c r="I1081">
        <f>IF(INVENTARIO!R1081="","",INVENTARIO!R1081)</f>
        <v/>
      </c>
      <c r="J1081">
        <f>IF(G1081="PUBLICA(1)",1,IF(G1081="USO INTERNO(2)",2,IF(G1081="RESTRINGIDO(3)",3,0)))+IF(H1081="BAJA(1)",1,IF(H1081="MEDIA(2)",2,IF(H1081="ALTA(3)",3,0)))+IF(I1081="BAJA(1)",1,IF(I1081="MEDIA(2)",2,IF(I1081="ALTA(3)",3,0)))</f>
        <v/>
      </c>
      <c r="K1081">
        <f>IF(J1081="", "", IF(J1081&gt;=8,"ALTA",IF(J1081&gt;=6,"MEDIA","BAJA")))</f>
        <v/>
      </c>
      <c r="L1081">
        <f>IF(INVENTARIO!Y1081="","",INVENTARIO!Y1081)</f>
        <v/>
      </c>
      <c r="M1081">
        <f>IF(INVENTARIO!Z1081="","",INVENTARIO!Z1081)</f>
        <v/>
      </c>
      <c r="N1081">
        <f>IF(INVENTARIO!AA1081="","",INVENTARIO!AA1081)</f>
        <v/>
      </c>
      <c r="O1081">
        <f>IF(INVENTARIO!AB1081="","",INVENTARIO!AB1081)</f>
        <v/>
      </c>
      <c r="P1081">
        <f>IF(INVENTARIO!AC1081="","",INVENTARIO!AC1081)</f>
        <v/>
      </c>
      <c r="Q1081">
        <f>IF(AND(K1081="",N1081="",L1081=""),"",IF(AND((K1081="ALTA"),OR(LEFT(N1081,2)="L0",LEFT(N1081,2)="L1",L1081="No Iniciado")),"CRÍTICO - Incumplimiento Normativo SEPS",IF(AND(OR(LEFT(N1081,2)="L4",LEFT(N1081,2)="L5"),AND(P1081&lt;&gt;"",P1081&lt;&gt;"N/A")),"CONFORME - Control Efectivo ISO 27001","OBSERVACIÓN - Revisar Controles")))</f>
        <v/>
      </c>
    </row>
    <row r="1082">
      <c r="A1082">
        <f>IF(INVENTARIO!A1082="","",INVENTARIO!A1082)</f>
        <v/>
      </c>
      <c r="B1082">
        <f>IF(INVENTARIO!E1082="","",INVENTARIO!E1082)</f>
        <v/>
      </c>
      <c r="C1082">
        <f>IF(INVENTARIO!F1082="","",INVENTARIO!F1082)</f>
        <v/>
      </c>
      <c r="D1082">
        <f>IF(INVENTARIO!H1082="","",INVENTARIO!H1082)</f>
        <v/>
      </c>
      <c r="E1082">
        <f>IF(INVENTARIO!I1082="","",INVENTARIO!I1082)</f>
        <v/>
      </c>
      <c r="F1082">
        <f>IF(INVENTARIO!N1082="","",INVENTARIO!N1082)</f>
        <v/>
      </c>
      <c r="G1082">
        <f>IF(INVENTARIO!P1082="","",INVENTARIO!P1082)</f>
        <v/>
      </c>
      <c r="H1082">
        <f>IF(INVENTARIO!Q1082="","",INVENTARIO!Q1082)</f>
        <v/>
      </c>
      <c r="I1082">
        <f>IF(INVENTARIO!R1082="","",INVENTARIO!R1082)</f>
        <v/>
      </c>
      <c r="J1082">
        <f>IF(G1082="PUBLICA(1)",1,IF(G1082="USO INTERNO(2)",2,IF(G1082="RESTRINGIDO(3)",3,0)))+IF(H1082="BAJA(1)",1,IF(H1082="MEDIA(2)",2,IF(H1082="ALTA(3)",3,0)))+IF(I1082="BAJA(1)",1,IF(I1082="MEDIA(2)",2,IF(I1082="ALTA(3)",3,0)))</f>
        <v/>
      </c>
      <c r="K1082">
        <f>IF(J1082="", "", IF(J1082&gt;=8,"ALTA",IF(J1082&gt;=6,"MEDIA","BAJA")))</f>
        <v/>
      </c>
      <c r="L1082">
        <f>IF(INVENTARIO!Y1082="","",INVENTARIO!Y1082)</f>
        <v/>
      </c>
      <c r="M1082">
        <f>IF(INVENTARIO!Z1082="","",INVENTARIO!Z1082)</f>
        <v/>
      </c>
      <c r="N1082">
        <f>IF(INVENTARIO!AA1082="","",INVENTARIO!AA1082)</f>
        <v/>
      </c>
      <c r="O1082">
        <f>IF(INVENTARIO!AB1082="","",INVENTARIO!AB1082)</f>
        <v/>
      </c>
      <c r="P1082">
        <f>IF(INVENTARIO!AC1082="","",INVENTARIO!AC1082)</f>
        <v/>
      </c>
      <c r="Q1082">
        <f>IF(AND(K1082="",N1082="",L1082=""),"",IF(AND((K1082="ALTA"),OR(LEFT(N1082,2)="L0",LEFT(N1082,2)="L1",L1082="No Iniciado")),"CRÍTICO - Incumplimiento Normativo SEPS",IF(AND(OR(LEFT(N1082,2)="L4",LEFT(N1082,2)="L5"),AND(P1082&lt;&gt;"",P1082&lt;&gt;"N/A")),"CONFORME - Control Efectivo ISO 27001","OBSERVACIÓN - Revisar Controles")))</f>
        <v/>
      </c>
    </row>
    <row r="1083">
      <c r="A1083">
        <f>IF(INVENTARIO!A1083="","",INVENTARIO!A1083)</f>
        <v/>
      </c>
      <c r="B1083">
        <f>IF(INVENTARIO!E1083="","",INVENTARIO!E1083)</f>
        <v/>
      </c>
      <c r="C1083">
        <f>IF(INVENTARIO!F1083="","",INVENTARIO!F1083)</f>
        <v/>
      </c>
      <c r="D1083">
        <f>IF(INVENTARIO!H1083="","",INVENTARIO!H1083)</f>
        <v/>
      </c>
      <c r="E1083">
        <f>IF(INVENTARIO!I1083="","",INVENTARIO!I1083)</f>
        <v/>
      </c>
      <c r="F1083">
        <f>IF(INVENTARIO!N1083="","",INVENTARIO!N1083)</f>
        <v/>
      </c>
      <c r="G1083">
        <f>IF(INVENTARIO!P1083="","",INVENTARIO!P1083)</f>
        <v/>
      </c>
      <c r="H1083">
        <f>IF(INVENTARIO!Q1083="","",INVENTARIO!Q1083)</f>
        <v/>
      </c>
      <c r="I1083">
        <f>IF(INVENTARIO!R1083="","",INVENTARIO!R1083)</f>
        <v/>
      </c>
      <c r="J1083">
        <f>IF(G1083="PUBLICA(1)",1,IF(G1083="USO INTERNO(2)",2,IF(G1083="RESTRINGIDO(3)",3,0)))+IF(H1083="BAJA(1)",1,IF(H1083="MEDIA(2)",2,IF(H1083="ALTA(3)",3,0)))+IF(I1083="BAJA(1)",1,IF(I1083="MEDIA(2)",2,IF(I1083="ALTA(3)",3,0)))</f>
        <v/>
      </c>
      <c r="K1083">
        <f>IF(J1083="", "", IF(J1083&gt;=8,"ALTA",IF(J1083&gt;=6,"MEDIA","BAJA")))</f>
        <v/>
      </c>
      <c r="L1083">
        <f>IF(INVENTARIO!Y1083="","",INVENTARIO!Y1083)</f>
        <v/>
      </c>
      <c r="M1083">
        <f>IF(INVENTARIO!Z1083="","",INVENTARIO!Z1083)</f>
        <v/>
      </c>
      <c r="N1083">
        <f>IF(INVENTARIO!AA1083="","",INVENTARIO!AA1083)</f>
        <v/>
      </c>
      <c r="O1083">
        <f>IF(INVENTARIO!AB1083="","",INVENTARIO!AB1083)</f>
        <v/>
      </c>
      <c r="P1083">
        <f>IF(INVENTARIO!AC1083="","",INVENTARIO!AC1083)</f>
        <v/>
      </c>
      <c r="Q1083">
        <f>IF(AND(K1083="",N1083="",L1083=""),"",IF(AND((K1083="ALTA"),OR(LEFT(N1083,2)="L0",LEFT(N1083,2)="L1",L1083="No Iniciado")),"CRÍTICO - Incumplimiento Normativo SEPS",IF(AND(OR(LEFT(N1083,2)="L4",LEFT(N1083,2)="L5"),AND(P1083&lt;&gt;"",P1083&lt;&gt;"N/A")),"CONFORME - Control Efectivo ISO 27001","OBSERVACIÓN - Revisar Controles")))</f>
        <v/>
      </c>
    </row>
    <row r="1084">
      <c r="A1084">
        <f>IF(INVENTARIO!A1084="","",INVENTARIO!A1084)</f>
        <v/>
      </c>
      <c r="B1084">
        <f>IF(INVENTARIO!E1084="","",INVENTARIO!E1084)</f>
        <v/>
      </c>
      <c r="C1084">
        <f>IF(INVENTARIO!F1084="","",INVENTARIO!F1084)</f>
        <v/>
      </c>
      <c r="D1084">
        <f>IF(INVENTARIO!H1084="","",INVENTARIO!H1084)</f>
        <v/>
      </c>
      <c r="E1084">
        <f>IF(INVENTARIO!I1084="","",INVENTARIO!I1084)</f>
        <v/>
      </c>
      <c r="F1084">
        <f>IF(INVENTARIO!N1084="","",INVENTARIO!N1084)</f>
        <v/>
      </c>
      <c r="G1084">
        <f>IF(INVENTARIO!P1084="","",INVENTARIO!P1084)</f>
        <v/>
      </c>
      <c r="H1084">
        <f>IF(INVENTARIO!Q1084="","",INVENTARIO!Q1084)</f>
        <v/>
      </c>
      <c r="I1084">
        <f>IF(INVENTARIO!R1084="","",INVENTARIO!R1084)</f>
        <v/>
      </c>
      <c r="J1084">
        <f>IF(G1084="PUBLICA(1)",1,IF(G1084="USO INTERNO(2)",2,IF(G1084="RESTRINGIDO(3)",3,0)))+IF(H1084="BAJA(1)",1,IF(H1084="MEDIA(2)",2,IF(H1084="ALTA(3)",3,0)))+IF(I1084="BAJA(1)",1,IF(I1084="MEDIA(2)",2,IF(I1084="ALTA(3)",3,0)))</f>
        <v/>
      </c>
      <c r="K1084">
        <f>IF(J1084="", "", IF(J1084&gt;=8,"ALTA",IF(J1084&gt;=6,"MEDIA","BAJA")))</f>
        <v/>
      </c>
      <c r="L1084">
        <f>IF(INVENTARIO!Y1084="","",INVENTARIO!Y1084)</f>
        <v/>
      </c>
      <c r="M1084">
        <f>IF(INVENTARIO!Z1084="","",INVENTARIO!Z1084)</f>
        <v/>
      </c>
      <c r="N1084">
        <f>IF(INVENTARIO!AA1084="","",INVENTARIO!AA1084)</f>
        <v/>
      </c>
      <c r="O1084">
        <f>IF(INVENTARIO!AB1084="","",INVENTARIO!AB1084)</f>
        <v/>
      </c>
      <c r="P1084">
        <f>IF(INVENTARIO!AC1084="","",INVENTARIO!AC1084)</f>
        <v/>
      </c>
      <c r="Q1084">
        <f>IF(AND(K1084="",N1084="",L1084=""),"",IF(AND((K1084="ALTA"),OR(LEFT(N1084,2)="L0",LEFT(N1084,2)="L1",L1084="No Iniciado")),"CRÍTICO - Incumplimiento Normativo SEPS",IF(AND(OR(LEFT(N1084,2)="L4",LEFT(N1084,2)="L5"),AND(P1084&lt;&gt;"",P1084&lt;&gt;"N/A")),"CONFORME - Control Efectivo ISO 27001","OBSERVACIÓN - Revisar Controles")))</f>
        <v/>
      </c>
    </row>
    <row r="1085">
      <c r="A1085">
        <f>IF(INVENTARIO!A1085="","",INVENTARIO!A1085)</f>
        <v/>
      </c>
      <c r="B1085">
        <f>IF(INVENTARIO!E1085="","",INVENTARIO!E1085)</f>
        <v/>
      </c>
      <c r="C1085">
        <f>IF(INVENTARIO!F1085="","",INVENTARIO!F1085)</f>
        <v/>
      </c>
      <c r="D1085">
        <f>IF(INVENTARIO!H1085="","",INVENTARIO!H1085)</f>
        <v/>
      </c>
      <c r="E1085">
        <f>IF(INVENTARIO!I1085="","",INVENTARIO!I1085)</f>
        <v/>
      </c>
      <c r="F1085">
        <f>IF(INVENTARIO!N1085="","",INVENTARIO!N1085)</f>
        <v/>
      </c>
      <c r="G1085">
        <f>IF(INVENTARIO!P1085="","",INVENTARIO!P1085)</f>
        <v/>
      </c>
      <c r="H1085">
        <f>IF(INVENTARIO!Q1085="","",INVENTARIO!Q1085)</f>
        <v/>
      </c>
      <c r="I1085">
        <f>IF(INVENTARIO!R1085="","",INVENTARIO!R1085)</f>
        <v/>
      </c>
      <c r="J1085">
        <f>IF(G1085="PUBLICA(1)",1,IF(G1085="USO INTERNO(2)",2,IF(G1085="RESTRINGIDO(3)",3,0)))+IF(H1085="BAJA(1)",1,IF(H1085="MEDIA(2)",2,IF(H1085="ALTA(3)",3,0)))+IF(I1085="BAJA(1)",1,IF(I1085="MEDIA(2)",2,IF(I1085="ALTA(3)",3,0)))</f>
        <v/>
      </c>
      <c r="K1085">
        <f>IF(J1085="", "", IF(J1085&gt;=8,"ALTA",IF(J1085&gt;=6,"MEDIA","BAJA")))</f>
        <v/>
      </c>
      <c r="L1085">
        <f>IF(INVENTARIO!Y1085="","",INVENTARIO!Y1085)</f>
        <v/>
      </c>
      <c r="M1085">
        <f>IF(INVENTARIO!Z1085="","",INVENTARIO!Z1085)</f>
        <v/>
      </c>
      <c r="N1085">
        <f>IF(INVENTARIO!AA1085="","",INVENTARIO!AA1085)</f>
        <v/>
      </c>
      <c r="O1085">
        <f>IF(INVENTARIO!AB1085="","",INVENTARIO!AB1085)</f>
        <v/>
      </c>
      <c r="P1085">
        <f>IF(INVENTARIO!AC1085="","",INVENTARIO!AC1085)</f>
        <v/>
      </c>
      <c r="Q1085">
        <f>IF(AND(K1085="",N1085="",L1085=""),"",IF(AND((K1085="ALTA"),OR(LEFT(N1085,2)="L0",LEFT(N1085,2)="L1",L1085="No Iniciado")),"CRÍTICO - Incumplimiento Normativo SEPS",IF(AND(OR(LEFT(N1085,2)="L4",LEFT(N1085,2)="L5"),AND(P1085&lt;&gt;"",P1085&lt;&gt;"N/A")),"CONFORME - Control Efectivo ISO 27001","OBSERVACIÓN - Revisar Controles")))</f>
        <v/>
      </c>
    </row>
    <row r="1086">
      <c r="A1086">
        <f>IF(INVENTARIO!A1086="","",INVENTARIO!A1086)</f>
        <v/>
      </c>
      <c r="B1086">
        <f>IF(INVENTARIO!E1086="","",INVENTARIO!E1086)</f>
        <v/>
      </c>
      <c r="C1086">
        <f>IF(INVENTARIO!F1086="","",INVENTARIO!F1086)</f>
        <v/>
      </c>
      <c r="D1086">
        <f>IF(INVENTARIO!H1086="","",INVENTARIO!H1086)</f>
        <v/>
      </c>
      <c r="E1086">
        <f>IF(INVENTARIO!I1086="","",INVENTARIO!I1086)</f>
        <v/>
      </c>
      <c r="F1086">
        <f>IF(INVENTARIO!N1086="","",INVENTARIO!N1086)</f>
        <v/>
      </c>
      <c r="G1086">
        <f>IF(INVENTARIO!P1086="","",INVENTARIO!P1086)</f>
        <v/>
      </c>
      <c r="H1086">
        <f>IF(INVENTARIO!Q1086="","",INVENTARIO!Q1086)</f>
        <v/>
      </c>
      <c r="I1086">
        <f>IF(INVENTARIO!R1086="","",INVENTARIO!R1086)</f>
        <v/>
      </c>
      <c r="J1086">
        <f>IF(G1086="PUBLICA(1)",1,IF(G1086="USO INTERNO(2)",2,IF(G1086="RESTRINGIDO(3)",3,0)))+IF(H1086="BAJA(1)",1,IF(H1086="MEDIA(2)",2,IF(H1086="ALTA(3)",3,0)))+IF(I1086="BAJA(1)",1,IF(I1086="MEDIA(2)",2,IF(I1086="ALTA(3)",3,0)))</f>
        <v/>
      </c>
      <c r="K1086">
        <f>IF(J1086="", "", IF(J1086&gt;=8,"ALTA",IF(J1086&gt;=6,"MEDIA","BAJA")))</f>
        <v/>
      </c>
      <c r="L1086">
        <f>IF(INVENTARIO!Y1086="","",INVENTARIO!Y1086)</f>
        <v/>
      </c>
      <c r="M1086">
        <f>IF(INVENTARIO!Z1086="","",INVENTARIO!Z1086)</f>
        <v/>
      </c>
      <c r="N1086">
        <f>IF(INVENTARIO!AA1086="","",INVENTARIO!AA1086)</f>
        <v/>
      </c>
      <c r="O1086">
        <f>IF(INVENTARIO!AB1086="","",INVENTARIO!AB1086)</f>
        <v/>
      </c>
      <c r="P1086">
        <f>IF(INVENTARIO!AC1086="","",INVENTARIO!AC1086)</f>
        <v/>
      </c>
      <c r="Q1086">
        <f>IF(AND(K1086="",N1086="",L1086=""),"",IF(AND((K1086="ALTA"),OR(LEFT(N1086,2)="L0",LEFT(N1086,2)="L1",L1086="No Iniciado")),"CRÍTICO - Incumplimiento Normativo SEPS",IF(AND(OR(LEFT(N1086,2)="L4",LEFT(N1086,2)="L5"),AND(P1086&lt;&gt;"",P1086&lt;&gt;"N/A")),"CONFORME - Control Efectivo ISO 27001","OBSERVACIÓN - Revisar Controles")))</f>
        <v/>
      </c>
    </row>
    <row r="1087">
      <c r="A1087">
        <f>IF(INVENTARIO!A1087="","",INVENTARIO!A1087)</f>
        <v/>
      </c>
      <c r="B1087">
        <f>IF(INVENTARIO!E1087="","",INVENTARIO!E1087)</f>
        <v/>
      </c>
      <c r="C1087">
        <f>IF(INVENTARIO!F1087="","",INVENTARIO!F1087)</f>
        <v/>
      </c>
      <c r="D1087">
        <f>IF(INVENTARIO!H1087="","",INVENTARIO!H1087)</f>
        <v/>
      </c>
      <c r="E1087">
        <f>IF(INVENTARIO!I1087="","",INVENTARIO!I1087)</f>
        <v/>
      </c>
      <c r="F1087">
        <f>IF(INVENTARIO!N1087="","",INVENTARIO!N1087)</f>
        <v/>
      </c>
      <c r="G1087">
        <f>IF(INVENTARIO!P1087="","",INVENTARIO!P1087)</f>
        <v/>
      </c>
      <c r="H1087">
        <f>IF(INVENTARIO!Q1087="","",INVENTARIO!Q1087)</f>
        <v/>
      </c>
      <c r="I1087">
        <f>IF(INVENTARIO!R1087="","",INVENTARIO!R1087)</f>
        <v/>
      </c>
      <c r="J1087">
        <f>IF(G1087="PUBLICA(1)",1,IF(G1087="USO INTERNO(2)",2,IF(G1087="RESTRINGIDO(3)",3,0)))+IF(H1087="BAJA(1)",1,IF(H1087="MEDIA(2)",2,IF(H1087="ALTA(3)",3,0)))+IF(I1087="BAJA(1)",1,IF(I1087="MEDIA(2)",2,IF(I1087="ALTA(3)",3,0)))</f>
        <v/>
      </c>
      <c r="K1087">
        <f>IF(J1087="", "", IF(J1087&gt;=8,"ALTA",IF(J1087&gt;=6,"MEDIA","BAJA")))</f>
        <v/>
      </c>
      <c r="L1087">
        <f>IF(INVENTARIO!Y1087="","",INVENTARIO!Y1087)</f>
        <v/>
      </c>
      <c r="M1087">
        <f>IF(INVENTARIO!Z1087="","",INVENTARIO!Z1087)</f>
        <v/>
      </c>
      <c r="N1087">
        <f>IF(INVENTARIO!AA1087="","",INVENTARIO!AA1087)</f>
        <v/>
      </c>
      <c r="O1087">
        <f>IF(INVENTARIO!AB1087="","",INVENTARIO!AB1087)</f>
        <v/>
      </c>
      <c r="P1087">
        <f>IF(INVENTARIO!AC1087="","",INVENTARIO!AC1087)</f>
        <v/>
      </c>
      <c r="Q1087">
        <f>IF(AND(K1087="",N1087="",L1087=""),"",IF(AND((K1087="ALTA"),OR(LEFT(N1087,2)="L0",LEFT(N1087,2)="L1",L1087="No Iniciado")),"CRÍTICO - Incumplimiento Normativo SEPS",IF(AND(OR(LEFT(N1087,2)="L4",LEFT(N1087,2)="L5"),AND(P1087&lt;&gt;"",P1087&lt;&gt;"N/A")),"CONFORME - Control Efectivo ISO 27001","OBSERVACIÓN - Revisar Controles")))</f>
        <v/>
      </c>
    </row>
    <row r="1088">
      <c r="A1088">
        <f>IF(INVENTARIO!A1088="","",INVENTARIO!A1088)</f>
        <v/>
      </c>
      <c r="B1088">
        <f>IF(INVENTARIO!E1088="","",INVENTARIO!E1088)</f>
        <v/>
      </c>
      <c r="C1088">
        <f>IF(INVENTARIO!F1088="","",INVENTARIO!F1088)</f>
        <v/>
      </c>
      <c r="D1088">
        <f>IF(INVENTARIO!H1088="","",INVENTARIO!H1088)</f>
        <v/>
      </c>
      <c r="E1088">
        <f>IF(INVENTARIO!I1088="","",INVENTARIO!I1088)</f>
        <v/>
      </c>
      <c r="F1088">
        <f>IF(INVENTARIO!N1088="","",INVENTARIO!N1088)</f>
        <v/>
      </c>
      <c r="G1088">
        <f>IF(INVENTARIO!P1088="","",INVENTARIO!P1088)</f>
        <v/>
      </c>
      <c r="H1088">
        <f>IF(INVENTARIO!Q1088="","",INVENTARIO!Q1088)</f>
        <v/>
      </c>
      <c r="I1088">
        <f>IF(INVENTARIO!R1088="","",INVENTARIO!R1088)</f>
        <v/>
      </c>
      <c r="J1088">
        <f>IF(G1088="PUBLICA(1)",1,IF(G1088="USO INTERNO(2)",2,IF(G1088="RESTRINGIDO(3)",3,0)))+IF(H1088="BAJA(1)",1,IF(H1088="MEDIA(2)",2,IF(H1088="ALTA(3)",3,0)))+IF(I1088="BAJA(1)",1,IF(I1088="MEDIA(2)",2,IF(I1088="ALTA(3)",3,0)))</f>
        <v/>
      </c>
      <c r="K1088">
        <f>IF(J1088="", "", IF(J1088&gt;=8,"ALTA",IF(J1088&gt;=6,"MEDIA","BAJA")))</f>
        <v/>
      </c>
      <c r="L1088">
        <f>IF(INVENTARIO!Y1088="","",INVENTARIO!Y1088)</f>
        <v/>
      </c>
      <c r="M1088">
        <f>IF(INVENTARIO!Z1088="","",INVENTARIO!Z1088)</f>
        <v/>
      </c>
      <c r="N1088">
        <f>IF(INVENTARIO!AA1088="","",INVENTARIO!AA1088)</f>
        <v/>
      </c>
      <c r="O1088">
        <f>IF(INVENTARIO!AB1088="","",INVENTARIO!AB1088)</f>
        <v/>
      </c>
      <c r="P1088">
        <f>IF(INVENTARIO!AC1088="","",INVENTARIO!AC1088)</f>
        <v/>
      </c>
      <c r="Q1088">
        <f>IF(AND(K1088="",N1088="",L1088=""),"",IF(AND((K1088="ALTA"),OR(LEFT(N1088,2)="L0",LEFT(N1088,2)="L1",L1088="No Iniciado")),"CRÍTICO - Incumplimiento Normativo SEPS",IF(AND(OR(LEFT(N1088,2)="L4",LEFT(N1088,2)="L5"),AND(P1088&lt;&gt;"",P1088&lt;&gt;"N/A")),"CONFORME - Control Efectivo ISO 27001","OBSERVACIÓN - Revisar Controles")))</f>
        <v/>
      </c>
    </row>
    <row r="1089">
      <c r="A1089">
        <f>IF(INVENTARIO!A1089="","",INVENTARIO!A1089)</f>
        <v/>
      </c>
      <c r="B1089">
        <f>IF(INVENTARIO!E1089="","",INVENTARIO!E1089)</f>
        <v/>
      </c>
      <c r="C1089">
        <f>IF(INVENTARIO!F1089="","",INVENTARIO!F1089)</f>
        <v/>
      </c>
      <c r="D1089">
        <f>IF(INVENTARIO!H1089="","",INVENTARIO!H1089)</f>
        <v/>
      </c>
      <c r="E1089">
        <f>IF(INVENTARIO!I1089="","",INVENTARIO!I1089)</f>
        <v/>
      </c>
      <c r="F1089">
        <f>IF(INVENTARIO!N1089="","",INVENTARIO!N1089)</f>
        <v/>
      </c>
      <c r="G1089">
        <f>IF(INVENTARIO!P1089="","",INVENTARIO!P1089)</f>
        <v/>
      </c>
      <c r="H1089">
        <f>IF(INVENTARIO!Q1089="","",INVENTARIO!Q1089)</f>
        <v/>
      </c>
      <c r="I1089">
        <f>IF(INVENTARIO!R1089="","",INVENTARIO!R1089)</f>
        <v/>
      </c>
      <c r="J1089">
        <f>IF(G1089="PUBLICA(1)",1,IF(G1089="USO INTERNO(2)",2,IF(G1089="RESTRINGIDO(3)",3,0)))+IF(H1089="BAJA(1)",1,IF(H1089="MEDIA(2)",2,IF(H1089="ALTA(3)",3,0)))+IF(I1089="BAJA(1)",1,IF(I1089="MEDIA(2)",2,IF(I1089="ALTA(3)",3,0)))</f>
        <v/>
      </c>
      <c r="K1089">
        <f>IF(J1089="", "", IF(J1089&gt;=8,"ALTA",IF(J1089&gt;=6,"MEDIA","BAJA")))</f>
        <v/>
      </c>
      <c r="L1089">
        <f>IF(INVENTARIO!Y1089="","",INVENTARIO!Y1089)</f>
        <v/>
      </c>
      <c r="M1089">
        <f>IF(INVENTARIO!Z1089="","",INVENTARIO!Z1089)</f>
        <v/>
      </c>
      <c r="N1089">
        <f>IF(INVENTARIO!AA1089="","",INVENTARIO!AA1089)</f>
        <v/>
      </c>
      <c r="O1089">
        <f>IF(INVENTARIO!AB1089="","",INVENTARIO!AB1089)</f>
        <v/>
      </c>
      <c r="P1089">
        <f>IF(INVENTARIO!AC1089="","",INVENTARIO!AC1089)</f>
        <v/>
      </c>
      <c r="Q1089">
        <f>IF(AND(K1089="",N1089="",L1089=""),"",IF(AND((K1089="ALTA"),OR(LEFT(N1089,2)="L0",LEFT(N1089,2)="L1",L1089="No Iniciado")),"CRÍTICO - Incumplimiento Normativo SEPS",IF(AND(OR(LEFT(N1089,2)="L4",LEFT(N1089,2)="L5"),AND(P1089&lt;&gt;"",P1089&lt;&gt;"N/A")),"CONFORME - Control Efectivo ISO 27001","OBSERVACIÓN - Revisar Controles")))</f>
        <v/>
      </c>
    </row>
    <row r="1090">
      <c r="A1090">
        <f>IF(INVENTARIO!A1090="","",INVENTARIO!A1090)</f>
        <v/>
      </c>
      <c r="B1090">
        <f>IF(INVENTARIO!E1090="","",INVENTARIO!E1090)</f>
        <v/>
      </c>
      <c r="C1090">
        <f>IF(INVENTARIO!F1090="","",INVENTARIO!F1090)</f>
        <v/>
      </c>
      <c r="D1090">
        <f>IF(INVENTARIO!H1090="","",INVENTARIO!H1090)</f>
        <v/>
      </c>
      <c r="E1090">
        <f>IF(INVENTARIO!I1090="","",INVENTARIO!I1090)</f>
        <v/>
      </c>
      <c r="F1090">
        <f>IF(INVENTARIO!N1090="","",INVENTARIO!N1090)</f>
        <v/>
      </c>
      <c r="G1090">
        <f>IF(INVENTARIO!P1090="","",INVENTARIO!P1090)</f>
        <v/>
      </c>
      <c r="H1090">
        <f>IF(INVENTARIO!Q1090="","",INVENTARIO!Q1090)</f>
        <v/>
      </c>
      <c r="I1090">
        <f>IF(INVENTARIO!R1090="","",INVENTARIO!R1090)</f>
        <v/>
      </c>
      <c r="J1090">
        <f>IF(G1090="PUBLICA(1)",1,IF(G1090="USO INTERNO(2)",2,IF(G1090="RESTRINGIDO(3)",3,0)))+IF(H1090="BAJA(1)",1,IF(H1090="MEDIA(2)",2,IF(H1090="ALTA(3)",3,0)))+IF(I1090="BAJA(1)",1,IF(I1090="MEDIA(2)",2,IF(I1090="ALTA(3)",3,0)))</f>
        <v/>
      </c>
      <c r="K1090">
        <f>IF(J1090="", "", IF(J1090&gt;=8,"ALTA",IF(J1090&gt;=6,"MEDIA","BAJA")))</f>
        <v/>
      </c>
      <c r="L1090">
        <f>IF(INVENTARIO!Y1090="","",INVENTARIO!Y1090)</f>
        <v/>
      </c>
      <c r="M1090">
        <f>IF(INVENTARIO!Z1090="","",INVENTARIO!Z1090)</f>
        <v/>
      </c>
      <c r="N1090">
        <f>IF(INVENTARIO!AA1090="","",INVENTARIO!AA1090)</f>
        <v/>
      </c>
      <c r="O1090">
        <f>IF(INVENTARIO!AB1090="","",INVENTARIO!AB1090)</f>
        <v/>
      </c>
      <c r="P1090">
        <f>IF(INVENTARIO!AC1090="","",INVENTARIO!AC1090)</f>
        <v/>
      </c>
      <c r="Q1090">
        <f>IF(AND(K1090="",N1090="",L1090=""),"",IF(AND((K1090="ALTA"),OR(LEFT(N1090,2)="L0",LEFT(N1090,2)="L1",L1090="No Iniciado")),"CRÍTICO - Incumplimiento Normativo SEPS",IF(AND(OR(LEFT(N1090,2)="L4",LEFT(N1090,2)="L5"),AND(P1090&lt;&gt;"",P1090&lt;&gt;"N/A")),"CONFORME - Control Efectivo ISO 27001","OBSERVACIÓN - Revisar Controles")))</f>
        <v/>
      </c>
    </row>
    <row r="1091">
      <c r="A1091">
        <f>IF(INVENTARIO!A1091="","",INVENTARIO!A1091)</f>
        <v/>
      </c>
      <c r="B1091">
        <f>IF(INVENTARIO!E1091="","",INVENTARIO!E1091)</f>
        <v/>
      </c>
      <c r="C1091">
        <f>IF(INVENTARIO!F1091="","",INVENTARIO!F1091)</f>
        <v/>
      </c>
      <c r="D1091">
        <f>IF(INVENTARIO!H1091="","",INVENTARIO!H1091)</f>
        <v/>
      </c>
      <c r="E1091">
        <f>IF(INVENTARIO!I1091="","",INVENTARIO!I1091)</f>
        <v/>
      </c>
      <c r="F1091">
        <f>IF(INVENTARIO!N1091="","",INVENTARIO!N1091)</f>
        <v/>
      </c>
      <c r="G1091">
        <f>IF(INVENTARIO!P1091="","",INVENTARIO!P1091)</f>
        <v/>
      </c>
      <c r="H1091">
        <f>IF(INVENTARIO!Q1091="","",INVENTARIO!Q1091)</f>
        <v/>
      </c>
      <c r="I1091">
        <f>IF(INVENTARIO!R1091="","",INVENTARIO!R1091)</f>
        <v/>
      </c>
      <c r="J1091">
        <f>IF(G1091="PUBLICA(1)",1,IF(G1091="USO INTERNO(2)",2,IF(G1091="RESTRINGIDO(3)",3,0)))+IF(H1091="BAJA(1)",1,IF(H1091="MEDIA(2)",2,IF(H1091="ALTA(3)",3,0)))+IF(I1091="BAJA(1)",1,IF(I1091="MEDIA(2)",2,IF(I1091="ALTA(3)",3,0)))</f>
        <v/>
      </c>
      <c r="K1091">
        <f>IF(J1091="", "", IF(J1091&gt;=8,"ALTA",IF(J1091&gt;=6,"MEDIA","BAJA")))</f>
        <v/>
      </c>
      <c r="L1091">
        <f>IF(INVENTARIO!Y1091="","",INVENTARIO!Y1091)</f>
        <v/>
      </c>
      <c r="M1091">
        <f>IF(INVENTARIO!Z1091="","",INVENTARIO!Z1091)</f>
        <v/>
      </c>
      <c r="N1091">
        <f>IF(INVENTARIO!AA1091="","",INVENTARIO!AA1091)</f>
        <v/>
      </c>
      <c r="O1091">
        <f>IF(INVENTARIO!AB1091="","",INVENTARIO!AB1091)</f>
        <v/>
      </c>
      <c r="P1091">
        <f>IF(INVENTARIO!AC1091="","",INVENTARIO!AC1091)</f>
        <v/>
      </c>
      <c r="Q1091">
        <f>IF(AND(K1091="",N1091="",L1091=""),"",IF(AND((K1091="ALTA"),OR(LEFT(N1091,2)="L0",LEFT(N1091,2)="L1",L1091="No Iniciado")),"CRÍTICO - Incumplimiento Normativo SEPS",IF(AND(OR(LEFT(N1091,2)="L4",LEFT(N1091,2)="L5"),AND(P1091&lt;&gt;"",P1091&lt;&gt;"N/A")),"CONFORME - Control Efectivo ISO 27001","OBSERVACIÓN - Revisar Controles")))</f>
        <v/>
      </c>
    </row>
    <row r="1092">
      <c r="A1092">
        <f>IF(INVENTARIO!A1092="","",INVENTARIO!A1092)</f>
        <v/>
      </c>
      <c r="B1092">
        <f>IF(INVENTARIO!E1092="","",INVENTARIO!E1092)</f>
        <v/>
      </c>
      <c r="C1092">
        <f>IF(INVENTARIO!F1092="","",INVENTARIO!F1092)</f>
        <v/>
      </c>
      <c r="D1092">
        <f>IF(INVENTARIO!H1092="","",INVENTARIO!H1092)</f>
        <v/>
      </c>
      <c r="E1092">
        <f>IF(INVENTARIO!I1092="","",INVENTARIO!I1092)</f>
        <v/>
      </c>
      <c r="F1092">
        <f>IF(INVENTARIO!N1092="","",INVENTARIO!N1092)</f>
        <v/>
      </c>
      <c r="G1092">
        <f>IF(INVENTARIO!P1092="","",INVENTARIO!P1092)</f>
        <v/>
      </c>
      <c r="H1092">
        <f>IF(INVENTARIO!Q1092="","",INVENTARIO!Q1092)</f>
        <v/>
      </c>
      <c r="I1092">
        <f>IF(INVENTARIO!R1092="","",INVENTARIO!R1092)</f>
        <v/>
      </c>
      <c r="J1092">
        <f>IF(G1092="PUBLICA(1)",1,IF(G1092="USO INTERNO(2)",2,IF(G1092="RESTRINGIDO(3)",3,0)))+IF(H1092="BAJA(1)",1,IF(H1092="MEDIA(2)",2,IF(H1092="ALTA(3)",3,0)))+IF(I1092="BAJA(1)",1,IF(I1092="MEDIA(2)",2,IF(I1092="ALTA(3)",3,0)))</f>
        <v/>
      </c>
      <c r="K1092">
        <f>IF(J1092="", "", IF(J1092&gt;=8,"ALTA",IF(J1092&gt;=6,"MEDIA","BAJA")))</f>
        <v/>
      </c>
      <c r="L1092">
        <f>IF(INVENTARIO!Y1092="","",INVENTARIO!Y1092)</f>
        <v/>
      </c>
      <c r="M1092">
        <f>IF(INVENTARIO!Z1092="","",INVENTARIO!Z1092)</f>
        <v/>
      </c>
      <c r="N1092">
        <f>IF(INVENTARIO!AA1092="","",INVENTARIO!AA1092)</f>
        <v/>
      </c>
      <c r="O1092">
        <f>IF(INVENTARIO!AB1092="","",INVENTARIO!AB1092)</f>
        <v/>
      </c>
      <c r="P1092">
        <f>IF(INVENTARIO!AC1092="","",INVENTARIO!AC1092)</f>
        <v/>
      </c>
      <c r="Q1092">
        <f>IF(AND(K1092="",N1092="",L1092=""),"",IF(AND((K1092="ALTA"),OR(LEFT(N1092,2)="L0",LEFT(N1092,2)="L1",L1092="No Iniciado")),"CRÍTICO - Incumplimiento Normativo SEPS",IF(AND(OR(LEFT(N1092,2)="L4",LEFT(N1092,2)="L5"),AND(P1092&lt;&gt;"",P1092&lt;&gt;"N/A")),"CONFORME - Control Efectivo ISO 27001","OBSERVACIÓN - Revisar Controles")))</f>
        <v/>
      </c>
    </row>
    <row r="1093">
      <c r="A1093">
        <f>IF(INVENTARIO!A1093="","",INVENTARIO!A1093)</f>
        <v/>
      </c>
      <c r="B1093">
        <f>IF(INVENTARIO!E1093="","",INVENTARIO!E1093)</f>
        <v/>
      </c>
      <c r="C1093">
        <f>IF(INVENTARIO!F1093="","",INVENTARIO!F1093)</f>
        <v/>
      </c>
      <c r="D1093">
        <f>IF(INVENTARIO!H1093="","",INVENTARIO!H1093)</f>
        <v/>
      </c>
      <c r="E1093">
        <f>IF(INVENTARIO!I1093="","",INVENTARIO!I1093)</f>
        <v/>
      </c>
      <c r="F1093">
        <f>IF(INVENTARIO!N1093="","",INVENTARIO!N1093)</f>
        <v/>
      </c>
      <c r="G1093">
        <f>IF(INVENTARIO!P1093="","",INVENTARIO!P1093)</f>
        <v/>
      </c>
      <c r="H1093">
        <f>IF(INVENTARIO!Q1093="","",INVENTARIO!Q1093)</f>
        <v/>
      </c>
      <c r="I1093">
        <f>IF(INVENTARIO!R1093="","",INVENTARIO!R1093)</f>
        <v/>
      </c>
      <c r="J1093">
        <f>IF(G1093="PUBLICA(1)",1,IF(G1093="USO INTERNO(2)",2,IF(G1093="RESTRINGIDO(3)",3,0)))+IF(H1093="BAJA(1)",1,IF(H1093="MEDIA(2)",2,IF(H1093="ALTA(3)",3,0)))+IF(I1093="BAJA(1)",1,IF(I1093="MEDIA(2)",2,IF(I1093="ALTA(3)",3,0)))</f>
        <v/>
      </c>
      <c r="K1093">
        <f>IF(J1093="", "", IF(J1093&gt;=8,"ALTA",IF(J1093&gt;=6,"MEDIA","BAJA")))</f>
        <v/>
      </c>
      <c r="L1093">
        <f>IF(INVENTARIO!Y1093="","",INVENTARIO!Y1093)</f>
        <v/>
      </c>
      <c r="M1093">
        <f>IF(INVENTARIO!Z1093="","",INVENTARIO!Z1093)</f>
        <v/>
      </c>
      <c r="N1093">
        <f>IF(INVENTARIO!AA1093="","",INVENTARIO!AA1093)</f>
        <v/>
      </c>
      <c r="O1093">
        <f>IF(INVENTARIO!AB1093="","",INVENTARIO!AB1093)</f>
        <v/>
      </c>
      <c r="P1093">
        <f>IF(INVENTARIO!AC1093="","",INVENTARIO!AC1093)</f>
        <v/>
      </c>
      <c r="Q1093">
        <f>IF(AND(K1093="",N1093="",L1093=""),"",IF(AND((K1093="ALTA"),OR(LEFT(N1093,2)="L0",LEFT(N1093,2)="L1",L1093="No Iniciado")),"CRÍTICO - Incumplimiento Normativo SEPS",IF(AND(OR(LEFT(N1093,2)="L4",LEFT(N1093,2)="L5"),AND(P1093&lt;&gt;"",P1093&lt;&gt;"N/A")),"CONFORME - Control Efectivo ISO 27001","OBSERVACIÓN - Revisar Controles")))</f>
        <v/>
      </c>
    </row>
    <row r="1094">
      <c r="A1094">
        <f>IF(INVENTARIO!A1094="","",INVENTARIO!A1094)</f>
        <v/>
      </c>
      <c r="B1094">
        <f>IF(INVENTARIO!E1094="","",INVENTARIO!E1094)</f>
        <v/>
      </c>
      <c r="C1094">
        <f>IF(INVENTARIO!F1094="","",INVENTARIO!F1094)</f>
        <v/>
      </c>
      <c r="D1094">
        <f>IF(INVENTARIO!H1094="","",INVENTARIO!H1094)</f>
        <v/>
      </c>
      <c r="E1094">
        <f>IF(INVENTARIO!I1094="","",INVENTARIO!I1094)</f>
        <v/>
      </c>
      <c r="F1094">
        <f>IF(INVENTARIO!N1094="","",INVENTARIO!N1094)</f>
        <v/>
      </c>
      <c r="G1094">
        <f>IF(INVENTARIO!P1094="","",INVENTARIO!P1094)</f>
        <v/>
      </c>
      <c r="H1094">
        <f>IF(INVENTARIO!Q1094="","",INVENTARIO!Q1094)</f>
        <v/>
      </c>
      <c r="I1094">
        <f>IF(INVENTARIO!R1094="","",INVENTARIO!R1094)</f>
        <v/>
      </c>
      <c r="J1094">
        <f>IF(G1094="PUBLICA(1)",1,IF(G1094="USO INTERNO(2)",2,IF(G1094="RESTRINGIDO(3)",3,0)))+IF(H1094="BAJA(1)",1,IF(H1094="MEDIA(2)",2,IF(H1094="ALTA(3)",3,0)))+IF(I1094="BAJA(1)",1,IF(I1094="MEDIA(2)",2,IF(I1094="ALTA(3)",3,0)))</f>
        <v/>
      </c>
      <c r="K1094">
        <f>IF(J1094="", "", IF(J1094&gt;=8,"ALTA",IF(J1094&gt;=6,"MEDIA","BAJA")))</f>
        <v/>
      </c>
      <c r="L1094">
        <f>IF(INVENTARIO!Y1094="","",INVENTARIO!Y1094)</f>
        <v/>
      </c>
      <c r="M1094">
        <f>IF(INVENTARIO!Z1094="","",INVENTARIO!Z1094)</f>
        <v/>
      </c>
      <c r="N1094">
        <f>IF(INVENTARIO!AA1094="","",INVENTARIO!AA1094)</f>
        <v/>
      </c>
      <c r="O1094">
        <f>IF(INVENTARIO!AB1094="","",INVENTARIO!AB1094)</f>
        <v/>
      </c>
      <c r="P1094">
        <f>IF(INVENTARIO!AC1094="","",INVENTARIO!AC1094)</f>
        <v/>
      </c>
      <c r="Q1094">
        <f>IF(AND(K1094="",N1094="",L1094=""),"",IF(AND((K1094="ALTA"),OR(LEFT(N1094,2)="L0",LEFT(N1094,2)="L1",L1094="No Iniciado")),"CRÍTICO - Incumplimiento Normativo SEPS",IF(AND(OR(LEFT(N1094,2)="L4",LEFT(N1094,2)="L5"),AND(P1094&lt;&gt;"",P1094&lt;&gt;"N/A")),"CONFORME - Control Efectivo ISO 27001","OBSERVACIÓN - Revisar Controles")))</f>
        <v/>
      </c>
    </row>
    <row r="1095">
      <c r="A1095">
        <f>IF(INVENTARIO!A1095="","",INVENTARIO!A1095)</f>
        <v/>
      </c>
      <c r="B1095">
        <f>IF(INVENTARIO!E1095="","",INVENTARIO!E1095)</f>
        <v/>
      </c>
      <c r="C1095">
        <f>IF(INVENTARIO!F1095="","",INVENTARIO!F1095)</f>
        <v/>
      </c>
      <c r="D1095">
        <f>IF(INVENTARIO!H1095="","",INVENTARIO!H1095)</f>
        <v/>
      </c>
      <c r="E1095">
        <f>IF(INVENTARIO!I1095="","",INVENTARIO!I1095)</f>
        <v/>
      </c>
      <c r="F1095">
        <f>IF(INVENTARIO!N1095="","",INVENTARIO!N1095)</f>
        <v/>
      </c>
      <c r="G1095">
        <f>IF(INVENTARIO!P1095="","",INVENTARIO!P1095)</f>
        <v/>
      </c>
      <c r="H1095">
        <f>IF(INVENTARIO!Q1095="","",INVENTARIO!Q1095)</f>
        <v/>
      </c>
      <c r="I1095">
        <f>IF(INVENTARIO!R1095="","",INVENTARIO!R1095)</f>
        <v/>
      </c>
      <c r="J1095">
        <f>IF(G1095="PUBLICA(1)",1,IF(G1095="USO INTERNO(2)",2,IF(G1095="RESTRINGIDO(3)",3,0)))+IF(H1095="BAJA(1)",1,IF(H1095="MEDIA(2)",2,IF(H1095="ALTA(3)",3,0)))+IF(I1095="BAJA(1)",1,IF(I1095="MEDIA(2)",2,IF(I1095="ALTA(3)",3,0)))</f>
        <v/>
      </c>
      <c r="K1095">
        <f>IF(J1095="", "", IF(J1095&gt;=8,"ALTA",IF(J1095&gt;=6,"MEDIA","BAJA")))</f>
        <v/>
      </c>
      <c r="L1095">
        <f>IF(INVENTARIO!Y1095="","",INVENTARIO!Y1095)</f>
        <v/>
      </c>
      <c r="M1095">
        <f>IF(INVENTARIO!Z1095="","",INVENTARIO!Z1095)</f>
        <v/>
      </c>
      <c r="N1095">
        <f>IF(INVENTARIO!AA1095="","",INVENTARIO!AA1095)</f>
        <v/>
      </c>
      <c r="O1095">
        <f>IF(INVENTARIO!AB1095="","",INVENTARIO!AB1095)</f>
        <v/>
      </c>
      <c r="P1095">
        <f>IF(INVENTARIO!AC1095="","",INVENTARIO!AC1095)</f>
        <v/>
      </c>
      <c r="Q1095">
        <f>IF(AND(K1095="",N1095="",L1095=""),"",IF(AND((K1095="ALTA"),OR(LEFT(N1095,2)="L0",LEFT(N1095,2)="L1",L1095="No Iniciado")),"CRÍTICO - Incumplimiento Normativo SEPS",IF(AND(OR(LEFT(N1095,2)="L4",LEFT(N1095,2)="L5"),AND(P1095&lt;&gt;"",P1095&lt;&gt;"N/A")),"CONFORME - Control Efectivo ISO 27001","OBSERVACIÓN - Revisar Controles")))</f>
        <v/>
      </c>
    </row>
    <row r="1096">
      <c r="A1096">
        <f>IF(INVENTARIO!A1096="","",INVENTARIO!A1096)</f>
        <v/>
      </c>
      <c r="B1096">
        <f>IF(INVENTARIO!E1096="","",INVENTARIO!E1096)</f>
        <v/>
      </c>
      <c r="C1096">
        <f>IF(INVENTARIO!F1096="","",INVENTARIO!F1096)</f>
        <v/>
      </c>
      <c r="D1096">
        <f>IF(INVENTARIO!H1096="","",INVENTARIO!H1096)</f>
        <v/>
      </c>
      <c r="E1096">
        <f>IF(INVENTARIO!I1096="","",INVENTARIO!I1096)</f>
        <v/>
      </c>
      <c r="F1096">
        <f>IF(INVENTARIO!N1096="","",INVENTARIO!N1096)</f>
        <v/>
      </c>
      <c r="G1096">
        <f>IF(INVENTARIO!P1096="","",INVENTARIO!P1096)</f>
        <v/>
      </c>
      <c r="H1096">
        <f>IF(INVENTARIO!Q1096="","",INVENTARIO!Q1096)</f>
        <v/>
      </c>
      <c r="I1096">
        <f>IF(INVENTARIO!R1096="","",INVENTARIO!R1096)</f>
        <v/>
      </c>
      <c r="J1096">
        <f>IF(G1096="PUBLICA(1)",1,IF(G1096="USO INTERNO(2)",2,IF(G1096="RESTRINGIDO(3)",3,0)))+IF(H1096="BAJA(1)",1,IF(H1096="MEDIA(2)",2,IF(H1096="ALTA(3)",3,0)))+IF(I1096="BAJA(1)",1,IF(I1096="MEDIA(2)",2,IF(I1096="ALTA(3)",3,0)))</f>
        <v/>
      </c>
      <c r="K1096">
        <f>IF(J1096="", "", IF(J1096&gt;=8,"ALTA",IF(J1096&gt;=6,"MEDIA","BAJA")))</f>
        <v/>
      </c>
      <c r="L1096">
        <f>IF(INVENTARIO!Y1096="","",INVENTARIO!Y1096)</f>
        <v/>
      </c>
      <c r="M1096">
        <f>IF(INVENTARIO!Z1096="","",INVENTARIO!Z1096)</f>
        <v/>
      </c>
      <c r="N1096">
        <f>IF(INVENTARIO!AA1096="","",INVENTARIO!AA1096)</f>
        <v/>
      </c>
      <c r="O1096">
        <f>IF(INVENTARIO!AB1096="","",INVENTARIO!AB1096)</f>
        <v/>
      </c>
      <c r="P1096">
        <f>IF(INVENTARIO!AC1096="","",INVENTARIO!AC1096)</f>
        <v/>
      </c>
      <c r="Q1096">
        <f>IF(AND(K1096="",N1096="",L1096=""),"",IF(AND((K1096="ALTA"),OR(LEFT(N1096,2)="L0",LEFT(N1096,2)="L1",L1096="No Iniciado")),"CRÍTICO - Incumplimiento Normativo SEPS",IF(AND(OR(LEFT(N1096,2)="L4",LEFT(N1096,2)="L5"),AND(P1096&lt;&gt;"",P1096&lt;&gt;"N/A")),"CONFORME - Control Efectivo ISO 27001","OBSERVACIÓN - Revisar Controles")))</f>
        <v/>
      </c>
    </row>
    <row r="1097">
      <c r="A1097">
        <f>IF(INVENTARIO!A1097="","",INVENTARIO!A1097)</f>
        <v/>
      </c>
      <c r="B1097">
        <f>IF(INVENTARIO!E1097="","",INVENTARIO!E1097)</f>
        <v/>
      </c>
      <c r="C1097">
        <f>IF(INVENTARIO!F1097="","",INVENTARIO!F1097)</f>
        <v/>
      </c>
      <c r="D1097">
        <f>IF(INVENTARIO!H1097="","",INVENTARIO!H1097)</f>
        <v/>
      </c>
      <c r="E1097">
        <f>IF(INVENTARIO!I1097="","",INVENTARIO!I1097)</f>
        <v/>
      </c>
      <c r="F1097">
        <f>IF(INVENTARIO!N1097="","",INVENTARIO!N1097)</f>
        <v/>
      </c>
      <c r="G1097">
        <f>IF(INVENTARIO!P1097="","",INVENTARIO!P1097)</f>
        <v/>
      </c>
      <c r="H1097">
        <f>IF(INVENTARIO!Q1097="","",INVENTARIO!Q1097)</f>
        <v/>
      </c>
      <c r="I1097">
        <f>IF(INVENTARIO!R1097="","",INVENTARIO!R1097)</f>
        <v/>
      </c>
      <c r="J1097">
        <f>IF(G1097="PUBLICA(1)",1,IF(G1097="USO INTERNO(2)",2,IF(G1097="RESTRINGIDO(3)",3,0)))+IF(H1097="BAJA(1)",1,IF(H1097="MEDIA(2)",2,IF(H1097="ALTA(3)",3,0)))+IF(I1097="BAJA(1)",1,IF(I1097="MEDIA(2)",2,IF(I1097="ALTA(3)",3,0)))</f>
        <v/>
      </c>
      <c r="K1097">
        <f>IF(J1097="", "", IF(J1097&gt;=8,"ALTA",IF(J1097&gt;=6,"MEDIA","BAJA")))</f>
        <v/>
      </c>
      <c r="L1097">
        <f>IF(INVENTARIO!Y1097="","",INVENTARIO!Y1097)</f>
        <v/>
      </c>
      <c r="M1097">
        <f>IF(INVENTARIO!Z1097="","",INVENTARIO!Z1097)</f>
        <v/>
      </c>
      <c r="N1097">
        <f>IF(INVENTARIO!AA1097="","",INVENTARIO!AA1097)</f>
        <v/>
      </c>
      <c r="O1097">
        <f>IF(INVENTARIO!AB1097="","",INVENTARIO!AB1097)</f>
        <v/>
      </c>
      <c r="P1097">
        <f>IF(INVENTARIO!AC1097="","",INVENTARIO!AC1097)</f>
        <v/>
      </c>
      <c r="Q1097">
        <f>IF(AND(K1097="",N1097="",L1097=""),"",IF(AND((K1097="ALTA"),OR(LEFT(N1097,2)="L0",LEFT(N1097,2)="L1",L1097="No Iniciado")),"CRÍTICO - Incumplimiento Normativo SEPS",IF(AND(OR(LEFT(N1097,2)="L4",LEFT(N1097,2)="L5"),AND(P1097&lt;&gt;"",P1097&lt;&gt;"N/A")),"CONFORME - Control Efectivo ISO 27001","OBSERVACIÓN - Revisar Controles")))</f>
        <v/>
      </c>
    </row>
    <row r="1098">
      <c r="A1098">
        <f>IF(INVENTARIO!A1098="","",INVENTARIO!A1098)</f>
        <v/>
      </c>
      <c r="B1098">
        <f>IF(INVENTARIO!E1098="","",INVENTARIO!E1098)</f>
        <v/>
      </c>
      <c r="C1098">
        <f>IF(INVENTARIO!F1098="","",INVENTARIO!F1098)</f>
        <v/>
      </c>
      <c r="D1098">
        <f>IF(INVENTARIO!H1098="","",INVENTARIO!H1098)</f>
        <v/>
      </c>
      <c r="E1098">
        <f>IF(INVENTARIO!I1098="","",INVENTARIO!I1098)</f>
        <v/>
      </c>
      <c r="F1098">
        <f>IF(INVENTARIO!N1098="","",INVENTARIO!N1098)</f>
        <v/>
      </c>
      <c r="G1098">
        <f>IF(INVENTARIO!P1098="","",INVENTARIO!P1098)</f>
        <v/>
      </c>
      <c r="H1098">
        <f>IF(INVENTARIO!Q1098="","",INVENTARIO!Q1098)</f>
        <v/>
      </c>
      <c r="I1098">
        <f>IF(INVENTARIO!R1098="","",INVENTARIO!R1098)</f>
        <v/>
      </c>
      <c r="J1098">
        <f>IF(G1098="PUBLICA(1)",1,IF(G1098="USO INTERNO(2)",2,IF(G1098="RESTRINGIDO(3)",3,0)))+IF(H1098="BAJA(1)",1,IF(H1098="MEDIA(2)",2,IF(H1098="ALTA(3)",3,0)))+IF(I1098="BAJA(1)",1,IF(I1098="MEDIA(2)",2,IF(I1098="ALTA(3)",3,0)))</f>
        <v/>
      </c>
      <c r="K1098">
        <f>IF(J1098="", "", IF(J1098&gt;=8,"ALTA",IF(J1098&gt;=6,"MEDIA","BAJA")))</f>
        <v/>
      </c>
      <c r="L1098">
        <f>IF(INVENTARIO!Y1098="","",INVENTARIO!Y1098)</f>
        <v/>
      </c>
      <c r="M1098">
        <f>IF(INVENTARIO!Z1098="","",INVENTARIO!Z1098)</f>
        <v/>
      </c>
      <c r="N1098">
        <f>IF(INVENTARIO!AA1098="","",INVENTARIO!AA1098)</f>
        <v/>
      </c>
      <c r="O1098">
        <f>IF(INVENTARIO!AB1098="","",INVENTARIO!AB1098)</f>
        <v/>
      </c>
      <c r="P1098">
        <f>IF(INVENTARIO!AC1098="","",INVENTARIO!AC1098)</f>
        <v/>
      </c>
      <c r="Q1098">
        <f>IF(AND(K1098="",N1098="",L1098=""),"",IF(AND((K1098="ALTA"),OR(LEFT(N1098,2)="L0",LEFT(N1098,2)="L1",L1098="No Iniciado")),"CRÍTICO - Incumplimiento Normativo SEPS",IF(AND(OR(LEFT(N1098,2)="L4",LEFT(N1098,2)="L5"),AND(P1098&lt;&gt;"",P1098&lt;&gt;"N/A")),"CONFORME - Control Efectivo ISO 27001","OBSERVACIÓN - Revisar Controles")))</f>
        <v/>
      </c>
    </row>
    <row r="1099">
      <c r="A1099">
        <f>IF(INVENTARIO!A1099="","",INVENTARIO!A1099)</f>
        <v/>
      </c>
      <c r="B1099">
        <f>IF(INVENTARIO!E1099="","",INVENTARIO!E1099)</f>
        <v/>
      </c>
      <c r="C1099">
        <f>IF(INVENTARIO!F1099="","",INVENTARIO!F1099)</f>
        <v/>
      </c>
      <c r="D1099">
        <f>IF(INVENTARIO!H1099="","",INVENTARIO!H1099)</f>
        <v/>
      </c>
      <c r="E1099">
        <f>IF(INVENTARIO!I1099="","",INVENTARIO!I1099)</f>
        <v/>
      </c>
      <c r="F1099">
        <f>IF(INVENTARIO!N1099="","",INVENTARIO!N1099)</f>
        <v/>
      </c>
      <c r="G1099">
        <f>IF(INVENTARIO!P1099="","",INVENTARIO!P1099)</f>
        <v/>
      </c>
      <c r="H1099">
        <f>IF(INVENTARIO!Q1099="","",INVENTARIO!Q1099)</f>
        <v/>
      </c>
      <c r="I1099">
        <f>IF(INVENTARIO!R1099="","",INVENTARIO!R1099)</f>
        <v/>
      </c>
      <c r="J1099">
        <f>IF(G1099="PUBLICA(1)",1,IF(G1099="USO INTERNO(2)",2,IF(G1099="RESTRINGIDO(3)",3,0)))+IF(H1099="BAJA(1)",1,IF(H1099="MEDIA(2)",2,IF(H1099="ALTA(3)",3,0)))+IF(I1099="BAJA(1)",1,IF(I1099="MEDIA(2)",2,IF(I1099="ALTA(3)",3,0)))</f>
        <v/>
      </c>
      <c r="K1099">
        <f>IF(J1099="", "", IF(J1099&gt;=8,"ALTA",IF(J1099&gt;=6,"MEDIA","BAJA")))</f>
        <v/>
      </c>
      <c r="L1099">
        <f>IF(INVENTARIO!Y1099="","",INVENTARIO!Y1099)</f>
        <v/>
      </c>
      <c r="M1099">
        <f>IF(INVENTARIO!Z1099="","",INVENTARIO!Z1099)</f>
        <v/>
      </c>
      <c r="N1099">
        <f>IF(INVENTARIO!AA1099="","",INVENTARIO!AA1099)</f>
        <v/>
      </c>
      <c r="O1099">
        <f>IF(INVENTARIO!AB1099="","",INVENTARIO!AB1099)</f>
        <v/>
      </c>
      <c r="P1099">
        <f>IF(INVENTARIO!AC1099="","",INVENTARIO!AC1099)</f>
        <v/>
      </c>
      <c r="Q1099">
        <f>IF(AND(K1099="",N1099="",L1099=""),"",IF(AND((K1099="ALTA"),OR(LEFT(N1099,2)="L0",LEFT(N1099,2)="L1",L1099="No Iniciado")),"CRÍTICO - Incumplimiento Normativo SEPS",IF(AND(OR(LEFT(N1099,2)="L4",LEFT(N1099,2)="L5"),AND(P1099&lt;&gt;"",P1099&lt;&gt;"N/A")),"CONFORME - Control Efectivo ISO 27001","OBSERVACIÓN - Revisar Controles")))</f>
        <v/>
      </c>
    </row>
    <row r="1100">
      <c r="A1100">
        <f>IF(INVENTARIO!A1100="","",INVENTARIO!A1100)</f>
        <v/>
      </c>
      <c r="B1100">
        <f>IF(INVENTARIO!E1100="","",INVENTARIO!E1100)</f>
        <v/>
      </c>
      <c r="C1100">
        <f>IF(INVENTARIO!F1100="","",INVENTARIO!F1100)</f>
        <v/>
      </c>
      <c r="D1100">
        <f>IF(INVENTARIO!H1100="","",INVENTARIO!H1100)</f>
        <v/>
      </c>
      <c r="E1100">
        <f>IF(INVENTARIO!I1100="","",INVENTARIO!I1100)</f>
        <v/>
      </c>
      <c r="F1100">
        <f>IF(INVENTARIO!N1100="","",INVENTARIO!N1100)</f>
        <v/>
      </c>
      <c r="G1100">
        <f>IF(INVENTARIO!P1100="","",INVENTARIO!P1100)</f>
        <v/>
      </c>
      <c r="H1100">
        <f>IF(INVENTARIO!Q1100="","",INVENTARIO!Q1100)</f>
        <v/>
      </c>
      <c r="I1100">
        <f>IF(INVENTARIO!R1100="","",INVENTARIO!R1100)</f>
        <v/>
      </c>
      <c r="J1100">
        <f>IF(G1100="PUBLICA(1)",1,IF(G1100="USO INTERNO(2)",2,IF(G1100="RESTRINGIDO(3)",3,0)))+IF(H1100="BAJA(1)",1,IF(H1100="MEDIA(2)",2,IF(H1100="ALTA(3)",3,0)))+IF(I1100="BAJA(1)",1,IF(I1100="MEDIA(2)",2,IF(I1100="ALTA(3)",3,0)))</f>
        <v/>
      </c>
      <c r="K1100">
        <f>IF(J1100="", "", IF(J1100&gt;=8,"ALTA",IF(J1100&gt;=6,"MEDIA","BAJA")))</f>
        <v/>
      </c>
      <c r="L1100">
        <f>IF(INVENTARIO!Y1100="","",INVENTARIO!Y1100)</f>
        <v/>
      </c>
      <c r="M1100">
        <f>IF(INVENTARIO!Z1100="","",INVENTARIO!Z1100)</f>
        <v/>
      </c>
      <c r="N1100">
        <f>IF(INVENTARIO!AA1100="","",INVENTARIO!AA1100)</f>
        <v/>
      </c>
      <c r="O1100">
        <f>IF(INVENTARIO!AB1100="","",INVENTARIO!AB1100)</f>
        <v/>
      </c>
      <c r="P1100">
        <f>IF(INVENTARIO!AC1100="","",INVENTARIO!AC1100)</f>
        <v/>
      </c>
      <c r="Q1100">
        <f>IF(AND(K1100="",N1100="",L1100=""),"",IF(AND((K1100="ALTA"),OR(LEFT(N1100,2)="L0",LEFT(N1100,2)="L1",L1100="No Iniciado")),"CRÍTICO - Incumplimiento Normativo SEPS",IF(AND(OR(LEFT(N1100,2)="L4",LEFT(N1100,2)="L5"),AND(P1100&lt;&gt;"",P1100&lt;&gt;"N/A")),"CONFORME - Control Efectivo ISO 27001","OBSERVACIÓN - Revisar Controles")))</f>
        <v/>
      </c>
    </row>
    <row r="1101">
      <c r="A1101">
        <f>IF(INVENTARIO!A1101="","",INVENTARIO!A1101)</f>
        <v/>
      </c>
      <c r="B1101">
        <f>IF(INVENTARIO!E1101="","",INVENTARIO!E1101)</f>
        <v/>
      </c>
      <c r="C1101">
        <f>IF(INVENTARIO!F1101="","",INVENTARIO!F1101)</f>
        <v/>
      </c>
      <c r="D1101">
        <f>IF(INVENTARIO!H1101="","",INVENTARIO!H1101)</f>
        <v/>
      </c>
      <c r="E1101">
        <f>IF(INVENTARIO!I1101="","",INVENTARIO!I1101)</f>
        <v/>
      </c>
      <c r="F1101">
        <f>IF(INVENTARIO!N1101="","",INVENTARIO!N1101)</f>
        <v/>
      </c>
      <c r="G1101">
        <f>IF(INVENTARIO!P1101="","",INVENTARIO!P1101)</f>
        <v/>
      </c>
      <c r="H1101">
        <f>IF(INVENTARIO!Q1101="","",INVENTARIO!Q1101)</f>
        <v/>
      </c>
      <c r="I1101">
        <f>IF(INVENTARIO!R1101="","",INVENTARIO!R1101)</f>
        <v/>
      </c>
      <c r="J1101">
        <f>IF(G1101="PUBLICA(1)",1,IF(G1101="USO INTERNO(2)",2,IF(G1101="RESTRINGIDO(3)",3,0)))+IF(H1101="BAJA(1)",1,IF(H1101="MEDIA(2)",2,IF(H1101="ALTA(3)",3,0)))+IF(I1101="BAJA(1)",1,IF(I1101="MEDIA(2)",2,IF(I1101="ALTA(3)",3,0)))</f>
        <v/>
      </c>
      <c r="K1101">
        <f>IF(J1101="", "", IF(J1101&gt;=8,"ALTA",IF(J1101&gt;=6,"MEDIA","BAJA")))</f>
        <v/>
      </c>
      <c r="L1101">
        <f>IF(INVENTARIO!Y1101="","",INVENTARIO!Y1101)</f>
        <v/>
      </c>
      <c r="M1101">
        <f>IF(INVENTARIO!Z1101="","",INVENTARIO!Z1101)</f>
        <v/>
      </c>
      <c r="N1101">
        <f>IF(INVENTARIO!AA1101="","",INVENTARIO!AA1101)</f>
        <v/>
      </c>
      <c r="O1101">
        <f>IF(INVENTARIO!AB1101="","",INVENTARIO!AB1101)</f>
        <v/>
      </c>
      <c r="P1101">
        <f>IF(INVENTARIO!AC1101="","",INVENTARIO!AC1101)</f>
        <v/>
      </c>
      <c r="Q1101">
        <f>IF(AND(K1101="",N1101="",L1101=""),"",IF(AND((K1101="ALTA"),OR(LEFT(N1101,2)="L0",LEFT(N1101,2)="L1",L1101="No Iniciado")),"CRÍTICO - Incumplimiento Normativo SEPS",IF(AND(OR(LEFT(N1101,2)="L4",LEFT(N1101,2)="L5"),AND(P1101&lt;&gt;"",P1101&lt;&gt;"N/A")),"CONFORME - Control Efectivo ISO 27001","OBSERVACIÓN - Revisar Controles")))</f>
        <v/>
      </c>
    </row>
    <row r="1102">
      <c r="A1102">
        <f>IF(INVENTARIO!A1102="","",INVENTARIO!A1102)</f>
        <v/>
      </c>
      <c r="B1102">
        <f>IF(INVENTARIO!E1102="","",INVENTARIO!E1102)</f>
        <v/>
      </c>
      <c r="C1102">
        <f>IF(INVENTARIO!F1102="","",INVENTARIO!F1102)</f>
        <v/>
      </c>
      <c r="D1102">
        <f>IF(INVENTARIO!H1102="","",INVENTARIO!H1102)</f>
        <v/>
      </c>
      <c r="E1102">
        <f>IF(INVENTARIO!I1102="","",INVENTARIO!I1102)</f>
        <v/>
      </c>
      <c r="F1102">
        <f>IF(INVENTARIO!N1102="","",INVENTARIO!N1102)</f>
        <v/>
      </c>
      <c r="G1102">
        <f>IF(INVENTARIO!P1102="","",INVENTARIO!P1102)</f>
        <v/>
      </c>
      <c r="H1102">
        <f>IF(INVENTARIO!Q1102="","",INVENTARIO!Q1102)</f>
        <v/>
      </c>
      <c r="I1102">
        <f>IF(INVENTARIO!R1102="","",INVENTARIO!R1102)</f>
        <v/>
      </c>
      <c r="J1102">
        <f>IF(G1102="PUBLICA(1)",1,IF(G1102="USO INTERNO(2)",2,IF(G1102="RESTRINGIDO(3)",3,0)))+IF(H1102="BAJA(1)",1,IF(H1102="MEDIA(2)",2,IF(H1102="ALTA(3)",3,0)))+IF(I1102="BAJA(1)",1,IF(I1102="MEDIA(2)",2,IF(I1102="ALTA(3)",3,0)))</f>
        <v/>
      </c>
      <c r="K1102">
        <f>IF(J1102="", "", IF(J1102&gt;=8,"ALTA",IF(J1102&gt;=6,"MEDIA","BAJA")))</f>
        <v/>
      </c>
      <c r="L1102">
        <f>IF(INVENTARIO!Y1102="","",INVENTARIO!Y1102)</f>
        <v/>
      </c>
      <c r="M1102">
        <f>IF(INVENTARIO!Z1102="","",INVENTARIO!Z1102)</f>
        <v/>
      </c>
      <c r="N1102">
        <f>IF(INVENTARIO!AA1102="","",INVENTARIO!AA1102)</f>
        <v/>
      </c>
      <c r="O1102">
        <f>IF(INVENTARIO!AB1102="","",INVENTARIO!AB1102)</f>
        <v/>
      </c>
      <c r="P1102">
        <f>IF(INVENTARIO!AC1102="","",INVENTARIO!AC1102)</f>
        <v/>
      </c>
      <c r="Q1102">
        <f>IF(AND(K1102="",N1102="",L1102=""),"",IF(AND((K1102="ALTA"),OR(LEFT(N1102,2)="L0",LEFT(N1102,2)="L1",L1102="No Iniciado")),"CRÍTICO - Incumplimiento Normativo SEPS",IF(AND(OR(LEFT(N1102,2)="L4",LEFT(N1102,2)="L5"),AND(P1102&lt;&gt;"",P1102&lt;&gt;"N/A")),"CONFORME - Control Efectivo ISO 27001","OBSERVACIÓN - Revisar Controles")))</f>
        <v/>
      </c>
    </row>
    <row r="1103">
      <c r="A1103">
        <f>IF(INVENTARIO!A1103="","",INVENTARIO!A1103)</f>
        <v/>
      </c>
      <c r="B1103">
        <f>IF(INVENTARIO!E1103="","",INVENTARIO!E1103)</f>
        <v/>
      </c>
      <c r="C1103">
        <f>IF(INVENTARIO!F1103="","",INVENTARIO!F1103)</f>
        <v/>
      </c>
      <c r="D1103">
        <f>IF(INVENTARIO!H1103="","",INVENTARIO!H1103)</f>
        <v/>
      </c>
      <c r="E1103">
        <f>IF(INVENTARIO!I1103="","",INVENTARIO!I1103)</f>
        <v/>
      </c>
      <c r="F1103">
        <f>IF(INVENTARIO!N1103="","",INVENTARIO!N1103)</f>
        <v/>
      </c>
      <c r="G1103">
        <f>IF(INVENTARIO!P1103="","",INVENTARIO!P1103)</f>
        <v/>
      </c>
      <c r="H1103">
        <f>IF(INVENTARIO!Q1103="","",INVENTARIO!Q1103)</f>
        <v/>
      </c>
      <c r="I1103">
        <f>IF(INVENTARIO!R1103="","",INVENTARIO!R1103)</f>
        <v/>
      </c>
      <c r="J1103">
        <f>IF(G1103="PUBLICA(1)",1,IF(G1103="USO INTERNO(2)",2,IF(G1103="RESTRINGIDO(3)",3,0)))+IF(H1103="BAJA(1)",1,IF(H1103="MEDIA(2)",2,IF(H1103="ALTA(3)",3,0)))+IF(I1103="BAJA(1)",1,IF(I1103="MEDIA(2)",2,IF(I1103="ALTA(3)",3,0)))</f>
        <v/>
      </c>
      <c r="K1103">
        <f>IF(J1103="", "", IF(J1103&gt;=8,"ALTA",IF(J1103&gt;=6,"MEDIA","BAJA")))</f>
        <v/>
      </c>
      <c r="L1103">
        <f>IF(INVENTARIO!Y1103="","",INVENTARIO!Y1103)</f>
        <v/>
      </c>
      <c r="M1103">
        <f>IF(INVENTARIO!Z1103="","",INVENTARIO!Z1103)</f>
        <v/>
      </c>
      <c r="N1103">
        <f>IF(INVENTARIO!AA1103="","",INVENTARIO!AA1103)</f>
        <v/>
      </c>
      <c r="O1103">
        <f>IF(INVENTARIO!AB1103="","",INVENTARIO!AB1103)</f>
        <v/>
      </c>
      <c r="P1103">
        <f>IF(INVENTARIO!AC1103="","",INVENTARIO!AC1103)</f>
        <v/>
      </c>
      <c r="Q1103">
        <f>IF(AND(K1103="",N1103="",L1103=""),"",IF(AND((K1103="ALTA"),OR(LEFT(N1103,2)="L0",LEFT(N1103,2)="L1",L1103="No Iniciado")),"CRÍTICO - Incumplimiento Normativo SEPS",IF(AND(OR(LEFT(N1103,2)="L4",LEFT(N1103,2)="L5"),AND(P1103&lt;&gt;"",P1103&lt;&gt;"N/A")),"CONFORME - Control Efectivo ISO 27001","OBSERVACIÓN - Revisar Controles")))</f>
        <v/>
      </c>
    </row>
    <row r="1104">
      <c r="A1104">
        <f>IF(INVENTARIO!A1104="","",INVENTARIO!A1104)</f>
        <v/>
      </c>
      <c r="B1104">
        <f>IF(INVENTARIO!E1104="","",INVENTARIO!E1104)</f>
        <v/>
      </c>
      <c r="C1104">
        <f>IF(INVENTARIO!F1104="","",INVENTARIO!F1104)</f>
        <v/>
      </c>
      <c r="D1104">
        <f>IF(INVENTARIO!H1104="","",INVENTARIO!H1104)</f>
        <v/>
      </c>
      <c r="E1104">
        <f>IF(INVENTARIO!I1104="","",INVENTARIO!I1104)</f>
        <v/>
      </c>
      <c r="F1104">
        <f>IF(INVENTARIO!N1104="","",INVENTARIO!N1104)</f>
        <v/>
      </c>
      <c r="G1104">
        <f>IF(INVENTARIO!P1104="","",INVENTARIO!P1104)</f>
        <v/>
      </c>
      <c r="H1104">
        <f>IF(INVENTARIO!Q1104="","",INVENTARIO!Q1104)</f>
        <v/>
      </c>
      <c r="I1104">
        <f>IF(INVENTARIO!R1104="","",INVENTARIO!R1104)</f>
        <v/>
      </c>
      <c r="J1104">
        <f>IF(G1104="PUBLICA(1)",1,IF(G1104="USO INTERNO(2)",2,IF(G1104="RESTRINGIDO(3)",3,0)))+IF(H1104="BAJA(1)",1,IF(H1104="MEDIA(2)",2,IF(H1104="ALTA(3)",3,0)))+IF(I1104="BAJA(1)",1,IF(I1104="MEDIA(2)",2,IF(I1104="ALTA(3)",3,0)))</f>
        <v/>
      </c>
      <c r="K1104">
        <f>IF(J1104="", "", IF(J1104&gt;=8,"ALTA",IF(J1104&gt;=6,"MEDIA","BAJA")))</f>
        <v/>
      </c>
      <c r="L1104">
        <f>IF(INVENTARIO!Y1104="","",INVENTARIO!Y1104)</f>
        <v/>
      </c>
      <c r="M1104">
        <f>IF(INVENTARIO!Z1104="","",INVENTARIO!Z1104)</f>
        <v/>
      </c>
      <c r="N1104">
        <f>IF(INVENTARIO!AA1104="","",INVENTARIO!AA1104)</f>
        <v/>
      </c>
      <c r="O1104">
        <f>IF(INVENTARIO!AB1104="","",INVENTARIO!AB1104)</f>
        <v/>
      </c>
      <c r="P1104">
        <f>IF(INVENTARIO!AC1104="","",INVENTARIO!AC1104)</f>
        <v/>
      </c>
      <c r="Q1104">
        <f>IF(AND(K1104="",N1104="",L1104=""),"",IF(AND((K1104="ALTA"),OR(LEFT(N1104,2)="L0",LEFT(N1104,2)="L1",L1104="No Iniciado")),"CRÍTICO - Incumplimiento Normativo SEPS",IF(AND(OR(LEFT(N1104,2)="L4",LEFT(N1104,2)="L5"),AND(P1104&lt;&gt;"",P1104&lt;&gt;"N/A")),"CONFORME - Control Efectivo ISO 27001","OBSERVACIÓN - Revisar Controles")))</f>
        <v/>
      </c>
    </row>
    <row r="1105">
      <c r="A1105">
        <f>IF(INVENTARIO!A1105="","",INVENTARIO!A1105)</f>
        <v/>
      </c>
      <c r="B1105">
        <f>IF(INVENTARIO!E1105="","",INVENTARIO!E1105)</f>
        <v/>
      </c>
      <c r="C1105">
        <f>IF(INVENTARIO!F1105="","",INVENTARIO!F1105)</f>
        <v/>
      </c>
      <c r="D1105">
        <f>IF(INVENTARIO!H1105="","",INVENTARIO!H1105)</f>
        <v/>
      </c>
      <c r="E1105">
        <f>IF(INVENTARIO!I1105="","",INVENTARIO!I1105)</f>
        <v/>
      </c>
      <c r="F1105">
        <f>IF(INVENTARIO!N1105="","",INVENTARIO!N1105)</f>
        <v/>
      </c>
      <c r="G1105">
        <f>IF(INVENTARIO!P1105="","",INVENTARIO!P1105)</f>
        <v/>
      </c>
      <c r="H1105">
        <f>IF(INVENTARIO!Q1105="","",INVENTARIO!Q1105)</f>
        <v/>
      </c>
      <c r="I1105">
        <f>IF(INVENTARIO!R1105="","",INVENTARIO!R1105)</f>
        <v/>
      </c>
      <c r="J1105">
        <f>IF(G1105="PUBLICA(1)",1,IF(G1105="USO INTERNO(2)",2,IF(G1105="RESTRINGIDO(3)",3,0)))+IF(H1105="BAJA(1)",1,IF(H1105="MEDIA(2)",2,IF(H1105="ALTA(3)",3,0)))+IF(I1105="BAJA(1)",1,IF(I1105="MEDIA(2)",2,IF(I1105="ALTA(3)",3,0)))</f>
        <v/>
      </c>
      <c r="K1105">
        <f>IF(J1105="", "", IF(J1105&gt;=8,"ALTA",IF(J1105&gt;=6,"MEDIA","BAJA")))</f>
        <v/>
      </c>
      <c r="L1105">
        <f>IF(INVENTARIO!Y1105="","",INVENTARIO!Y1105)</f>
        <v/>
      </c>
      <c r="M1105">
        <f>IF(INVENTARIO!Z1105="","",INVENTARIO!Z1105)</f>
        <v/>
      </c>
      <c r="N1105">
        <f>IF(INVENTARIO!AA1105="","",INVENTARIO!AA1105)</f>
        <v/>
      </c>
      <c r="O1105">
        <f>IF(INVENTARIO!AB1105="","",INVENTARIO!AB1105)</f>
        <v/>
      </c>
      <c r="P1105">
        <f>IF(INVENTARIO!AC1105="","",INVENTARIO!AC1105)</f>
        <v/>
      </c>
      <c r="Q1105">
        <f>IF(AND(K1105="",N1105="",L1105=""),"",IF(AND((K1105="ALTA"),OR(LEFT(N1105,2)="L0",LEFT(N1105,2)="L1",L1105="No Iniciado")),"CRÍTICO - Incumplimiento Normativo SEPS",IF(AND(OR(LEFT(N1105,2)="L4",LEFT(N1105,2)="L5"),AND(P1105&lt;&gt;"",P1105&lt;&gt;"N/A")),"CONFORME - Control Efectivo ISO 27001","OBSERVACIÓN - Revisar Controles")))</f>
        <v/>
      </c>
    </row>
    <row r="1106">
      <c r="A1106">
        <f>IF(INVENTARIO!A1106="","",INVENTARIO!A1106)</f>
        <v/>
      </c>
      <c r="B1106">
        <f>IF(INVENTARIO!E1106="","",INVENTARIO!E1106)</f>
        <v/>
      </c>
      <c r="C1106">
        <f>IF(INVENTARIO!F1106="","",INVENTARIO!F1106)</f>
        <v/>
      </c>
      <c r="D1106">
        <f>IF(INVENTARIO!H1106="","",INVENTARIO!H1106)</f>
        <v/>
      </c>
      <c r="E1106">
        <f>IF(INVENTARIO!I1106="","",INVENTARIO!I1106)</f>
        <v/>
      </c>
      <c r="F1106">
        <f>IF(INVENTARIO!N1106="","",INVENTARIO!N1106)</f>
        <v/>
      </c>
      <c r="G1106">
        <f>IF(INVENTARIO!P1106="","",INVENTARIO!P1106)</f>
        <v/>
      </c>
      <c r="H1106">
        <f>IF(INVENTARIO!Q1106="","",INVENTARIO!Q1106)</f>
        <v/>
      </c>
      <c r="I1106">
        <f>IF(INVENTARIO!R1106="","",INVENTARIO!R1106)</f>
        <v/>
      </c>
      <c r="J1106">
        <f>IF(G1106="PUBLICA(1)",1,IF(G1106="USO INTERNO(2)",2,IF(G1106="RESTRINGIDO(3)",3,0)))+IF(H1106="BAJA(1)",1,IF(H1106="MEDIA(2)",2,IF(H1106="ALTA(3)",3,0)))+IF(I1106="BAJA(1)",1,IF(I1106="MEDIA(2)",2,IF(I1106="ALTA(3)",3,0)))</f>
        <v/>
      </c>
      <c r="K1106">
        <f>IF(J1106="", "", IF(J1106&gt;=8,"ALTA",IF(J1106&gt;=6,"MEDIA","BAJA")))</f>
        <v/>
      </c>
      <c r="L1106">
        <f>IF(INVENTARIO!Y1106="","",INVENTARIO!Y1106)</f>
        <v/>
      </c>
      <c r="M1106">
        <f>IF(INVENTARIO!Z1106="","",INVENTARIO!Z1106)</f>
        <v/>
      </c>
      <c r="N1106">
        <f>IF(INVENTARIO!AA1106="","",INVENTARIO!AA1106)</f>
        <v/>
      </c>
      <c r="O1106">
        <f>IF(INVENTARIO!AB1106="","",INVENTARIO!AB1106)</f>
        <v/>
      </c>
      <c r="P1106">
        <f>IF(INVENTARIO!AC1106="","",INVENTARIO!AC1106)</f>
        <v/>
      </c>
      <c r="Q1106">
        <f>IF(AND(K1106="",N1106="",L1106=""),"",IF(AND((K1106="ALTA"),OR(LEFT(N1106,2)="L0",LEFT(N1106,2)="L1",L1106="No Iniciado")),"CRÍTICO - Incumplimiento Normativo SEPS",IF(AND(OR(LEFT(N1106,2)="L4",LEFT(N1106,2)="L5"),AND(P1106&lt;&gt;"",P1106&lt;&gt;"N/A")),"CONFORME - Control Efectivo ISO 27001","OBSERVACIÓN - Revisar Controles")))</f>
        <v/>
      </c>
    </row>
    <row r="1107">
      <c r="A1107">
        <f>IF(INVENTARIO!A1107="","",INVENTARIO!A1107)</f>
        <v/>
      </c>
      <c r="B1107">
        <f>IF(INVENTARIO!E1107="","",INVENTARIO!E1107)</f>
        <v/>
      </c>
      <c r="C1107">
        <f>IF(INVENTARIO!F1107="","",INVENTARIO!F1107)</f>
        <v/>
      </c>
      <c r="D1107">
        <f>IF(INVENTARIO!H1107="","",INVENTARIO!H1107)</f>
        <v/>
      </c>
      <c r="E1107">
        <f>IF(INVENTARIO!I1107="","",INVENTARIO!I1107)</f>
        <v/>
      </c>
      <c r="F1107">
        <f>IF(INVENTARIO!N1107="","",INVENTARIO!N1107)</f>
        <v/>
      </c>
      <c r="G1107">
        <f>IF(INVENTARIO!P1107="","",INVENTARIO!P1107)</f>
        <v/>
      </c>
      <c r="H1107">
        <f>IF(INVENTARIO!Q1107="","",INVENTARIO!Q1107)</f>
        <v/>
      </c>
      <c r="I1107">
        <f>IF(INVENTARIO!R1107="","",INVENTARIO!R1107)</f>
        <v/>
      </c>
      <c r="J1107">
        <f>IF(G1107="PUBLICA(1)",1,IF(G1107="USO INTERNO(2)",2,IF(G1107="RESTRINGIDO(3)",3,0)))+IF(H1107="BAJA(1)",1,IF(H1107="MEDIA(2)",2,IF(H1107="ALTA(3)",3,0)))+IF(I1107="BAJA(1)",1,IF(I1107="MEDIA(2)",2,IF(I1107="ALTA(3)",3,0)))</f>
        <v/>
      </c>
      <c r="K1107">
        <f>IF(J1107="", "", IF(J1107&gt;=8,"ALTA",IF(J1107&gt;=6,"MEDIA","BAJA")))</f>
        <v/>
      </c>
      <c r="L1107">
        <f>IF(INVENTARIO!Y1107="","",INVENTARIO!Y1107)</f>
        <v/>
      </c>
      <c r="M1107">
        <f>IF(INVENTARIO!Z1107="","",INVENTARIO!Z1107)</f>
        <v/>
      </c>
      <c r="N1107">
        <f>IF(INVENTARIO!AA1107="","",INVENTARIO!AA1107)</f>
        <v/>
      </c>
      <c r="O1107">
        <f>IF(INVENTARIO!AB1107="","",INVENTARIO!AB1107)</f>
        <v/>
      </c>
      <c r="P1107">
        <f>IF(INVENTARIO!AC1107="","",INVENTARIO!AC1107)</f>
        <v/>
      </c>
      <c r="Q1107">
        <f>IF(AND(K1107="",N1107="",L1107=""),"",IF(AND((K1107="ALTA"),OR(LEFT(N1107,2)="L0",LEFT(N1107,2)="L1",L1107="No Iniciado")),"CRÍTICO - Incumplimiento Normativo SEPS",IF(AND(OR(LEFT(N1107,2)="L4",LEFT(N1107,2)="L5"),AND(P1107&lt;&gt;"",P1107&lt;&gt;"N/A")),"CONFORME - Control Efectivo ISO 27001","OBSERVACIÓN - Revisar Controles")))</f>
        <v/>
      </c>
    </row>
    <row r="1108">
      <c r="A1108">
        <f>IF(INVENTARIO!A1108="","",INVENTARIO!A1108)</f>
        <v/>
      </c>
      <c r="B1108">
        <f>IF(INVENTARIO!E1108="","",INVENTARIO!E1108)</f>
        <v/>
      </c>
      <c r="C1108">
        <f>IF(INVENTARIO!F1108="","",INVENTARIO!F1108)</f>
        <v/>
      </c>
      <c r="D1108">
        <f>IF(INVENTARIO!H1108="","",INVENTARIO!H1108)</f>
        <v/>
      </c>
      <c r="E1108">
        <f>IF(INVENTARIO!I1108="","",INVENTARIO!I1108)</f>
        <v/>
      </c>
      <c r="F1108">
        <f>IF(INVENTARIO!N1108="","",INVENTARIO!N1108)</f>
        <v/>
      </c>
      <c r="G1108">
        <f>IF(INVENTARIO!P1108="","",INVENTARIO!P1108)</f>
        <v/>
      </c>
      <c r="H1108">
        <f>IF(INVENTARIO!Q1108="","",INVENTARIO!Q1108)</f>
        <v/>
      </c>
      <c r="I1108">
        <f>IF(INVENTARIO!R1108="","",INVENTARIO!R1108)</f>
        <v/>
      </c>
      <c r="J1108">
        <f>IF(G1108="PUBLICA(1)",1,IF(G1108="USO INTERNO(2)",2,IF(G1108="RESTRINGIDO(3)",3,0)))+IF(H1108="BAJA(1)",1,IF(H1108="MEDIA(2)",2,IF(H1108="ALTA(3)",3,0)))+IF(I1108="BAJA(1)",1,IF(I1108="MEDIA(2)",2,IF(I1108="ALTA(3)",3,0)))</f>
        <v/>
      </c>
      <c r="K1108">
        <f>IF(J1108="", "", IF(J1108&gt;=8,"ALTA",IF(J1108&gt;=6,"MEDIA","BAJA")))</f>
        <v/>
      </c>
      <c r="L1108">
        <f>IF(INVENTARIO!Y1108="","",INVENTARIO!Y1108)</f>
        <v/>
      </c>
      <c r="M1108">
        <f>IF(INVENTARIO!Z1108="","",INVENTARIO!Z1108)</f>
        <v/>
      </c>
      <c r="N1108">
        <f>IF(INVENTARIO!AA1108="","",INVENTARIO!AA1108)</f>
        <v/>
      </c>
      <c r="O1108">
        <f>IF(INVENTARIO!AB1108="","",INVENTARIO!AB1108)</f>
        <v/>
      </c>
      <c r="P1108">
        <f>IF(INVENTARIO!AC1108="","",INVENTARIO!AC1108)</f>
        <v/>
      </c>
      <c r="Q1108">
        <f>IF(AND(K1108="",N1108="",L1108=""),"",IF(AND((K1108="ALTA"),OR(LEFT(N1108,2)="L0",LEFT(N1108,2)="L1",L1108="No Iniciado")),"CRÍTICO - Incumplimiento Normativo SEPS",IF(AND(OR(LEFT(N1108,2)="L4",LEFT(N1108,2)="L5"),AND(P1108&lt;&gt;"",P1108&lt;&gt;"N/A")),"CONFORME - Control Efectivo ISO 27001","OBSERVACIÓN - Revisar Controles")))</f>
        <v/>
      </c>
    </row>
    <row r="1109">
      <c r="A1109">
        <f>IF(INVENTARIO!A1109="","",INVENTARIO!A1109)</f>
        <v/>
      </c>
      <c r="B1109">
        <f>IF(INVENTARIO!E1109="","",INVENTARIO!E1109)</f>
        <v/>
      </c>
      <c r="C1109">
        <f>IF(INVENTARIO!F1109="","",INVENTARIO!F1109)</f>
        <v/>
      </c>
      <c r="D1109">
        <f>IF(INVENTARIO!H1109="","",INVENTARIO!H1109)</f>
        <v/>
      </c>
      <c r="E1109">
        <f>IF(INVENTARIO!I1109="","",INVENTARIO!I1109)</f>
        <v/>
      </c>
      <c r="F1109">
        <f>IF(INVENTARIO!N1109="","",INVENTARIO!N1109)</f>
        <v/>
      </c>
      <c r="G1109">
        <f>IF(INVENTARIO!P1109="","",INVENTARIO!P1109)</f>
        <v/>
      </c>
      <c r="H1109">
        <f>IF(INVENTARIO!Q1109="","",INVENTARIO!Q1109)</f>
        <v/>
      </c>
      <c r="I1109">
        <f>IF(INVENTARIO!R1109="","",INVENTARIO!R1109)</f>
        <v/>
      </c>
      <c r="J1109">
        <f>IF(G1109="PUBLICA(1)",1,IF(G1109="USO INTERNO(2)",2,IF(G1109="RESTRINGIDO(3)",3,0)))+IF(H1109="BAJA(1)",1,IF(H1109="MEDIA(2)",2,IF(H1109="ALTA(3)",3,0)))+IF(I1109="BAJA(1)",1,IF(I1109="MEDIA(2)",2,IF(I1109="ALTA(3)",3,0)))</f>
        <v/>
      </c>
      <c r="K1109">
        <f>IF(J1109="", "", IF(J1109&gt;=8,"ALTA",IF(J1109&gt;=6,"MEDIA","BAJA")))</f>
        <v/>
      </c>
      <c r="L1109">
        <f>IF(INVENTARIO!Y1109="","",INVENTARIO!Y1109)</f>
        <v/>
      </c>
      <c r="M1109">
        <f>IF(INVENTARIO!Z1109="","",INVENTARIO!Z1109)</f>
        <v/>
      </c>
      <c r="N1109">
        <f>IF(INVENTARIO!AA1109="","",INVENTARIO!AA1109)</f>
        <v/>
      </c>
      <c r="O1109">
        <f>IF(INVENTARIO!AB1109="","",INVENTARIO!AB1109)</f>
        <v/>
      </c>
      <c r="P1109">
        <f>IF(INVENTARIO!AC1109="","",INVENTARIO!AC1109)</f>
        <v/>
      </c>
      <c r="Q1109">
        <f>IF(AND(K1109="",N1109="",L1109=""),"",IF(AND((K1109="ALTA"),OR(LEFT(N1109,2)="L0",LEFT(N1109,2)="L1",L1109="No Iniciado")),"CRÍTICO - Incumplimiento Normativo SEPS",IF(AND(OR(LEFT(N1109,2)="L4",LEFT(N1109,2)="L5"),AND(P1109&lt;&gt;"",P1109&lt;&gt;"N/A")),"CONFORME - Control Efectivo ISO 27001","OBSERVACIÓN - Revisar Controles")))</f>
        <v/>
      </c>
    </row>
    <row r="1110">
      <c r="A1110">
        <f>IF(INVENTARIO!A1110="","",INVENTARIO!A1110)</f>
        <v/>
      </c>
      <c r="B1110">
        <f>IF(INVENTARIO!E1110="","",INVENTARIO!E1110)</f>
        <v/>
      </c>
      <c r="C1110">
        <f>IF(INVENTARIO!F1110="","",INVENTARIO!F1110)</f>
        <v/>
      </c>
      <c r="D1110">
        <f>IF(INVENTARIO!H1110="","",INVENTARIO!H1110)</f>
        <v/>
      </c>
      <c r="E1110">
        <f>IF(INVENTARIO!I1110="","",INVENTARIO!I1110)</f>
        <v/>
      </c>
      <c r="F1110">
        <f>IF(INVENTARIO!N1110="","",INVENTARIO!N1110)</f>
        <v/>
      </c>
      <c r="G1110">
        <f>IF(INVENTARIO!P1110="","",INVENTARIO!P1110)</f>
        <v/>
      </c>
      <c r="H1110">
        <f>IF(INVENTARIO!Q1110="","",INVENTARIO!Q1110)</f>
        <v/>
      </c>
      <c r="I1110">
        <f>IF(INVENTARIO!R1110="","",INVENTARIO!R1110)</f>
        <v/>
      </c>
      <c r="J1110">
        <f>IF(G1110="PUBLICA(1)",1,IF(G1110="USO INTERNO(2)",2,IF(G1110="RESTRINGIDO(3)",3,0)))+IF(H1110="BAJA(1)",1,IF(H1110="MEDIA(2)",2,IF(H1110="ALTA(3)",3,0)))+IF(I1110="BAJA(1)",1,IF(I1110="MEDIA(2)",2,IF(I1110="ALTA(3)",3,0)))</f>
        <v/>
      </c>
      <c r="K1110">
        <f>IF(J1110="", "", IF(J1110&gt;=8,"ALTA",IF(J1110&gt;=6,"MEDIA","BAJA")))</f>
        <v/>
      </c>
      <c r="L1110">
        <f>IF(INVENTARIO!Y1110="","",INVENTARIO!Y1110)</f>
        <v/>
      </c>
      <c r="M1110">
        <f>IF(INVENTARIO!Z1110="","",INVENTARIO!Z1110)</f>
        <v/>
      </c>
      <c r="N1110">
        <f>IF(INVENTARIO!AA1110="","",INVENTARIO!AA1110)</f>
        <v/>
      </c>
      <c r="O1110">
        <f>IF(INVENTARIO!AB1110="","",INVENTARIO!AB1110)</f>
        <v/>
      </c>
      <c r="P1110">
        <f>IF(INVENTARIO!AC1110="","",INVENTARIO!AC1110)</f>
        <v/>
      </c>
      <c r="Q1110">
        <f>IF(AND(K1110="",N1110="",L1110=""),"",IF(AND((K1110="ALTA"),OR(LEFT(N1110,2)="L0",LEFT(N1110,2)="L1",L1110="No Iniciado")),"CRÍTICO - Incumplimiento Normativo SEPS",IF(AND(OR(LEFT(N1110,2)="L4",LEFT(N1110,2)="L5"),AND(P1110&lt;&gt;"",P1110&lt;&gt;"N/A")),"CONFORME - Control Efectivo ISO 27001","OBSERVACIÓN - Revisar Controles")))</f>
        <v/>
      </c>
    </row>
    <row r="1111">
      <c r="A1111">
        <f>IF(INVENTARIO!A1111="","",INVENTARIO!A1111)</f>
        <v/>
      </c>
      <c r="B1111">
        <f>IF(INVENTARIO!E1111="","",INVENTARIO!E1111)</f>
        <v/>
      </c>
      <c r="C1111">
        <f>IF(INVENTARIO!F1111="","",INVENTARIO!F1111)</f>
        <v/>
      </c>
      <c r="D1111">
        <f>IF(INVENTARIO!H1111="","",INVENTARIO!H1111)</f>
        <v/>
      </c>
      <c r="E1111">
        <f>IF(INVENTARIO!I1111="","",INVENTARIO!I1111)</f>
        <v/>
      </c>
      <c r="F1111">
        <f>IF(INVENTARIO!N1111="","",INVENTARIO!N1111)</f>
        <v/>
      </c>
      <c r="G1111">
        <f>IF(INVENTARIO!P1111="","",INVENTARIO!P1111)</f>
        <v/>
      </c>
      <c r="H1111">
        <f>IF(INVENTARIO!Q1111="","",INVENTARIO!Q1111)</f>
        <v/>
      </c>
      <c r="I1111">
        <f>IF(INVENTARIO!R1111="","",INVENTARIO!R1111)</f>
        <v/>
      </c>
      <c r="J1111">
        <f>IF(G1111="PUBLICA(1)",1,IF(G1111="USO INTERNO(2)",2,IF(G1111="RESTRINGIDO(3)",3,0)))+IF(H1111="BAJA(1)",1,IF(H1111="MEDIA(2)",2,IF(H1111="ALTA(3)",3,0)))+IF(I1111="BAJA(1)",1,IF(I1111="MEDIA(2)",2,IF(I1111="ALTA(3)",3,0)))</f>
        <v/>
      </c>
      <c r="K1111">
        <f>IF(J1111="", "", IF(J1111&gt;=8,"ALTA",IF(J1111&gt;=6,"MEDIA","BAJA")))</f>
        <v/>
      </c>
      <c r="L1111">
        <f>IF(INVENTARIO!Y1111="","",INVENTARIO!Y1111)</f>
        <v/>
      </c>
      <c r="M1111">
        <f>IF(INVENTARIO!Z1111="","",INVENTARIO!Z1111)</f>
        <v/>
      </c>
      <c r="N1111">
        <f>IF(INVENTARIO!AA1111="","",INVENTARIO!AA1111)</f>
        <v/>
      </c>
      <c r="O1111">
        <f>IF(INVENTARIO!AB1111="","",INVENTARIO!AB1111)</f>
        <v/>
      </c>
      <c r="P1111">
        <f>IF(INVENTARIO!AC1111="","",INVENTARIO!AC1111)</f>
        <v/>
      </c>
      <c r="Q1111">
        <f>IF(AND(K1111="",N1111="",L1111=""),"",IF(AND((K1111="ALTA"),OR(LEFT(N1111,2)="L0",LEFT(N1111,2)="L1",L1111="No Iniciado")),"CRÍTICO - Incumplimiento Normativo SEPS",IF(AND(OR(LEFT(N1111,2)="L4",LEFT(N1111,2)="L5"),AND(P1111&lt;&gt;"",P1111&lt;&gt;"N/A")),"CONFORME - Control Efectivo ISO 27001","OBSERVACIÓN - Revisar Controles")))</f>
        <v/>
      </c>
    </row>
    <row r="1112">
      <c r="A1112">
        <f>IF(INVENTARIO!A1112="","",INVENTARIO!A1112)</f>
        <v/>
      </c>
      <c r="B1112">
        <f>IF(INVENTARIO!E1112="","",INVENTARIO!E1112)</f>
        <v/>
      </c>
      <c r="C1112">
        <f>IF(INVENTARIO!F1112="","",INVENTARIO!F1112)</f>
        <v/>
      </c>
      <c r="D1112">
        <f>IF(INVENTARIO!H1112="","",INVENTARIO!H1112)</f>
        <v/>
      </c>
      <c r="E1112">
        <f>IF(INVENTARIO!I1112="","",INVENTARIO!I1112)</f>
        <v/>
      </c>
      <c r="F1112">
        <f>IF(INVENTARIO!N1112="","",INVENTARIO!N1112)</f>
        <v/>
      </c>
      <c r="G1112">
        <f>IF(INVENTARIO!P1112="","",INVENTARIO!P1112)</f>
        <v/>
      </c>
      <c r="H1112">
        <f>IF(INVENTARIO!Q1112="","",INVENTARIO!Q1112)</f>
        <v/>
      </c>
      <c r="I1112">
        <f>IF(INVENTARIO!R1112="","",INVENTARIO!R1112)</f>
        <v/>
      </c>
      <c r="J1112">
        <f>IF(G1112="PUBLICA(1)",1,IF(G1112="USO INTERNO(2)",2,IF(G1112="RESTRINGIDO(3)",3,0)))+IF(H1112="BAJA(1)",1,IF(H1112="MEDIA(2)",2,IF(H1112="ALTA(3)",3,0)))+IF(I1112="BAJA(1)",1,IF(I1112="MEDIA(2)",2,IF(I1112="ALTA(3)",3,0)))</f>
        <v/>
      </c>
      <c r="K1112">
        <f>IF(J1112="", "", IF(J1112&gt;=8,"ALTA",IF(J1112&gt;=6,"MEDIA","BAJA")))</f>
        <v/>
      </c>
      <c r="L1112">
        <f>IF(INVENTARIO!Y1112="","",INVENTARIO!Y1112)</f>
        <v/>
      </c>
      <c r="M1112">
        <f>IF(INVENTARIO!Z1112="","",INVENTARIO!Z1112)</f>
        <v/>
      </c>
      <c r="N1112">
        <f>IF(INVENTARIO!AA1112="","",INVENTARIO!AA1112)</f>
        <v/>
      </c>
      <c r="O1112">
        <f>IF(INVENTARIO!AB1112="","",INVENTARIO!AB1112)</f>
        <v/>
      </c>
      <c r="P1112">
        <f>IF(INVENTARIO!AC1112="","",INVENTARIO!AC1112)</f>
        <v/>
      </c>
      <c r="Q1112">
        <f>IF(AND(K1112="",N1112="",L1112=""),"",IF(AND((K1112="ALTA"),OR(LEFT(N1112,2)="L0",LEFT(N1112,2)="L1",L1112="No Iniciado")),"CRÍTICO - Incumplimiento Normativo SEPS",IF(AND(OR(LEFT(N1112,2)="L4",LEFT(N1112,2)="L5"),AND(P1112&lt;&gt;"",P1112&lt;&gt;"N/A")),"CONFORME - Control Efectivo ISO 27001","OBSERVACIÓN - Revisar Controles")))</f>
        <v/>
      </c>
    </row>
    <row r="1113">
      <c r="A1113">
        <f>IF(INVENTARIO!A1113="","",INVENTARIO!A1113)</f>
        <v/>
      </c>
      <c r="B1113">
        <f>IF(INVENTARIO!E1113="","",INVENTARIO!E1113)</f>
        <v/>
      </c>
      <c r="C1113">
        <f>IF(INVENTARIO!F1113="","",INVENTARIO!F1113)</f>
        <v/>
      </c>
      <c r="D1113">
        <f>IF(INVENTARIO!H1113="","",INVENTARIO!H1113)</f>
        <v/>
      </c>
      <c r="E1113">
        <f>IF(INVENTARIO!I1113="","",INVENTARIO!I1113)</f>
        <v/>
      </c>
      <c r="F1113">
        <f>IF(INVENTARIO!N1113="","",INVENTARIO!N1113)</f>
        <v/>
      </c>
      <c r="G1113">
        <f>IF(INVENTARIO!P1113="","",INVENTARIO!P1113)</f>
        <v/>
      </c>
      <c r="H1113">
        <f>IF(INVENTARIO!Q1113="","",INVENTARIO!Q1113)</f>
        <v/>
      </c>
      <c r="I1113">
        <f>IF(INVENTARIO!R1113="","",INVENTARIO!R1113)</f>
        <v/>
      </c>
      <c r="J1113">
        <f>IF(G1113="PUBLICA(1)",1,IF(G1113="USO INTERNO(2)",2,IF(G1113="RESTRINGIDO(3)",3,0)))+IF(H1113="BAJA(1)",1,IF(H1113="MEDIA(2)",2,IF(H1113="ALTA(3)",3,0)))+IF(I1113="BAJA(1)",1,IF(I1113="MEDIA(2)",2,IF(I1113="ALTA(3)",3,0)))</f>
        <v/>
      </c>
      <c r="K1113">
        <f>IF(J1113="", "", IF(J1113&gt;=8,"ALTA",IF(J1113&gt;=6,"MEDIA","BAJA")))</f>
        <v/>
      </c>
      <c r="L1113">
        <f>IF(INVENTARIO!Y1113="","",INVENTARIO!Y1113)</f>
        <v/>
      </c>
      <c r="M1113">
        <f>IF(INVENTARIO!Z1113="","",INVENTARIO!Z1113)</f>
        <v/>
      </c>
      <c r="N1113">
        <f>IF(INVENTARIO!AA1113="","",INVENTARIO!AA1113)</f>
        <v/>
      </c>
      <c r="O1113">
        <f>IF(INVENTARIO!AB1113="","",INVENTARIO!AB1113)</f>
        <v/>
      </c>
      <c r="P1113">
        <f>IF(INVENTARIO!AC1113="","",INVENTARIO!AC1113)</f>
        <v/>
      </c>
      <c r="Q1113">
        <f>IF(AND(K1113="",N1113="",L1113=""),"",IF(AND((K1113="ALTA"),OR(LEFT(N1113,2)="L0",LEFT(N1113,2)="L1",L1113="No Iniciado")),"CRÍTICO - Incumplimiento Normativo SEPS",IF(AND(OR(LEFT(N1113,2)="L4",LEFT(N1113,2)="L5"),AND(P1113&lt;&gt;"",P1113&lt;&gt;"N/A")),"CONFORME - Control Efectivo ISO 27001","OBSERVACIÓN - Revisar Controles")))</f>
        <v/>
      </c>
    </row>
    <row r="1114">
      <c r="A1114">
        <f>IF(INVENTARIO!A1114="","",INVENTARIO!A1114)</f>
        <v/>
      </c>
      <c r="B1114">
        <f>IF(INVENTARIO!E1114="","",INVENTARIO!E1114)</f>
        <v/>
      </c>
      <c r="C1114">
        <f>IF(INVENTARIO!F1114="","",INVENTARIO!F1114)</f>
        <v/>
      </c>
      <c r="D1114">
        <f>IF(INVENTARIO!H1114="","",INVENTARIO!H1114)</f>
        <v/>
      </c>
      <c r="E1114">
        <f>IF(INVENTARIO!I1114="","",INVENTARIO!I1114)</f>
        <v/>
      </c>
      <c r="F1114">
        <f>IF(INVENTARIO!N1114="","",INVENTARIO!N1114)</f>
        <v/>
      </c>
      <c r="G1114">
        <f>IF(INVENTARIO!P1114="","",INVENTARIO!P1114)</f>
        <v/>
      </c>
      <c r="H1114">
        <f>IF(INVENTARIO!Q1114="","",INVENTARIO!Q1114)</f>
        <v/>
      </c>
      <c r="I1114">
        <f>IF(INVENTARIO!R1114="","",INVENTARIO!R1114)</f>
        <v/>
      </c>
      <c r="J1114">
        <f>IF(G1114="PUBLICA(1)",1,IF(G1114="USO INTERNO(2)",2,IF(G1114="RESTRINGIDO(3)",3,0)))+IF(H1114="BAJA(1)",1,IF(H1114="MEDIA(2)",2,IF(H1114="ALTA(3)",3,0)))+IF(I1114="BAJA(1)",1,IF(I1114="MEDIA(2)",2,IF(I1114="ALTA(3)",3,0)))</f>
        <v/>
      </c>
      <c r="K1114">
        <f>IF(J1114="", "", IF(J1114&gt;=8,"ALTA",IF(J1114&gt;=6,"MEDIA","BAJA")))</f>
        <v/>
      </c>
      <c r="L1114">
        <f>IF(INVENTARIO!Y1114="","",INVENTARIO!Y1114)</f>
        <v/>
      </c>
      <c r="M1114">
        <f>IF(INVENTARIO!Z1114="","",INVENTARIO!Z1114)</f>
        <v/>
      </c>
      <c r="N1114">
        <f>IF(INVENTARIO!AA1114="","",INVENTARIO!AA1114)</f>
        <v/>
      </c>
      <c r="O1114">
        <f>IF(INVENTARIO!AB1114="","",INVENTARIO!AB1114)</f>
        <v/>
      </c>
      <c r="P1114">
        <f>IF(INVENTARIO!AC1114="","",INVENTARIO!AC1114)</f>
        <v/>
      </c>
      <c r="Q1114">
        <f>IF(AND(K1114="",N1114="",L1114=""),"",IF(AND((K1114="ALTA"),OR(LEFT(N1114,2)="L0",LEFT(N1114,2)="L1",L1114="No Iniciado")),"CRÍTICO - Incumplimiento Normativo SEPS",IF(AND(OR(LEFT(N1114,2)="L4",LEFT(N1114,2)="L5"),AND(P1114&lt;&gt;"",P1114&lt;&gt;"N/A")),"CONFORME - Control Efectivo ISO 27001","OBSERVACIÓN - Revisar Controles")))</f>
        <v/>
      </c>
    </row>
    <row r="1115">
      <c r="A1115">
        <f>IF(INVENTARIO!A1115="","",INVENTARIO!A1115)</f>
        <v/>
      </c>
      <c r="B1115">
        <f>IF(INVENTARIO!E1115="","",INVENTARIO!E1115)</f>
        <v/>
      </c>
      <c r="C1115">
        <f>IF(INVENTARIO!F1115="","",INVENTARIO!F1115)</f>
        <v/>
      </c>
      <c r="D1115">
        <f>IF(INVENTARIO!H1115="","",INVENTARIO!H1115)</f>
        <v/>
      </c>
      <c r="E1115">
        <f>IF(INVENTARIO!I1115="","",INVENTARIO!I1115)</f>
        <v/>
      </c>
      <c r="F1115">
        <f>IF(INVENTARIO!N1115="","",INVENTARIO!N1115)</f>
        <v/>
      </c>
      <c r="G1115">
        <f>IF(INVENTARIO!P1115="","",INVENTARIO!P1115)</f>
        <v/>
      </c>
      <c r="H1115">
        <f>IF(INVENTARIO!Q1115="","",INVENTARIO!Q1115)</f>
        <v/>
      </c>
      <c r="I1115">
        <f>IF(INVENTARIO!R1115="","",INVENTARIO!R1115)</f>
        <v/>
      </c>
      <c r="J1115">
        <f>IF(G1115="PUBLICA(1)",1,IF(G1115="USO INTERNO(2)",2,IF(G1115="RESTRINGIDO(3)",3,0)))+IF(H1115="BAJA(1)",1,IF(H1115="MEDIA(2)",2,IF(H1115="ALTA(3)",3,0)))+IF(I1115="BAJA(1)",1,IF(I1115="MEDIA(2)",2,IF(I1115="ALTA(3)",3,0)))</f>
        <v/>
      </c>
      <c r="K1115">
        <f>IF(J1115="", "", IF(J1115&gt;=8,"ALTA",IF(J1115&gt;=6,"MEDIA","BAJA")))</f>
        <v/>
      </c>
      <c r="L1115">
        <f>IF(INVENTARIO!Y1115="","",INVENTARIO!Y1115)</f>
        <v/>
      </c>
      <c r="M1115">
        <f>IF(INVENTARIO!Z1115="","",INVENTARIO!Z1115)</f>
        <v/>
      </c>
      <c r="N1115">
        <f>IF(INVENTARIO!AA1115="","",INVENTARIO!AA1115)</f>
        <v/>
      </c>
      <c r="O1115">
        <f>IF(INVENTARIO!AB1115="","",INVENTARIO!AB1115)</f>
        <v/>
      </c>
      <c r="P1115">
        <f>IF(INVENTARIO!AC1115="","",INVENTARIO!AC1115)</f>
        <v/>
      </c>
      <c r="Q1115">
        <f>IF(AND(K1115="",N1115="",L1115=""),"",IF(AND((K1115="ALTA"),OR(LEFT(N1115,2)="L0",LEFT(N1115,2)="L1",L1115="No Iniciado")),"CRÍTICO - Incumplimiento Normativo SEPS",IF(AND(OR(LEFT(N1115,2)="L4",LEFT(N1115,2)="L5"),AND(P1115&lt;&gt;"",P1115&lt;&gt;"N/A")),"CONFORME - Control Efectivo ISO 27001","OBSERVACIÓN - Revisar Controles")))</f>
        <v/>
      </c>
    </row>
    <row r="1116">
      <c r="A1116">
        <f>IF(INVENTARIO!A1116="","",INVENTARIO!A1116)</f>
        <v/>
      </c>
      <c r="B1116">
        <f>IF(INVENTARIO!E1116="","",INVENTARIO!E1116)</f>
        <v/>
      </c>
      <c r="C1116">
        <f>IF(INVENTARIO!F1116="","",INVENTARIO!F1116)</f>
        <v/>
      </c>
      <c r="D1116">
        <f>IF(INVENTARIO!H1116="","",INVENTARIO!H1116)</f>
        <v/>
      </c>
      <c r="E1116">
        <f>IF(INVENTARIO!I1116="","",INVENTARIO!I1116)</f>
        <v/>
      </c>
      <c r="F1116">
        <f>IF(INVENTARIO!N1116="","",INVENTARIO!N1116)</f>
        <v/>
      </c>
      <c r="G1116">
        <f>IF(INVENTARIO!P1116="","",INVENTARIO!P1116)</f>
        <v/>
      </c>
      <c r="H1116">
        <f>IF(INVENTARIO!Q1116="","",INVENTARIO!Q1116)</f>
        <v/>
      </c>
      <c r="I1116">
        <f>IF(INVENTARIO!R1116="","",INVENTARIO!R1116)</f>
        <v/>
      </c>
      <c r="J1116">
        <f>IF(G1116="PUBLICA(1)",1,IF(G1116="USO INTERNO(2)",2,IF(G1116="RESTRINGIDO(3)",3,0)))+IF(H1116="BAJA(1)",1,IF(H1116="MEDIA(2)",2,IF(H1116="ALTA(3)",3,0)))+IF(I1116="BAJA(1)",1,IF(I1116="MEDIA(2)",2,IF(I1116="ALTA(3)",3,0)))</f>
        <v/>
      </c>
      <c r="K1116">
        <f>IF(J1116="", "", IF(J1116&gt;=8,"ALTA",IF(J1116&gt;=6,"MEDIA","BAJA")))</f>
        <v/>
      </c>
      <c r="L1116">
        <f>IF(INVENTARIO!Y1116="","",INVENTARIO!Y1116)</f>
        <v/>
      </c>
      <c r="M1116">
        <f>IF(INVENTARIO!Z1116="","",INVENTARIO!Z1116)</f>
        <v/>
      </c>
      <c r="N1116">
        <f>IF(INVENTARIO!AA1116="","",INVENTARIO!AA1116)</f>
        <v/>
      </c>
      <c r="O1116">
        <f>IF(INVENTARIO!AB1116="","",INVENTARIO!AB1116)</f>
        <v/>
      </c>
      <c r="P1116">
        <f>IF(INVENTARIO!AC1116="","",INVENTARIO!AC1116)</f>
        <v/>
      </c>
      <c r="Q1116">
        <f>IF(AND(K1116="",N1116="",L1116=""),"",IF(AND((K1116="ALTA"),OR(LEFT(N1116,2)="L0",LEFT(N1116,2)="L1",L1116="No Iniciado")),"CRÍTICO - Incumplimiento Normativo SEPS",IF(AND(OR(LEFT(N1116,2)="L4",LEFT(N1116,2)="L5"),AND(P1116&lt;&gt;"",P1116&lt;&gt;"N/A")),"CONFORME - Control Efectivo ISO 27001","OBSERVACIÓN - Revisar Controles")))</f>
        <v/>
      </c>
    </row>
    <row r="1117">
      <c r="A1117">
        <f>IF(INVENTARIO!A1117="","",INVENTARIO!A1117)</f>
        <v/>
      </c>
      <c r="B1117">
        <f>IF(INVENTARIO!E1117="","",INVENTARIO!E1117)</f>
        <v/>
      </c>
      <c r="C1117">
        <f>IF(INVENTARIO!F1117="","",INVENTARIO!F1117)</f>
        <v/>
      </c>
      <c r="D1117">
        <f>IF(INVENTARIO!H1117="","",INVENTARIO!H1117)</f>
        <v/>
      </c>
      <c r="E1117">
        <f>IF(INVENTARIO!I1117="","",INVENTARIO!I1117)</f>
        <v/>
      </c>
      <c r="F1117">
        <f>IF(INVENTARIO!N1117="","",INVENTARIO!N1117)</f>
        <v/>
      </c>
      <c r="G1117">
        <f>IF(INVENTARIO!P1117="","",INVENTARIO!P1117)</f>
        <v/>
      </c>
      <c r="H1117">
        <f>IF(INVENTARIO!Q1117="","",INVENTARIO!Q1117)</f>
        <v/>
      </c>
      <c r="I1117">
        <f>IF(INVENTARIO!R1117="","",INVENTARIO!R1117)</f>
        <v/>
      </c>
      <c r="J1117">
        <f>IF(G1117="PUBLICA(1)",1,IF(G1117="USO INTERNO(2)",2,IF(G1117="RESTRINGIDO(3)",3,0)))+IF(H1117="BAJA(1)",1,IF(H1117="MEDIA(2)",2,IF(H1117="ALTA(3)",3,0)))+IF(I1117="BAJA(1)",1,IF(I1117="MEDIA(2)",2,IF(I1117="ALTA(3)",3,0)))</f>
        <v/>
      </c>
      <c r="K1117">
        <f>IF(J1117="", "", IF(J1117&gt;=8,"ALTA",IF(J1117&gt;=6,"MEDIA","BAJA")))</f>
        <v/>
      </c>
      <c r="L1117">
        <f>IF(INVENTARIO!Y1117="","",INVENTARIO!Y1117)</f>
        <v/>
      </c>
      <c r="M1117">
        <f>IF(INVENTARIO!Z1117="","",INVENTARIO!Z1117)</f>
        <v/>
      </c>
      <c r="N1117">
        <f>IF(INVENTARIO!AA1117="","",INVENTARIO!AA1117)</f>
        <v/>
      </c>
      <c r="O1117">
        <f>IF(INVENTARIO!AB1117="","",INVENTARIO!AB1117)</f>
        <v/>
      </c>
      <c r="P1117">
        <f>IF(INVENTARIO!AC1117="","",INVENTARIO!AC1117)</f>
        <v/>
      </c>
      <c r="Q1117">
        <f>IF(AND(K1117="",N1117="",L1117=""),"",IF(AND((K1117="ALTA"),OR(LEFT(N1117,2)="L0",LEFT(N1117,2)="L1",L1117="No Iniciado")),"CRÍTICO - Incumplimiento Normativo SEPS",IF(AND(OR(LEFT(N1117,2)="L4",LEFT(N1117,2)="L5"),AND(P1117&lt;&gt;"",P1117&lt;&gt;"N/A")),"CONFORME - Control Efectivo ISO 27001","OBSERVACIÓN - Revisar Controles")))</f>
        <v/>
      </c>
    </row>
    <row r="1118">
      <c r="A1118">
        <f>IF(INVENTARIO!A1118="","",INVENTARIO!A1118)</f>
        <v/>
      </c>
      <c r="B1118">
        <f>IF(INVENTARIO!E1118="","",INVENTARIO!E1118)</f>
        <v/>
      </c>
      <c r="C1118">
        <f>IF(INVENTARIO!F1118="","",INVENTARIO!F1118)</f>
        <v/>
      </c>
      <c r="D1118">
        <f>IF(INVENTARIO!H1118="","",INVENTARIO!H1118)</f>
        <v/>
      </c>
      <c r="E1118">
        <f>IF(INVENTARIO!I1118="","",INVENTARIO!I1118)</f>
        <v/>
      </c>
      <c r="F1118">
        <f>IF(INVENTARIO!N1118="","",INVENTARIO!N1118)</f>
        <v/>
      </c>
      <c r="G1118">
        <f>IF(INVENTARIO!P1118="","",INVENTARIO!P1118)</f>
        <v/>
      </c>
      <c r="H1118">
        <f>IF(INVENTARIO!Q1118="","",INVENTARIO!Q1118)</f>
        <v/>
      </c>
      <c r="I1118">
        <f>IF(INVENTARIO!R1118="","",INVENTARIO!R1118)</f>
        <v/>
      </c>
      <c r="J1118">
        <f>IF(G1118="PUBLICA(1)",1,IF(G1118="USO INTERNO(2)",2,IF(G1118="RESTRINGIDO(3)",3,0)))+IF(H1118="BAJA(1)",1,IF(H1118="MEDIA(2)",2,IF(H1118="ALTA(3)",3,0)))+IF(I1118="BAJA(1)",1,IF(I1118="MEDIA(2)",2,IF(I1118="ALTA(3)",3,0)))</f>
        <v/>
      </c>
      <c r="K1118">
        <f>IF(J1118="", "", IF(J1118&gt;=8,"ALTA",IF(J1118&gt;=6,"MEDIA","BAJA")))</f>
        <v/>
      </c>
      <c r="L1118">
        <f>IF(INVENTARIO!Y1118="","",INVENTARIO!Y1118)</f>
        <v/>
      </c>
      <c r="M1118">
        <f>IF(INVENTARIO!Z1118="","",INVENTARIO!Z1118)</f>
        <v/>
      </c>
      <c r="N1118">
        <f>IF(INVENTARIO!AA1118="","",INVENTARIO!AA1118)</f>
        <v/>
      </c>
      <c r="O1118">
        <f>IF(INVENTARIO!AB1118="","",INVENTARIO!AB1118)</f>
        <v/>
      </c>
      <c r="P1118">
        <f>IF(INVENTARIO!AC1118="","",INVENTARIO!AC1118)</f>
        <v/>
      </c>
      <c r="Q1118">
        <f>IF(AND(K1118="",N1118="",L1118=""),"",IF(AND((K1118="ALTA"),OR(LEFT(N1118,2)="L0",LEFT(N1118,2)="L1",L1118="No Iniciado")),"CRÍTICO - Incumplimiento Normativo SEPS",IF(AND(OR(LEFT(N1118,2)="L4",LEFT(N1118,2)="L5"),AND(P1118&lt;&gt;"",P1118&lt;&gt;"N/A")),"CONFORME - Control Efectivo ISO 27001","OBSERVACIÓN - Revisar Controles")))</f>
        <v/>
      </c>
    </row>
    <row r="1119">
      <c r="A1119">
        <f>IF(INVENTARIO!A1119="","",INVENTARIO!A1119)</f>
        <v/>
      </c>
      <c r="B1119">
        <f>IF(INVENTARIO!E1119="","",INVENTARIO!E1119)</f>
        <v/>
      </c>
      <c r="C1119">
        <f>IF(INVENTARIO!F1119="","",INVENTARIO!F1119)</f>
        <v/>
      </c>
      <c r="D1119">
        <f>IF(INVENTARIO!H1119="","",INVENTARIO!H1119)</f>
        <v/>
      </c>
      <c r="E1119">
        <f>IF(INVENTARIO!I1119="","",INVENTARIO!I1119)</f>
        <v/>
      </c>
      <c r="F1119">
        <f>IF(INVENTARIO!N1119="","",INVENTARIO!N1119)</f>
        <v/>
      </c>
      <c r="G1119">
        <f>IF(INVENTARIO!P1119="","",INVENTARIO!P1119)</f>
        <v/>
      </c>
      <c r="H1119">
        <f>IF(INVENTARIO!Q1119="","",INVENTARIO!Q1119)</f>
        <v/>
      </c>
      <c r="I1119">
        <f>IF(INVENTARIO!R1119="","",INVENTARIO!R1119)</f>
        <v/>
      </c>
      <c r="J1119">
        <f>IF(G1119="PUBLICA(1)",1,IF(G1119="USO INTERNO(2)",2,IF(G1119="RESTRINGIDO(3)",3,0)))+IF(H1119="BAJA(1)",1,IF(H1119="MEDIA(2)",2,IF(H1119="ALTA(3)",3,0)))+IF(I1119="BAJA(1)",1,IF(I1119="MEDIA(2)",2,IF(I1119="ALTA(3)",3,0)))</f>
        <v/>
      </c>
      <c r="K1119">
        <f>IF(J1119="", "", IF(J1119&gt;=8,"ALTA",IF(J1119&gt;=6,"MEDIA","BAJA")))</f>
        <v/>
      </c>
      <c r="L1119">
        <f>IF(INVENTARIO!Y1119="","",INVENTARIO!Y1119)</f>
        <v/>
      </c>
      <c r="M1119">
        <f>IF(INVENTARIO!Z1119="","",INVENTARIO!Z1119)</f>
        <v/>
      </c>
      <c r="N1119">
        <f>IF(INVENTARIO!AA1119="","",INVENTARIO!AA1119)</f>
        <v/>
      </c>
      <c r="O1119">
        <f>IF(INVENTARIO!AB1119="","",INVENTARIO!AB1119)</f>
        <v/>
      </c>
      <c r="P1119">
        <f>IF(INVENTARIO!AC1119="","",INVENTARIO!AC1119)</f>
        <v/>
      </c>
      <c r="Q1119">
        <f>IF(AND(K1119="",N1119="",L1119=""),"",IF(AND((K1119="ALTA"),OR(LEFT(N1119,2)="L0",LEFT(N1119,2)="L1",L1119="No Iniciado")),"CRÍTICO - Incumplimiento Normativo SEPS",IF(AND(OR(LEFT(N1119,2)="L4",LEFT(N1119,2)="L5"),AND(P1119&lt;&gt;"",P1119&lt;&gt;"N/A")),"CONFORME - Control Efectivo ISO 27001","OBSERVACIÓN - Revisar Controles")))</f>
        <v/>
      </c>
    </row>
    <row r="1120">
      <c r="A1120">
        <f>IF(INVENTARIO!A1120="","",INVENTARIO!A1120)</f>
        <v/>
      </c>
      <c r="B1120">
        <f>IF(INVENTARIO!E1120="","",INVENTARIO!E1120)</f>
        <v/>
      </c>
      <c r="C1120">
        <f>IF(INVENTARIO!F1120="","",INVENTARIO!F1120)</f>
        <v/>
      </c>
      <c r="D1120">
        <f>IF(INVENTARIO!H1120="","",INVENTARIO!H1120)</f>
        <v/>
      </c>
      <c r="E1120">
        <f>IF(INVENTARIO!I1120="","",INVENTARIO!I1120)</f>
        <v/>
      </c>
      <c r="F1120">
        <f>IF(INVENTARIO!N1120="","",INVENTARIO!N1120)</f>
        <v/>
      </c>
      <c r="G1120">
        <f>IF(INVENTARIO!P1120="","",INVENTARIO!P1120)</f>
        <v/>
      </c>
      <c r="H1120">
        <f>IF(INVENTARIO!Q1120="","",INVENTARIO!Q1120)</f>
        <v/>
      </c>
      <c r="I1120">
        <f>IF(INVENTARIO!R1120="","",INVENTARIO!R1120)</f>
        <v/>
      </c>
      <c r="J1120">
        <f>IF(G1120="PUBLICA(1)",1,IF(G1120="USO INTERNO(2)",2,IF(G1120="RESTRINGIDO(3)",3,0)))+IF(H1120="BAJA(1)",1,IF(H1120="MEDIA(2)",2,IF(H1120="ALTA(3)",3,0)))+IF(I1120="BAJA(1)",1,IF(I1120="MEDIA(2)",2,IF(I1120="ALTA(3)",3,0)))</f>
        <v/>
      </c>
      <c r="K1120">
        <f>IF(J1120="", "", IF(J1120&gt;=8,"ALTA",IF(J1120&gt;=6,"MEDIA","BAJA")))</f>
        <v/>
      </c>
      <c r="L1120">
        <f>IF(INVENTARIO!Y1120="","",INVENTARIO!Y1120)</f>
        <v/>
      </c>
      <c r="M1120">
        <f>IF(INVENTARIO!Z1120="","",INVENTARIO!Z1120)</f>
        <v/>
      </c>
      <c r="N1120">
        <f>IF(INVENTARIO!AA1120="","",INVENTARIO!AA1120)</f>
        <v/>
      </c>
      <c r="O1120">
        <f>IF(INVENTARIO!AB1120="","",INVENTARIO!AB1120)</f>
        <v/>
      </c>
      <c r="P1120">
        <f>IF(INVENTARIO!AC1120="","",INVENTARIO!AC1120)</f>
        <v/>
      </c>
      <c r="Q1120">
        <f>IF(AND(K1120="",N1120="",L1120=""),"",IF(AND((K1120="ALTA"),OR(LEFT(N1120,2)="L0",LEFT(N1120,2)="L1",L1120="No Iniciado")),"CRÍTICO - Incumplimiento Normativo SEPS",IF(AND(OR(LEFT(N1120,2)="L4",LEFT(N1120,2)="L5"),AND(P1120&lt;&gt;"",P1120&lt;&gt;"N/A")),"CONFORME - Control Efectivo ISO 27001","OBSERVACIÓN - Revisar Controles")))</f>
        <v/>
      </c>
    </row>
    <row r="1121">
      <c r="A1121">
        <f>IF(INVENTARIO!A1121="","",INVENTARIO!A1121)</f>
        <v/>
      </c>
      <c r="B1121">
        <f>IF(INVENTARIO!E1121="","",INVENTARIO!E1121)</f>
        <v/>
      </c>
      <c r="C1121">
        <f>IF(INVENTARIO!F1121="","",INVENTARIO!F1121)</f>
        <v/>
      </c>
      <c r="D1121">
        <f>IF(INVENTARIO!H1121="","",INVENTARIO!H1121)</f>
        <v/>
      </c>
      <c r="E1121">
        <f>IF(INVENTARIO!I1121="","",INVENTARIO!I1121)</f>
        <v/>
      </c>
      <c r="F1121">
        <f>IF(INVENTARIO!N1121="","",INVENTARIO!N1121)</f>
        <v/>
      </c>
      <c r="G1121">
        <f>IF(INVENTARIO!P1121="","",INVENTARIO!P1121)</f>
        <v/>
      </c>
      <c r="H1121">
        <f>IF(INVENTARIO!Q1121="","",INVENTARIO!Q1121)</f>
        <v/>
      </c>
      <c r="I1121">
        <f>IF(INVENTARIO!R1121="","",INVENTARIO!R1121)</f>
        <v/>
      </c>
      <c r="J1121">
        <f>IF(G1121="PUBLICA(1)",1,IF(G1121="USO INTERNO(2)",2,IF(G1121="RESTRINGIDO(3)",3,0)))+IF(H1121="BAJA(1)",1,IF(H1121="MEDIA(2)",2,IF(H1121="ALTA(3)",3,0)))+IF(I1121="BAJA(1)",1,IF(I1121="MEDIA(2)",2,IF(I1121="ALTA(3)",3,0)))</f>
        <v/>
      </c>
      <c r="K1121">
        <f>IF(J1121="", "", IF(J1121&gt;=8,"ALTA",IF(J1121&gt;=6,"MEDIA","BAJA")))</f>
        <v/>
      </c>
      <c r="L1121">
        <f>IF(INVENTARIO!Y1121="","",INVENTARIO!Y1121)</f>
        <v/>
      </c>
      <c r="M1121">
        <f>IF(INVENTARIO!Z1121="","",INVENTARIO!Z1121)</f>
        <v/>
      </c>
      <c r="N1121">
        <f>IF(INVENTARIO!AA1121="","",INVENTARIO!AA1121)</f>
        <v/>
      </c>
      <c r="O1121">
        <f>IF(INVENTARIO!AB1121="","",INVENTARIO!AB1121)</f>
        <v/>
      </c>
      <c r="P1121">
        <f>IF(INVENTARIO!AC1121="","",INVENTARIO!AC1121)</f>
        <v/>
      </c>
      <c r="Q1121">
        <f>IF(AND(K1121="",N1121="",L1121=""),"",IF(AND((K1121="ALTA"),OR(LEFT(N1121,2)="L0",LEFT(N1121,2)="L1",L1121="No Iniciado")),"CRÍTICO - Incumplimiento Normativo SEPS",IF(AND(OR(LEFT(N1121,2)="L4",LEFT(N1121,2)="L5"),AND(P1121&lt;&gt;"",P1121&lt;&gt;"N/A")),"CONFORME - Control Efectivo ISO 27001","OBSERVACIÓN - Revisar Controles")))</f>
        <v/>
      </c>
    </row>
    <row r="1122">
      <c r="A1122">
        <f>IF(INVENTARIO!A1122="","",INVENTARIO!A1122)</f>
        <v/>
      </c>
      <c r="B1122">
        <f>IF(INVENTARIO!E1122="","",INVENTARIO!E1122)</f>
        <v/>
      </c>
      <c r="C1122">
        <f>IF(INVENTARIO!F1122="","",INVENTARIO!F1122)</f>
        <v/>
      </c>
      <c r="D1122">
        <f>IF(INVENTARIO!H1122="","",INVENTARIO!H1122)</f>
        <v/>
      </c>
      <c r="E1122">
        <f>IF(INVENTARIO!I1122="","",INVENTARIO!I1122)</f>
        <v/>
      </c>
      <c r="F1122">
        <f>IF(INVENTARIO!N1122="","",INVENTARIO!N1122)</f>
        <v/>
      </c>
      <c r="G1122">
        <f>IF(INVENTARIO!P1122="","",INVENTARIO!P1122)</f>
        <v/>
      </c>
      <c r="H1122">
        <f>IF(INVENTARIO!Q1122="","",INVENTARIO!Q1122)</f>
        <v/>
      </c>
      <c r="I1122">
        <f>IF(INVENTARIO!R1122="","",INVENTARIO!R1122)</f>
        <v/>
      </c>
      <c r="J1122">
        <f>IF(G1122="PUBLICA(1)",1,IF(G1122="USO INTERNO(2)",2,IF(G1122="RESTRINGIDO(3)",3,0)))+IF(H1122="BAJA(1)",1,IF(H1122="MEDIA(2)",2,IF(H1122="ALTA(3)",3,0)))+IF(I1122="BAJA(1)",1,IF(I1122="MEDIA(2)",2,IF(I1122="ALTA(3)",3,0)))</f>
        <v/>
      </c>
      <c r="K1122">
        <f>IF(J1122="", "", IF(J1122&gt;=8,"ALTA",IF(J1122&gt;=6,"MEDIA","BAJA")))</f>
        <v/>
      </c>
      <c r="L1122">
        <f>IF(INVENTARIO!Y1122="","",INVENTARIO!Y1122)</f>
        <v/>
      </c>
      <c r="M1122">
        <f>IF(INVENTARIO!Z1122="","",INVENTARIO!Z1122)</f>
        <v/>
      </c>
      <c r="N1122">
        <f>IF(INVENTARIO!AA1122="","",INVENTARIO!AA1122)</f>
        <v/>
      </c>
      <c r="O1122">
        <f>IF(INVENTARIO!AB1122="","",INVENTARIO!AB1122)</f>
        <v/>
      </c>
      <c r="P1122">
        <f>IF(INVENTARIO!AC1122="","",INVENTARIO!AC1122)</f>
        <v/>
      </c>
      <c r="Q1122">
        <f>IF(AND(K1122="",N1122="",L1122=""),"",IF(AND((K1122="ALTA"),OR(LEFT(N1122,2)="L0",LEFT(N1122,2)="L1",L1122="No Iniciado")),"CRÍTICO - Incumplimiento Normativo SEPS",IF(AND(OR(LEFT(N1122,2)="L4",LEFT(N1122,2)="L5"),AND(P1122&lt;&gt;"",P1122&lt;&gt;"N/A")),"CONFORME - Control Efectivo ISO 27001","OBSERVACIÓN - Revisar Controles")))</f>
        <v/>
      </c>
    </row>
    <row r="1123">
      <c r="A1123">
        <f>IF(INVENTARIO!A1123="","",INVENTARIO!A1123)</f>
        <v/>
      </c>
      <c r="B1123">
        <f>IF(INVENTARIO!E1123="","",INVENTARIO!E1123)</f>
        <v/>
      </c>
      <c r="C1123">
        <f>IF(INVENTARIO!F1123="","",INVENTARIO!F1123)</f>
        <v/>
      </c>
      <c r="D1123">
        <f>IF(INVENTARIO!H1123="","",INVENTARIO!H1123)</f>
        <v/>
      </c>
      <c r="E1123">
        <f>IF(INVENTARIO!I1123="","",INVENTARIO!I1123)</f>
        <v/>
      </c>
      <c r="F1123">
        <f>IF(INVENTARIO!N1123="","",INVENTARIO!N1123)</f>
        <v/>
      </c>
      <c r="G1123">
        <f>IF(INVENTARIO!P1123="","",INVENTARIO!P1123)</f>
        <v/>
      </c>
      <c r="H1123">
        <f>IF(INVENTARIO!Q1123="","",INVENTARIO!Q1123)</f>
        <v/>
      </c>
      <c r="I1123">
        <f>IF(INVENTARIO!R1123="","",INVENTARIO!R1123)</f>
        <v/>
      </c>
      <c r="J1123">
        <f>IF(G1123="PUBLICA(1)",1,IF(G1123="USO INTERNO(2)",2,IF(G1123="RESTRINGIDO(3)",3,0)))+IF(H1123="BAJA(1)",1,IF(H1123="MEDIA(2)",2,IF(H1123="ALTA(3)",3,0)))+IF(I1123="BAJA(1)",1,IF(I1123="MEDIA(2)",2,IF(I1123="ALTA(3)",3,0)))</f>
        <v/>
      </c>
      <c r="K1123">
        <f>IF(J1123="", "", IF(J1123&gt;=8,"ALTA",IF(J1123&gt;=6,"MEDIA","BAJA")))</f>
        <v/>
      </c>
      <c r="L1123">
        <f>IF(INVENTARIO!Y1123="","",INVENTARIO!Y1123)</f>
        <v/>
      </c>
      <c r="M1123">
        <f>IF(INVENTARIO!Z1123="","",INVENTARIO!Z1123)</f>
        <v/>
      </c>
      <c r="N1123">
        <f>IF(INVENTARIO!AA1123="","",INVENTARIO!AA1123)</f>
        <v/>
      </c>
      <c r="O1123">
        <f>IF(INVENTARIO!AB1123="","",INVENTARIO!AB1123)</f>
        <v/>
      </c>
      <c r="P1123">
        <f>IF(INVENTARIO!AC1123="","",INVENTARIO!AC1123)</f>
        <v/>
      </c>
      <c r="Q1123">
        <f>IF(AND(K1123="",N1123="",L1123=""),"",IF(AND((K1123="ALTA"),OR(LEFT(N1123,2)="L0",LEFT(N1123,2)="L1",L1123="No Iniciado")),"CRÍTICO - Incumplimiento Normativo SEPS",IF(AND(OR(LEFT(N1123,2)="L4",LEFT(N1123,2)="L5"),AND(P1123&lt;&gt;"",P1123&lt;&gt;"N/A")),"CONFORME - Control Efectivo ISO 27001","OBSERVACIÓN - Revisar Controles")))</f>
        <v/>
      </c>
    </row>
    <row r="1124">
      <c r="A1124">
        <f>IF(INVENTARIO!A1124="","",INVENTARIO!A1124)</f>
        <v/>
      </c>
      <c r="B1124">
        <f>IF(INVENTARIO!E1124="","",INVENTARIO!E1124)</f>
        <v/>
      </c>
      <c r="C1124">
        <f>IF(INVENTARIO!F1124="","",INVENTARIO!F1124)</f>
        <v/>
      </c>
      <c r="D1124">
        <f>IF(INVENTARIO!H1124="","",INVENTARIO!H1124)</f>
        <v/>
      </c>
      <c r="E1124">
        <f>IF(INVENTARIO!I1124="","",INVENTARIO!I1124)</f>
        <v/>
      </c>
      <c r="F1124">
        <f>IF(INVENTARIO!N1124="","",INVENTARIO!N1124)</f>
        <v/>
      </c>
      <c r="G1124">
        <f>IF(INVENTARIO!P1124="","",INVENTARIO!P1124)</f>
        <v/>
      </c>
      <c r="H1124">
        <f>IF(INVENTARIO!Q1124="","",INVENTARIO!Q1124)</f>
        <v/>
      </c>
      <c r="I1124">
        <f>IF(INVENTARIO!R1124="","",INVENTARIO!R1124)</f>
        <v/>
      </c>
      <c r="J1124">
        <f>IF(G1124="PUBLICA(1)",1,IF(G1124="USO INTERNO(2)",2,IF(G1124="RESTRINGIDO(3)",3,0)))+IF(H1124="BAJA(1)",1,IF(H1124="MEDIA(2)",2,IF(H1124="ALTA(3)",3,0)))+IF(I1124="BAJA(1)",1,IF(I1124="MEDIA(2)",2,IF(I1124="ALTA(3)",3,0)))</f>
        <v/>
      </c>
      <c r="K1124">
        <f>IF(J1124="", "", IF(J1124&gt;=8,"ALTA",IF(J1124&gt;=6,"MEDIA","BAJA")))</f>
        <v/>
      </c>
      <c r="L1124">
        <f>IF(INVENTARIO!Y1124="","",INVENTARIO!Y1124)</f>
        <v/>
      </c>
      <c r="M1124">
        <f>IF(INVENTARIO!Z1124="","",INVENTARIO!Z1124)</f>
        <v/>
      </c>
      <c r="N1124">
        <f>IF(INVENTARIO!AA1124="","",INVENTARIO!AA1124)</f>
        <v/>
      </c>
      <c r="O1124">
        <f>IF(INVENTARIO!AB1124="","",INVENTARIO!AB1124)</f>
        <v/>
      </c>
      <c r="P1124">
        <f>IF(INVENTARIO!AC1124="","",INVENTARIO!AC1124)</f>
        <v/>
      </c>
      <c r="Q1124">
        <f>IF(AND(K1124="",N1124="",L1124=""),"",IF(AND((K1124="ALTA"),OR(LEFT(N1124,2)="L0",LEFT(N1124,2)="L1",L1124="No Iniciado")),"CRÍTICO - Incumplimiento Normativo SEPS",IF(AND(OR(LEFT(N1124,2)="L4",LEFT(N1124,2)="L5"),AND(P1124&lt;&gt;"",P1124&lt;&gt;"N/A")),"CONFORME - Control Efectivo ISO 27001","OBSERVACIÓN - Revisar Controles")))</f>
        <v/>
      </c>
    </row>
    <row r="1125">
      <c r="A1125">
        <f>IF(INVENTARIO!A1125="","",INVENTARIO!A1125)</f>
        <v/>
      </c>
      <c r="B1125">
        <f>IF(INVENTARIO!E1125="","",INVENTARIO!E1125)</f>
        <v/>
      </c>
      <c r="C1125">
        <f>IF(INVENTARIO!F1125="","",INVENTARIO!F1125)</f>
        <v/>
      </c>
      <c r="D1125">
        <f>IF(INVENTARIO!H1125="","",INVENTARIO!H1125)</f>
        <v/>
      </c>
      <c r="E1125">
        <f>IF(INVENTARIO!I1125="","",INVENTARIO!I1125)</f>
        <v/>
      </c>
      <c r="F1125">
        <f>IF(INVENTARIO!N1125="","",INVENTARIO!N1125)</f>
        <v/>
      </c>
      <c r="G1125">
        <f>IF(INVENTARIO!P1125="","",INVENTARIO!P1125)</f>
        <v/>
      </c>
      <c r="H1125">
        <f>IF(INVENTARIO!Q1125="","",INVENTARIO!Q1125)</f>
        <v/>
      </c>
      <c r="I1125">
        <f>IF(INVENTARIO!R1125="","",INVENTARIO!R1125)</f>
        <v/>
      </c>
      <c r="J1125">
        <f>IF(G1125="PUBLICA(1)",1,IF(G1125="USO INTERNO(2)",2,IF(G1125="RESTRINGIDO(3)",3,0)))+IF(H1125="BAJA(1)",1,IF(H1125="MEDIA(2)",2,IF(H1125="ALTA(3)",3,0)))+IF(I1125="BAJA(1)",1,IF(I1125="MEDIA(2)",2,IF(I1125="ALTA(3)",3,0)))</f>
        <v/>
      </c>
      <c r="K1125">
        <f>IF(J1125="", "", IF(J1125&gt;=8,"ALTA",IF(J1125&gt;=6,"MEDIA","BAJA")))</f>
        <v/>
      </c>
      <c r="L1125">
        <f>IF(INVENTARIO!Y1125="","",INVENTARIO!Y1125)</f>
        <v/>
      </c>
      <c r="M1125">
        <f>IF(INVENTARIO!Z1125="","",INVENTARIO!Z1125)</f>
        <v/>
      </c>
      <c r="N1125">
        <f>IF(INVENTARIO!AA1125="","",INVENTARIO!AA1125)</f>
        <v/>
      </c>
      <c r="O1125">
        <f>IF(INVENTARIO!AB1125="","",INVENTARIO!AB1125)</f>
        <v/>
      </c>
      <c r="P1125">
        <f>IF(INVENTARIO!AC1125="","",INVENTARIO!AC1125)</f>
        <v/>
      </c>
      <c r="Q1125">
        <f>IF(AND(K1125="",N1125="",L1125=""),"",IF(AND((K1125="ALTA"),OR(LEFT(N1125,2)="L0",LEFT(N1125,2)="L1",L1125="No Iniciado")),"CRÍTICO - Incumplimiento Normativo SEPS",IF(AND(OR(LEFT(N1125,2)="L4",LEFT(N1125,2)="L5"),AND(P1125&lt;&gt;"",P1125&lt;&gt;"N/A")),"CONFORME - Control Efectivo ISO 27001","OBSERVACIÓN - Revisar Controles")))</f>
        <v/>
      </c>
    </row>
    <row r="1126">
      <c r="A1126">
        <f>IF(INVENTARIO!A1126="","",INVENTARIO!A1126)</f>
        <v/>
      </c>
      <c r="B1126">
        <f>IF(INVENTARIO!E1126="","",INVENTARIO!E1126)</f>
        <v/>
      </c>
      <c r="C1126">
        <f>IF(INVENTARIO!F1126="","",INVENTARIO!F1126)</f>
        <v/>
      </c>
      <c r="D1126">
        <f>IF(INVENTARIO!H1126="","",INVENTARIO!H1126)</f>
        <v/>
      </c>
      <c r="E1126">
        <f>IF(INVENTARIO!I1126="","",INVENTARIO!I1126)</f>
        <v/>
      </c>
      <c r="F1126">
        <f>IF(INVENTARIO!N1126="","",INVENTARIO!N1126)</f>
        <v/>
      </c>
      <c r="G1126">
        <f>IF(INVENTARIO!P1126="","",INVENTARIO!P1126)</f>
        <v/>
      </c>
      <c r="H1126">
        <f>IF(INVENTARIO!Q1126="","",INVENTARIO!Q1126)</f>
        <v/>
      </c>
      <c r="I1126">
        <f>IF(INVENTARIO!R1126="","",INVENTARIO!R1126)</f>
        <v/>
      </c>
      <c r="J1126">
        <f>IF(G1126="PUBLICA(1)",1,IF(G1126="USO INTERNO(2)",2,IF(G1126="RESTRINGIDO(3)",3,0)))+IF(H1126="BAJA(1)",1,IF(H1126="MEDIA(2)",2,IF(H1126="ALTA(3)",3,0)))+IF(I1126="BAJA(1)",1,IF(I1126="MEDIA(2)",2,IF(I1126="ALTA(3)",3,0)))</f>
        <v/>
      </c>
      <c r="K1126">
        <f>IF(J1126="", "", IF(J1126&gt;=8,"ALTA",IF(J1126&gt;=6,"MEDIA","BAJA")))</f>
        <v/>
      </c>
      <c r="L1126">
        <f>IF(INVENTARIO!Y1126="","",INVENTARIO!Y1126)</f>
        <v/>
      </c>
      <c r="M1126">
        <f>IF(INVENTARIO!Z1126="","",INVENTARIO!Z1126)</f>
        <v/>
      </c>
      <c r="N1126">
        <f>IF(INVENTARIO!AA1126="","",INVENTARIO!AA1126)</f>
        <v/>
      </c>
      <c r="O1126">
        <f>IF(INVENTARIO!AB1126="","",INVENTARIO!AB1126)</f>
        <v/>
      </c>
      <c r="P1126">
        <f>IF(INVENTARIO!AC1126="","",INVENTARIO!AC1126)</f>
        <v/>
      </c>
      <c r="Q1126">
        <f>IF(AND(K1126="",N1126="",L1126=""),"",IF(AND((K1126="ALTA"),OR(LEFT(N1126,2)="L0",LEFT(N1126,2)="L1",L1126="No Iniciado")),"CRÍTICO - Incumplimiento Normativo SEPS",IF(AND(OR(LEFT(N1126,2)="L4",LEFT(N1126,2)="L5"),AND(P1126&lt;&gt;"",P1126&lt;&gt;"N/A")),"CONFORME - Control Efectivo ISO 27001","OBSERVACIÓN - Revisar Controles")))</f>
        <v/>
      </c>
    </row>
    <row r="1127">
      <c r="A1127">
        <f>IF(INVENTARIO!A1127="","",INVENTARIO!A1127)</f>
        <v/>
      </c>
      <c r="B1127">
        <f>IF(INVENTARIO!E1127="","",INVENTARIO!E1127)</f>
        <v/>
      </c>
      <c r="C1127">
        <f>IF(INVENTARIO!F1127="","",INVENTARIO!F1127)</f>
        <v/>
      </c>
      <c r="D1127">
        <f>IF(INVENTARIO!H1127="","",INVENTARIO!H1127)</f>
        <v/>
      </c>
      <c r="E1127">
        <f>IF(INVENTARIO!I1127="","",INVENTARIO!I1127)</f>
        <v/>
      </c>
      <c r="F1127">
        <f>IF(INVENTARIO!N1127="","",INVENTARIO!N1127)</f>
        <v/>
      </c>
      <c r="G1127">
        <f>IF(INVENTARIO!P1127="","",INVENTARIO!P1127)</f>
        <v/>
      </c>
      <c r="H1127">
        <f>IF(INVENTARIO!Q1127="","",INVENTARIO!Q1127)</f>
        <v/>
      </c>
      <c r="I1127">
        <f>IF(INVENTARIO!R1127="","",INVENTARIO!R1127)</f>
        <v/>
      </c>
      <c r="J1127">
        <f>IF(G1127="PUBLICA(1)",1,IF(G1127="USO INTERNO(2)",2,IF(G1127="RESTRINGIDO(3)",3,0)))+IF(H1127="BAJA(1)",1,IF(H1127="MEDIA(2)",2,IF(H1127="ALTA(3)",3,0)))+IF(I1127="BAJA(1)",1,IF(I1127="MEDIA(2)",2,IF(I1127="ALTA(3)",3,0)))</f>
        <v/>
      </c>
      <c r="K1127">
        <f>IF(J1127="", "", IF(J1127&gt;=8,"ALTA",IF(J1127&gt;=6,"MEDIA","BAJA")))</f>
        <v/>
      </c>
      <c r="L1127">
        <f>IF(INVENTARIO!Y1127="","",INVENTARIO!Y1127)</f>
        <v/>
      </c>
      <c r="M1127">
        <f>IF(INVENTARIO!Z1127="","",INVENTARIO!Z1127)</f>
        <v/>
      </c>
      <c r="N1127">
        <f>IF(INVENTARIO!AA1127="","",INVENTARIO!AA1127)</f>
        <v/>
      </c>
      <c r="O1127">
        <f>IF(INVENTARIO!AB1127="","",INVENTARIO!AB1127)</f>
        <v/>
      </c>
      <c r="P1127">
        <f>IF(INVENTARIO!AC1127="","",INVENTARIO!AC1127)</f>
        <v/>
      </c>
      <c r="Q1127">
        <f>IF(AND(K1127="",N1127="",L1127=""),"",IF(AND((K1127="ALTA"),OR(LEFT(N1127,2)="L0",LEFT(N1127,2)="L1",L1127="No Iniciado")),"CRÍTICO - Incumplimiento Normativo SEPS",IF(AND(OR(LEFT(N1127,2)="L4",LEFT(N1127,2)="L5"),AND(P1127&lt;&gt;"",P1127&lt;&gt;"N/A")),"CONFORME - Control Efectivo ISO 27001","OBSERVACIÓN - Revisar Controles")))</f>
        <v/>
      </c>
    </row>
    <row r="1128">
      <c r="A1128">
        <f>IF(INVENTARIO!A1128="","",INVENTARIO!A1128)</f>
        <v/>
      </c>
      <c r="B1128">
        <f>IF(INVENTARIO!E1128="","",INVENTARIO!E1128)</f>
        <v/>
      </c>
      <c r="C1128">
        <f>IF(INVENTARIO!F1128="","",INVENTARIO!F1128)</f>
        <v/>
      </c>
      <c r="D1128">
        <f>IF(INVENTARIO!H1128="","",INVENTARIO!H1128)</f>
        <v/>
      </c>
      <c r="E1128">
        <f>IF(INVENTARIO!I1128="","",INVENTARIO!I1128)</f>
        <v/>
      </c>
      <c r="F1128">
        <f>IF(INVENTARIO!N1128="","",INVENTARIO!N1128)</f>
        <v/>
      </c>
      <c r="G1128">
        <f>IF(INVENTARIO!P1128="","",INVENTARIO!P1128)</f>
        <v/>
      </c>
      <c r="H1128">
        <f>IF(INVENTARIO!Q1128="","",INVENTARIO!Q1128)</f>
        <v/>
      </c>
      <c r="I1128">
        <f>IF(INVENTARIO!R1128="","",INVENTARIO!R1128)</f>
        <v/>
      </c>
      <c r="J1128">
        <f>IF(G1128="PUBLICA(1)",1,IF(G1128="USO INTERNO(2)",2,IF(G1128="RESTRINGIDO(3)",3,0)))+IF(H1128="BAJA(1)",1,IF(H1128="MEDIA(2)",2,IF(H1128="ALTA(3)",3,0)))+IF(I1128="BAJA(1)",1,IF(I1128="MEDIA(2)",2,IF(I1128="ALTA(3)",3,0)))</f>
        <v/>
      </c>
      <c r="K1128">
        <f>IF(J1128="", "", IF(J1128&gt;=8,"ALTA",IF(J1128&gt;=6,"MEDIA","BAJA")))</f>
        <v/>
      </c>
      <c r="L1128">
        <f>IF(INVENTARIO!Y1128="","",INVENTARIO!Y1128)</f>
        <v/>
      </c>
      <c r="M1128">
        <f>IF(INVENTARIO!Z1128="","",INVENTARIO!Z1128)</f>
        <v/>
      </c>
      <c r="N1128">
        <f>IF(INVENTARIO!AA1128="","",INVENTARIO!AA1128)</f>
        <v/>
      </c>
      <c r="O1128">
        <f>IF(INVENTARIO!AB1128="","",INVENTARIO!AB1128)</f>
        <v/>
      </c>
      <c r="P1128">
        <f>IF(INVENTARIO!AC1128="","",INVENTARIO!AC1128)</f>
        <v/>
      </c>
      <c r="Q1128">
        <f>IF(AND(K1128="",N1128="",L1128=""),"",IF(AND((K1128="ALTA"),OR(LEFT(N1128,2)="L0",LEFT(N1128,2)="L1",L1128="No Iniciado")),"CRÍTICO - Incumplimiento Normativo SEPS",IF(AND(OR(LEFT(N1128,2)="L4",LEFT(N1128,2)="L5"),AND(P1128&lt;&gt;"",P1128&lt;&gt;"N/A")),"CONFORME - Control Efectivo ISO 27001","OBSERVACIÓN - Revisar Controles")))</f>
        <v/>
      </c>
    </row>
    <row r="1129">
      <c r="A1129">
        <f>IF(INVENTARIO!A1129="","",INVENTARIO!A1129)</f>
        <v/>
      </c>
      <c r="B1129">
        <f>IF(INVENTARIO!E1129="","",INVENTARIO!E1129)</f>
        <v/>
      </c>
      <c r="C1129">
        <f>IF(INVENTARIO!F1129="","",INVENTARIO!F1129)</f>
        <v/>
      </c>
      <c r="D1129">
        <f>IF(INVENTARIO!H1129="","",INVENTARIO!H1129)</f>
        <v/>
      </c>
      <c r="E1129">
        <f>IF(INVENTARIO!I1129="","",INVENTARIO!I1129)</f>
        <v/>
      </c>
      <c r="F1129">
        <f>IF(INVENTARIO!N1129="","",INVENTARIO!N1129)</f>
        <v/>
      </c>
      <c r="G1129">
        <f>IF(INVENTARIO!P1129="","",INVENTARIO!P1129)</f>
        <v/>
      </c>
      <c r="H1129">
        <f>IF(INVENTARIO!Q1129="","",INVENTARIO!Q1129)</f>
        <v/>
      </c>
      <c r="I1129">
        <f>IF(INVENTARIO!R1129="","",INVENTARIO!R1129)</f>
        <v/>
      </c>
      <c r="J1129">
        <f>IF(G1129="PUBLICA(1)",1,IF(G1129="USO INTERNO(2)",2,IF(G1129="RESTRINGIDO(3)",3,0)))+IF(H1129="BAJA(1)",1,IF(H1129="MEDIA(2)",2,IF(H1129="ALTA(3)",3,0)))+IF(I1129="BAJA(1)",1,IF(I1129="MEDIA(2)",2,IF(I1129="ALTA(3)",3,0)))</f>
        <v/>
      </c>
      <c r="K1129">
        <f>IF(J1129="", "", IF(J1129&gt;=8,"ALTA",IF(J1129&gt;=6,"MEDIA","BAJA")))</f>
        <v/>
      </c>
      <c r="L1129">
        <f>IF(INVENTARIO!Y1129="","",INVENTARIO!Y1129)</f>
        <v/>
      </c>
      <c r="M1129">
        <f>IF(INVENTARIO!Z1129="","",INVENTARIO!Z1129)</f>
        <v/>
      </c>
      <c r="N1129">
        <f>IF(INVENTARIO!AA1129="","",INVENTARIO!AA1129)</f>
        <v/>
      </c>
      <c r="O1129">
        <f>IF(INVENTARIO!AB1129="","",INVENTARIO!AB1129)</f>
        <v/>
      </c>
      <c r="P1129">
        <f>IF(INVENTARIO!AC1129="","",INVENTARIO!AC1129)</f>
        <v/>
      </c>
      <c r="Q1129">
        <f>IF(AND(K1129="",N1129="",L1129=""),"",IF(AND((K1129="ALTA"),OR(LEFT(N1129,2)="L0",LEFT(N1129,2)="L1",L1129="No Iniciado")),"CRÍTICO - Incumplimiento Normativo SEPS",IF(AND(OR(LEFT(N1129,2)="L4",LEFT(N1129,2)="L5"),AND(P1129&lt;&gt;"",P1129&lt;&gt;"N/A")),"CONFORME - Control Efectivo ISO 27001","OBSERVACIÓN - Revisar Controles")))</f>
        <v/>
      </c>
    </row>
    <row r="1130">
      <c r="A1130">
        <f>IF(INVENTARIO!A1130="","",INVENTARIO!A1130)</f>
        <v/>
      </c>
      <c r="B1130">
        <f>IF(INVENTARIO!E1130="","",INVENTARIO!E1130)</f>
        <v/>
      </c>
      <c r="C1130">
        <f>IF(INVENTARIO!F1130="","",INVENTARIO!F1130)</f>
        <v/>
      </c>
      <c r="D1130">
        <f>IF(INVENTARIO!H1130="","",INVENTARIO!H1130)</f>
        <v/>
      </c>
      <c r="E1130">
        <f>IF(INVENTARIO!I1130="","",INVENTARIO!I1130)</f>
        <v/>
      </c>
      <c r="F1130">
        <f>IF(INVENTARIO!N1130="","",INVENTARIO!N1130)</f>
        <v/>
      </c>
      <c r="G1130">
        <f>IF(INVENTARIO!P1130="","",INVENTARIO!P1130)</f>
        <v/>
      </c>
      <c r="H1130">
        <f>IF(INVENTARIO!Q1130="","",INVENTARIO!Q1130)</f>
        <v/>
      </c>
      <c r="I1130">
        <f>IF(INVENTARIO!R1130="","",INVENTARIO!R1130)</f>
        <v/>
      </c>
      <c r="J1130">
        <f>IF(G1130="PUBLICA(1)",1,IF(G1130="USO INTERNO(2)",2,IF(G1130="RESTRINGIDO(3)",3,0)))+IF(H1130="BAJA(1)",1,IF(H1130="MEDIA(2)",2,IF(H1130="ALTA(3)",3,0)))+IF(I1130="BAJA(1)",1,IF(I1130="MEDIA(2)",2,IF(I1130="ALTA(3)",3,0)))</f>
        <v/>
      </c>
      <c r="K1130">
        <f>IF(J1130="", "", IF(J1130&gt;=8,"ALTA",IF(J1130&gt;=6,"MEDIA","BAJA")))</f>
        <v/>
      </c>
      <c r="L1130">
        <f>IF(INVENTARIO!Y1130="","",INVENTARIO!Y1130)</f>
        <v/>
      </c>
      <c r="M1130">
        <f>IF(INVENTARIO!Z1130="","",INVENTARIO!Z1130)</f>
        <v/>
      </c>
      <c r="N1130">
        <f>IF(INVENTARIO!AA1130="","",INVENTARIO!AA1130)</f>
        <v/>
      </c>
      <c r="O1130">
        <f>IF(INVENTARIO!AB1130="","",INVENTARIO!AB1130)</f>
        <v/>
      </c>
      <c r="P1130">
        <f>IF(INVENTARIO!AC1130="","",INVENTARIO!AC1130)</f>
        <v/>
      </c>
      <c r="Q1130">
        <f>IF(AND(K1130="",N1130="",L1130=""),"",IF(AND((K1130="ALTA"),OR(LEFT(N1130,2)="L0",LEFT(N1130,2)="L1",L1130="No Iniciado")),"CRÍTICO - Incumplimiento Normativo SEPS",IF(AND(OR(LEFT(N1130,2)="L4",LEFT(N1130,2)="L5"),AND(P1130&lt;&gt;"",P1130&lt;&gt;"N/A")),"CONFORME - Control Efectivo ISO 27001","OBSERVACIÓN - Revisar Controles")))</f>
        <v/>
      </c>
    </row>
    <row r="1131">
      <c r="A1131">
        <f>IF(INVENTARIO!A1131="","",INVENTARIO!A1131)</f>
        <v/>
      </c>
      <c r="B1131">
        <f>IF(INVENTARIO!E1131="","",INVENTARIO!E1131)</f>
        <v/>
      </c>
      <c r="C1131">
        <f>IF(INVENTARIO!F1131="","",INVENTARIO!F1131)</f>
        <v/>
      </c>
      <c r="D1131">
        <f>IF(INVENTARIO!H1131="","",INVENTARIO!H1131)</f>
        <v/>
      </c>
      <c r="E1131">
        <f>IF(INVENTARIO!I1131="","",INVENTARIO!I1131)</f>
        <v/>
      </c>
      <c r="F1131">
        <f>IF(INVENTARIO!N1131="","",INVENTARIO!N1131)</f>
        <v/>
      </c>
      <c r="G1131">
        <f>IF(INVENTARIO!P1131="","",INVENTARIO!P1131)</f>
        <v/>
      </c>
      <c r="H1131">
        <f>IF(INVENTARIO!Q1131="","",INVENTARIO!Q1131)</f>
        <v/>
      </c>
      <c r="I1131">
        <f>IF(INVENTARIO!R1131="","",INVENTARIO!R1131)</f>
        <v/>
      </c>
      <c r="J1131">
        <f>IF(G1131="PUBLICA(1)",1,IF(G1131="USO INTERNO(2)",2,IF(G1131="RESTRINGIDO(3)",3,0)))+IF(H1131="BAJA(1)",1,IF(H1131="MEDIA(2)",2,IF(H1131="ALTA(3)",3,0)))+IF(I1131="BAJA(1)",1,IF(I1131="MEDIA(2)",2,IF(I1131="ALTA(3)",3,0)))</f>
        <v/>
      </c>
      <c r="K1131">
        <f>IF(J1131="", "", IF(J1131&gt;=8,"ALTA",IF(J1131&gt;=6,"MEDIA","BAJA")))</f>
        <v/>
      </c>
      <c r="L1131">
        <f>IF(INVENTARIO!Y1131="","",INVENTARIO!Y1131)</f>
        <v/>
      </c>
      <c r="M1131">
        <f>IF(INVENTARIO!Z1131="","",INVENTARIO!Z1131)</f>
        <v/>
      </c>
      <c r="N1131">
        <f>IF(INVENTARIO!AA1131="","",INVENTARIO!AA1131)</f>
        <v/>
      </c>
      <c r="O1131">
        <f>IF(INVENTARIO!AB1131="","",INVENTARIO!AB1131)</f>
        <v/>
      </c>
      <c r="P1131">
        <f>IF(INVENTARIO!AC1131="","",INVENTARIO!AC1131)</f>
        <v/>
      </c>
      <c r="Q1131">
        <f>IF(AND(K1131="",N1131="",L1131=""),"",IF(AND((K1131="ALTA"),OR(LEFT(N1131,2)="L0",LEFT(N1131,2)="L1",L1131="No Iniciado")),"CRÍTICO - Incumplimiento Normativo SEPS",IF(AND(OR(LEFT(N1131,2)="L4",LEFT(N1131,2)="L5"),AND(P1131&lt;&gt;"",P1131&lt;&gt;"N/A")),"CONFORME - Control Efectivo ISO 27001","OBSERVACIÓN - Revisar Controles")))</f>
        <v/>
      </c>
    </row>
    <row r="1132">
      <c r="A1132">
        <f>IF(INVENTARIO!A1132="","",INVENTARIO!A1132)</f>
        <v/>
      </c>
      <c r="B1132">
        <f>IF(INVENTARIO!E1132="","",INVENTARIO!E1132)</f>
        <v/>
      </c>
      <c r="C1132">
        <f>IF(INVENTARIO!F1132="","",INVENTARIO!F1132)</f>
        <v/>
      </c>
      <c r="D1132">
        <f>IF(INVENTARIO!H1132="","",INVENTARIO!H1132)</f>
        <v/>
      </c>
      <c r="E1132">
        <f>IF(INVENTARIO!I1132="","",INVENTARIO!I1132)</f>
        <v/>
      </c>
      <c r="F1132">
        <f>IF(INVENTARIO!N1132="","",INVENTARIO!N1132)</f>
        <v/>
      </c>
      <c r="G1132">
        <f>IF(INVENTARIO!P1132="","",INVENTARIO!P1132)</f>
        <v/>
      </c>
      <c r="H1132">
        <f>IF(INVENTARIO!Q1132="","",INVENTARIO!Q1132)</f>
        <v/>
      </c>
      <c r="I1132">
        <f>IF(INVENTARIO!R1132="","",INVENTARIO!R1132)</f>
        <v/>
      </c>
      <c r="J1132">
        <f>IF(G1132="PUBLICA(1)",1,IF(G1132="USO INTERNO(2)",2,IF(G1132="RESTRINGIDO(3)",3,0)))+IF(H1132="BAJA(1)",1,IF(H1132="MEDIA(2)",2,IF(H1132="ALTA(3)",3,0)))+IF(I1132="BAJA(1)",1,IF(I1132="MEDIA(2)",2,IF(I1132="ALTA(3)",3,0)))</f>
        <v/>
      </c>
      <c r="K1132">
        <f>IF(J1132="", "", IF(J1132&gt;=8,"ALTA",IF(J1132&gt;=6,"MEDIA","BAJA")))</f>
        <v/>
      </c>
      <c r="L1132">
        <f>IF(INVENTARIO!Y1132="","",INVENTARIO!Y1132)</f>
        <v/>
      </c>
      <c r="M1132">
        <f>IF(INVENTARIO!Z1132="","",INVENTARIO!Z1132)</f>
        <v/>
      </c>
      <c r="N1132">
        <f>IF(INVENTARIO!AA1132="","",INVENTARIO!AA1132)</f>
        <v/>
      </c>
      <c r="O1132">
        <f>IF(INVENTARIO!AB1132="","",INVENTARIO!AB1132)</f>
        <v/>
      </c>
      <c r="P1132">
        <f>IF(INVENTARIO!AC1132="","",INVENTARIO!AC1132)</f>
        <v/>
      </c>
      <c r="Q1132">
        <f>IF(AND(K1132="",N1132="",L1132=""),"",IF(AND((K1132="ALTA"),OR(LEFT(N1132,2)="L0",LEFT(N1132,2)="L1",L1132="No Iniciado")),"CRÍTICO - Incumplimiento Normativo SEPS",IF(AND(OR(LEFT(N1132,2)="L4",LEFT(N1132,2)="L5"),AND(P1132&lt;&gt;"",P1132&lt;&gt;"N/A")),"CONFORME - Control Efectivo ISO 27001","OBSERVACIÓN - Revisar Controles")))</f>
        <v/>
      </c>
    </row>
    <row r="1133">
      <c r="A1133">
        <f>IF(INVENTARIO!A1133="","",INVENTARIO!A1133)</f>
        <v/>
      </c>
      <c r="B1133">
        <f>IF(INVENTARIO!E1133="","",INVENTARIO!E1133)</f>
        <v/>
      </c>
      <c r="C1133">
        <f>IF(INVENTARIO!F1133="","",INVENTARIO!F1133)</f>
        <v/>
      </c>
      <c r="D1133">
        <f>IF(INVENTARIO!H1133="","",INVENTARIO!H1133)</f>
        <v/>
      </c>
      <c r="E1133">
        <f>IF(INVENTARIO!I1133="","",INVENTARIO!I1133)</f>
        <v/>
      </c>
      <c r="F1133">
        <f>IF(INVENTARIO!N1133="","",INVENTARIO!N1133)</f>
        <v/>
      </c>
      <c r="G1133">
        <f>IF(INVENTARIO!P1133="","",INVENTARIO!P1133)</f>
        <v/>
      </c>
      <c r="H1133">
        <f>IF(INVENTARIO!Q1133="","",INVENTARIO!Q1133)</f>
        <v/>
      </c>
      <c r="I1133">
        <f>IF(INVENTARIO!R1133="","",INVENTARIO!R1133)</f>
        <v/>
      </c>
      <c r="J1133">
        <f>IF(G1133="PUBLICA(1)",1,IF(G1133="USO INTERNO(2)",2,IF(G1133="RESTRINGIDO(3)",3,0)))+IF(H1133="BAJA(1)",1,IF(H1133="MEDIA(2)",2,IF(H1133="ALTA(3)",3,0)))+IF(I1133="BAJA(1)",1,IF(I1133="MEDIA(2)",2,IF(I1133="ALTA(3)",3,0)))</f>
        <v/>
      </c>
      <c r="K1133">
        <f>IF(J1133="", "", IF(J1133&gt;=8,"ALTA",IF(J1133&gt;=6,"MEDIA","BAJA")))</f>
        <v/>
      </c>
      <c r="L1133">
        <f>IF(INVENTARIO!Y1133="","",INVENTARIO!Y1133)</f>
        <v/>
      </c>
      <c r="M1133">
        <f>IF(INVENTARIO!Z1133="","",INVENTARIO!Z1133)</f>
        <v/>
      </c>
      <c r="N1133">
        <f>IF(INVENTARIO!AA1133="","",INVENTARIO!AA1133)</f>
        <v/>
      </c>
      <c r="O1133">
        <f>IF(INVENTARIO!AB1133="","",INVENTARIO!AB1133)</f>
        <v/>
      </c>
      <c r="P1133">
        <f>IF(INVENTARIO!AC1133="","",INVENTARIO!AC1133)</f>
        <v/>
      </c>
      <c r="Q1133">
        <f>IF(AND(K1133="",N1133="",L1133=""),"",IF(AND((K1133="ALTA"),OR(LEFT(N1133,2)="L0",LEFT(N1133,2)="L1",L1133="No Iniciado")),"CRÍTICO - Incumplimiento Normativo SEPS",IF(AND(OR(LEFT(N1133,2)="L4",LEFT(N1133,2)="L5"),AND(P1133&lt;&gt;"",P1133&lt;&gt;"N/A")),"CONFORME - Control Efectivo ISO 27001","OBSERVACIÓN - Revisar Controles")))</f>
        <v/>
      </c>
    </row>
    <row r="1134">
      <c r="A1134">
        <f>IF(INVENTARIO!A1134="","",INVENTARIO!A1134)</f>
        <v/>
      </c>
      <c r="B1134">
        <f>IF(INVENTARIO!E1134="","",INVENTARIO!E1134)</f>
        <v/>
      </c>
      <c r="C1134">
        <f>IF(INVENTARIO!F1134="","",INVENTARIO!F1134)</f>
        <v/>
      </c>
      <c r="D1134">
        <f>IF(INVENTARIO!H1134="","",INVENTARIO!H1134)</f>
        <v/>
      </c>
      <c r="E1134">
        <f>IF(INVENTARIO!I1134="","",INVENTARIO!I1134)</f>
        <v/>
      </c>
      <c r="F1134">
        <f>IF(INVENTARIO!N1134="","",INVENTARIO!N1134)</f>
        <v/>
      </c>
      <c r="G1134">
        <f>IF(INVENTARIO!P1134="","",INVENTARIO!P1134)</f>
        <v/>
      </c>
      <c r="H1134">
        <f>IF(INVENTARIO!Q1134="","",INVENTARIO!Q1134)</f>
        <v/>
      </c>
      <c r="I1134">
        <f>IF(INVENTARIO!R1134="","",INVENTARIO!R1134)</f>
        <v/>
      </c>
      <c r="J1134">
        <f>IF(G1134="PUBLICA(1)",1,IF(G1134="USO INTERNO(2)",2,IF(G1134="RESTRINGIDO(3)",3,0)))+IF(H1134="BAJA(1)",1,IF(H1134="MEDIA(2)",2,IF(H1134="ALTA(3)",3,0)))+IF(I1134="BAJA(1)",1,IF(I1134="MEDIA(2)",2,IF(I1134="ALTA(3)",3,0)))</f>
        <v/>
      </c>
      <c r="K1134">
        <f>IF(J1134="", "", IF(J1134&gt;=8,"ALTA",IF(J1134&gt;=6,"MEDIA","BAJA")))</f>
        <v/>
      </c>
      <c r="L1134">
        <f>IF(INVENTARIO!Y1134="","",INVENTARIO!Y1134)</f>
        <v/>
      </c>
      <c r="M1134">
        <f>IF(INVENTARIO!Z1134="","",INVENTARIO!Z1134)</f>
        <v/>
      </c>
      <c r="N1134">
        <f>IF(INVENTARIO!AA1134="","",INVENTARIO!AA1134)</f>
        <v/>
      </c>
      <c r="O1134">
        <f>IF(INVENTARIO!AB1134="","",INVENTARIO!AB1134)</f>
        <v/>
      </c>
      <c r="P1134">
        <f>IF(INVENTARIO!AC1134="","",INVENTARIO!AC1134)</f>
        <v/>
      </c>
      <c r="Q1134">
        <f>IF(AND(K1134="",N1134="",L1134=""),"",IF(AND((K1134="ALTA"),OR(LEFT(N1134,2)="L0",LEFT(N1134,2)="L1",L1134="No Iniciado")),"CRÍTICO - Incumplimiento Normativo SEPS",IF(AND(OR(LEFT(N1134,2)="L4",LEFT(N1134,2)="L5"),AND(P1134&lt;&gt;"",P1134&lt;&gt;"N/A")),"CONFORME - Control Efectivo ISO 27001","OBSERVACIÓN - Revisar Controles")))</f>
        <v/>
      </c>
    </row>
    <row r="1135">
      <c r="A1135">
        <f>IF(INVENTARIO!A1135="","",INVENTARIO!A1135)</f>
        <v/>
      </c>
      <c r="B1135">
        <f>IF(INVENTARIO!E1135="","",INVENTARIO!E1135)</f>
        <v/>
      </c>
      <c r="C1135">
        <f>IF(INVENTARIO!F1135="","",INVENTARIO!F1135)</f>
        <v/>
      </c>
      <c r="D1135">
        <f>IF(INVENTARIO!H1135="","",INVENTARIO!H1135)</f>
        <v/>
      </c>
      <c r="E1135">
        <f>IF(INVENTARIO!I1135="","",INVENTARIO!I1135)</f>
        <v/>
      </c>
      <c r="F1135">
        <f>IF(INVENTARIO!N1135="","",INVENTARIO!N1135)</f>
        <v/>
      </c>
      <c r="G1135">
        <f>IF(INVENTARIO!P1135="","",INVENTARIO!P1135)</f>
        <v/>
      </c>
      <c r="H1135">
        <f>IF(INVENTARIO!Q1135="","",INVENTARIO!Q1135)</f>
        <v/>
      </c>
      <c r="I1135">
        <f>IF(INVENTARIO!R1135="","",INVENTARIO!R1135)</f>
        <v/>
      </c>
      <c r="J1135">
        <f>IF(G1135="PUBLICA(1)",1,IF(G1135="USO INTERNO(2)",2,IF(G1135="RESTRINGIDO(3)",3,0)))+IF(H1135="BAJA(1)",1,IF(H1135="MEDIA(2)",2,IF(H1135="ALTA(3)",3,0)))+IF(I1135="BAJA(1)",1,IF(I1135="MEDIA(2)",2,IF(I1135="ALTA(3)",3,0)))</f>
        <v/>
      </c>
      <c r="K1135">
        <f>IF(J1135="", "", IF(J1135&gt;=8,"ALTA",IF(J1135&gt;=6,"MEDIA","BAJA")))</f>
        <v/>
      </c>
      <c r="L1135">
        <f>IF(INVENTARIO!Y1135="","",INVENTARIO!Y1135)</f>
        <v/>
      </c>
      <c r="M1135">
        <f>IF(INVENTARIO!Z1135="","",INVENTARIO!Z1135)</f>
        <v/>
      </c>
      <c r="N1135">
        <f>IF(INVENTARIO!AA1135="","",INVENTARIO!AA1135)</f>
        <v/>
      </c>
      <c r="O1135">
        <f>IF(INVENTARIO!AB1135="","",INVENTARIO!AB1135)</f>
        <v/>
      </c>
      <c r="P1135">
        <f>IF(INVENTARIO!AC1135="","",INVENTARIO!AC1135)</f>
        <v/>
      </c>
      <c r="Q1135">
        <f>IF(AND(K1135="",N1135="",L1135=""),"",IF(AND((K1135="ALTA"),OR(LEFT(N1135,2)="L0",LEFT(N1135,2)="L1",L1135="No Iniciado")),"CRÍTICO - Incumplimiento Normativo SEPS",IF(AND(OR(LEFT(N1135,2)="L4",LEFT(N1135,2)="L5"),AND(P1135&lt;&gt;"",P1135&lt;&gt;"N/A")),"CONFORME - Control Efectivo ISO 27001","OBSERVACIÓN - Revisar Controles")))</f>
        <v/>
      </c>
    </row>
    <row r="1136">
      <c r="A1136">
        <f>IF(INVENTARIO!A1136="","",INVENTARIO!A1136)</f>
        <v/>
      </c>
      <c r="B1136">
        <f>IF(INVENTARIO!E1136="","",INVENTARIO!E1136)</f>
        <v/>
      </c>
      <c r="C1136">
        <f>IF(INVENTARIO!F1136="","",INVENTARIO!F1136)</f>
        <v/>
      </c>
      <c r="D1136">
        <f>IF(INVENTARIO!H1136="","",INVENTARIO!H1136)</f>
        <v/>
      </c>
      <c r="E1136">
        <f>IF(INVENTARIO!I1136="","",INVENTARIO!I1136)</f>
        <v/>
      </c>
      <c r="F1136">
        <f>IF(INVENTARIO!N1136="","",INVENTARIO!N1136)</f>
        <v/>
      </c>
      <c r="G1136">
        <f>IF(INVENTARIO!P1136="","",INVENTARIO!P1136)</f>
        <v/>
      </c>
      <c r="H1136">
        <f>IF(INVENTARIO!Q1136="","",INVENTARIO!Q1136)</f>
        <v/>
      </c>
      <c r="I1136">
        <f>IF(INVENTARIO!R1136="","",INVENTARIO!R1136)</f>
        <v/>
      </c>
      <c r="J1136">
        <f>IF(G1136="PUBLICA(1)",1,IF(G1136="USO INTERNO(2)",2,IF(G1136="RESTRINGIDO(3)",3,0)))+IF(H1136="BAJA(1)",1,IF(H1136="MEDIA(2)",2,IF(H1136="ALTA(3)",3,0)))+IF(I1136="BAJA(1)",1,IF(I1136="MEDIA(2)",2,IF(I1136="ALTA(3)",3,0)))</f>
        <v/>
      </c>
      <c r="K1136">
        <f>IF(J1136="", "", IF(J1136&gt;=8,"ALTA",IF(J1136&gt;=6,"MEDIA","BAJA")))</f>
        <v/>
      </c>
      <c r="L1136">
        <f>IF(INVENTARIO!Y1136="","",INVENTARIO!Y1136)</f>
        <v/>
      </c>
      <c r="M1136">
        <f>IF(INVENTARIO!Z1136="","",INVENTARIO!Z1136)</f>
        <v/>
      </c>
      <c r="N1136">
        <f>IF(INVENTARIO!AA1136="","",INVENTARIO!AA1136)</f>
        <v/>
      </c>
      <c r="O1136">
        <f>IF(INVENTARIO!AB1136="","",INVENTARIO!AB1136)</f>
        <v/>
      </c>
      <c r="P1136">
        <f>IF(INVENTARIO!AC1136="","",INVENTARIO!AC1136)</f>
        <v/>
      </c>
      <c r="Q1136">
        <f>IF(AND(K1136="",N1136="",L1136=""),"",IF(AND((K1136="ALTA"),OR(LEFT(N1136,2)="L0",LEFT(N1136,2)="L1",L1136="No Iniciado")),"CRÍTICO - Incumplimiento Normativo SEPS",IF(AND(OR(LEFT(N1136,2)="L4",LEFT(N1136,2)="L5"),AND(P1136&lt;&gt;"",P1136&lt;&gt;"N/A")),"CONFORME - Control Efectivo ISO 27001","OBSERVACIÓN - Revisar Controles")))</f>
        <v/>
      </c>
    </row>
    <row r="1137">
      <c r="A1137">
        <f>IF(INVENTARIO!A1137="","",INVENTARIO!A1137)</f>
        <v/>
      </c>
      <c r="B1137">
        <f>IF(INVENTARIO!E1137="","",INVENTARIO!E1137)</f>
        <v/>
      </c>
      <c r="C1137">
        <f>IF(INVENTARIO!F1137="","",INVENTARIO!F1137)</f>
        <v/>
      </c>
      <c r="D1137">
        <f>IF(INVENTARIO!H1137="","",INVENTARIO!H1137)</f>
        <v/>
      </c>
      <c r="E1137">
        <f>IF(INVENTARIO!I1137="","",INVENTARIO!I1137)</f>
        <v/>
      </c>
      <c r="F1137">
        <f>IF(INVENTARIO!N1137="","",INVENTARIO!N1137)</f>
        <v/>
      </c>
      <c r="G1137">
        <f>IF(INVENTARIO!P1137="","",INVENTARIO!P1137)</f>
        <v/>
      </c>
      <c r="H1137">
        <f>IF(INVENTARIO!Q1137="","",INVENTARIO!Q1137)</f>
        <v/>
      </c>
      <c r="I1137">
        <f>IF(INVENTARIO!R1137="","",INVENTARIO!R1137)</f>
        <v/>
      </c>
      <c r="J1137">
        <f>IF(G1137="PUBLICA(1)",1,IF(G1137="USO INTERNO(2)",2,IF(G1137="RESTRINGIDO(3)",3,0)))+IF(H1137="BAJA(1)",1,IF(H1137="MEDIA(2)",2,IF(H1137="ALTA(3)",3,0)))+IF(I1137="BAJA(1)",1,IF(I1137="MEDIA(2)",2,IF(I1137="ALTA(3)",3,0)))</f>
        <v/>
      </c>
      <c r="K1137">
        <f>IF(J1137="", "", IF(J1137&gt;=8,"ALTA",IF(J1137&gt;=6,"MEDIA","BAJA")))</f>
        <v/>
      </c>
      <c r="L1137">
        <f>IF(INVENTARIO!Y1137="","",INVENTARIO!Y1137)</f>
        <v/>
      </c>
      <c r="M1137">
        <f>IF(INVENTARIO!Z1137="","",INVENTARIO!Z1137)</f>
        <v/>
      </c>
      <c r="N1137">
        <f>IF(INVENTARIO!AA1137="","",INVENTARIO!AA1137)</f>
        <v/>
      </c>
      <c r="O1137">
        <f>IF(INVENTARIO!AB1137="","",INVENTARIO!AB1137)</f>
        <v/>
      </c>
      <c r="P1137">
        <f>IF(INVENTARIO!AC1137="","",INVENTARIO!AC1137)</f>
        <v/>
      </c>
      <c r="Q1137">
        <f>IF(AND(K1137="",N1137="",L1137=""),"",IF(AND((K1137="ALTA"),OR(LEFT(N1137,2)="L0",LEFT(N1137,2)="L1",L1137="No Iniciado")),"CRÍTICO - Incumplimiento Normativo SEPS",IF(AND(OR(LEFT(N1137,2)="L4",LEFT(N1137,2)="L5"),AND(P1137&lt;&gt;"",P1137&lt;&gt;"N/A")),"CONFORME - Control Efectivo ISO 27001","OBSERVACIÓN - Revisar Controles")))</f>
        <v/>
      </c>
    </row>
    <row r="1138">
      <c r="A1138">
        <f>IF(INVENTARIO!A1138="","",INVENTARIO!A1138)</f>
        <v/>
      </c>
      <c r="B1138">
        <f>IF(INVENTARIO!E1138="","",INVENTARIO!E1138)</f>
        <v/>
      </c>
      <c r="C1138">
        <f>IF(INVENTARIO!F1138="","",INVENTARIO!F1138)</f>
        <v/>
      </c>
      <c r="D1138">
        <f>IF(INVENTARIO!H1138="","",INVENTARIO!H1138)</f>
        <v/>
      </c>
      <c r="E1138">
        <f>IF(INVENTARIO!I1138="","",INVENTARIO!I1138)</f>
        <v/>
      </c>
      <c r="F1138">
        <f>IF(INVENTARIO!N1138="","",INVENTARIO!N1138)</f>
        <v/>
      </c>
      <c r="G1138">
        <f>IF(INVENTARIO!P1138="","",INVENTARIO!P1138)</f>
        <v/>
      </c>
      <c r="H1138">
        <f>IF(INVENTARIO!Q1138="","",INVENTARIO!Q1138)</f>
        <v/>
      </c>
      <c r="I1138">
        <f>IF(INVENTARIO!R1138="","",INVENTARIO!R1138)</f>
        <v/>
      </c>
      <c r="J1138">
        <f>IF(G1138="PUBLICA(1)",1,IF(G1138="USO INTERNO(2)",2,IF(G1138="RESTRINGIDO(3)",3,0)))+IF(H1138="BAJA(1)",1,IF(H1138="MEDIA(2)",2,IF(H1138="ALTA(3)",3,0)))+IF(I1138="BAJA(1)",1,IF(I1138="MEDIA(2)",2,IF(I1138="ALTA(3)",3,0)))</f>
        <v/>
      </c>
      <c r="K1138">
        <f>IF(J1138="", "", IF(J1138&gt;=8,"ALTA",IF(J1138&gt;=6,"MEDIA","BAJA")))</f>
        <v/>
      </c>
      <c r="L1138">
        <f>IF(INVENTARIO!Y1138="","",INVENTARIO!Y1138)</f>
        <v/>
      </c>
      <c r="M1138">
        <f>IF(INVENTARIO!Z1138="","",INVENTARIO!Z1138)</f>
        <v/>
      </c>
      <c r="N1138">
        <f>IF(INVENTARIO!AA1138="","",INVENTARIO!AA1138)</f>
        <v/>
      </c>
      <c r="O1138">
        <f>IF(INVENTARIO!AB1138="","",INVENTARIO!AB1138)</f>
        <v/>
      </c>
      <c r="P1138">
        <f>IF(INVENTARIO!AC1138="","",INVENTARIO!AC1138)</f>
        <v/>
      </c>
      <c r="Q1138">
        <f>IF(AND(K1138="",N1138="",L1138=""),"",IF(AND((K1138="ALTA"),OR(LEFT(N1138,2)="L0",LEFT(N1138,2)="L1",L1138="No Iniciado")),"CRÍTICO - Incumplimiento Normativo SEPS",IF(AND(OR(LEFT(N1138,2)="L4",LEFT(N1138,2)="L5"),AND(P1138&lt;&gt;"",P1138&lt;&gt;"N/A")),"CONFORME - Control Efectivo ISO 27001","OBSERVACIÓN - Revisar Controles")))</f>
        <v/>
      </c>
    </row>
    <row r="1139">
      <c r="A1139">
        <f>IF(INVENTARIO!A1139="","",INVENTARIO!A1139)</f>
        <v/>
      </c>
      <c r="B1139">
        <f>IF(INVENTARIO!E1139="","",INVENTARIO!E1139)</f>
        <v/>
      </c>
      <c r="C1139">
        <f>IF(INVENTARIO!F1139="","",INVENTARIO!F1139)</f>
        <v/>
      </c>
      <c r="D1139">
        <f>IF(INVENTARIO!H1139="","",INVENTARIO!H1139)</f>
        <v/>
      </c>
      <c r="E1139">
        <f>IF(INVENTARIO!I1139="","",INVENTARIO!I1139)</f>
        <v/>
      </c>
      <c r="F1139">
        <f>IF(INVENTARIO!N1139="","",INVENTARIO!N1139)</f>
        <v/>
      </c>
      <c r="G1139">
        <f>IF(INVENTARIO!P1139="","",INVENTARIO!P1139)</f>
        <v/>
      </c>
      <c r="H1139">
        <f>IF(INVENTARIO!Q1139="","",INVENTARIO!Q1139)</f>
        <v/>
      </c>
      <c r="I1139">
        <f>IF(INVENTARIO!R1139="","",INVENTARIO!R1139)</f>
        <v/>
      </c>
      <c r="J1139">
        <f>IF(G1139="PUBLICA(1)",1,IF(G1139="USO INTERNO(2)",2,IF(G1139="RESTRINGIDO(3)",3,0)))+IF(H1139="BAJA(1)",1,IF(H1139="MEDIA(2)",2,IF(H1139="ALTA(3)",3,0)))+IF(I1139="BAJA(1)",1,IF(I1139="MEDIA(2)",2,IF(I1139="ALTA(3)",3,0)))</f>
        <v/>
      </c>
      <c r="K1139">
        <f>IF(J1139="", "", IF(J1139&gt;=8,"ALTA",IF(J1139&gt;=6,"MEDIA","BAJA")))</f>
        <v/>
      </c>
      <c r="L1139">
        <f>IF(INVENTARIO!Y1139="","",INVENTARIO!Y1139)</f>
        <v/>
      </c>
      <c r="M1139">
        <f>IF(INVENTARIO!Z1139="","",INVENTARIO!Z1139)</f>
        <v/>
      </c>
      <c r="N1139">
        <f>IF(INVENTARIO!AA1139="","",INVENTARIO!AA1139)</f>
        <v/>
      </c>
      <c r="O1139">
        <f>IF(INVENTARIO!AB1139="","",INVENTARIO!AB1139)</f>
        <v/>
      </c>
      <c r="P1139">
        <f>IF(INVENTARIO!AC1139="","",INVENTARIO!AC1139)</f>
        <v/>
      </c>
      <c r="Q1139">
        <f>IF(AND(K1139="",N1139="",L1139=""),"",IF(AND((K1139="ALTA"),OR(LEFT(N1139,2)="L0",LEFT(N1139,2)="L1",L1139="No Iniciado")),"CRÍTICO - Incumplimiento Normativo SEPS",IF(AND(OR(LEFT(N1139,2)="L4",LEFT(N1139,2)="L5"),AND(P1139&lt;&gt;"",P1139&lt;&gt;"N/A")),"CONFORME - Control Efectivo ISO 27001","OBSERVACIÓN - Revisar Controles")))</f>
        <v/>
      </c>
    </row>
    <row r="1140">
      <c r="A1140">
        <f>IF(INVENTARIO!A1140="","",INVENTARIO!A1140)</f>
        <v/>
      </c>
      <c r="B1140">
        <f>IF(INVENTARIO!E1140="","",INVENTARIO!E1140)</f>
        <v/>
      </c>
      <c r="C1140">
        <f>IF(INVENTARIO!F1140="","",INVENTARIO!F1140)</f>
        <v/>
      </c>
      <c r="D1140">
        <f>IF(INVENTARIO!H1140="","",INVENTARIO!H1140)</f>
        <v/>
      </c>
      <c r="E1140">
        <f>IF(INVENTARIO!I1140="","",INVENTARIO!I1140)</f>
        <v/>
      </c>
      <c r="F1140">
        <f>IF(INVENTARIO!N1140="","",INVENTARIO!N1140)</f>
        <v/>
      </c>
      <c r="G1140">
        <f>IF(INVENTARIO!P1140="","",INVENTARIO!P1140)</f>
        <v/>
      </c>
      <c r="H1140">
        <f>IF(INVENTARIO!Q1140="","",INVENTARIO!Q1140)</f>
        <v/>
      </c>
      <c r="I1140">
        <f>IF(INVENTARIO!R1140="","",INVENTARIO!R1140)</f>
        <v/>
      </c>
      <c r="J1140">
        <f>IF(G1140="PUBLICA(1)",1,IF(G1140="USO INTERNO(2)",2,IF(G1140="RESTRINGIDO(3)",3,0)))+IF(H1140="BAJA(1)",1,IF(H1140="MEDIA(2)",2,IF(H1140="ALTA(3)",3,0)))+IF(I1140="BAJA(1)",1,IF(I1140="MEDIA(2)",2,IF(I1140="ALTA(3)",3,0)))</f>
        <v/>
      </c>
      <c r="K1140">
        <f>IF(J1140="", "", IF(J1140&gt;=8,"ALTA",IF(J1140&gt;=6,"MEDIA","BAJA")))</f>
        <v/>
      </c>
      <c r="L1140">
        <f>IF(INVENTARIO!Y1140="","",INVENTARIO!Y1140)</f>
        <v/>
      </c>
      <c r="M1140">
        <f>IF(INVENTARIO!Z1140="","",INVENTARIO!Z1140)</f>
        <v/>
      </c>
      <c r="N1140">
        <f>IF(INVENTARIO!AA1140="","",INVENTARIO!AA1140)</f>
        <v/>
      </c>
      <c r="O1140">
        <f>IF(INVENTARIO!AB1140="","",INVENTARIO!AB1140)</f>
        <v/>
      </c>
      <c r="P1140">
        <f>IF(INVENTARIO!AC1140="","",INVENTARIO!AC1140)</f>
        <v/>
      </c>
      <c r="Q1140">
        <f>IF(AND(K1140="",N1140="",L1140=""),"",IF(AND((K1140="ALTA"),OR(LEFT(N1140,2)="L0",LEFT(N1140,2)="L1",L1140="No Iniciado")),"CRÍTICO - Incumplimiento Normativo SEPS",IF(AND(OR(LEFT(N1140,2)="L4",LEFT(N1140,2)="L5"),AND(P1140&lt;&gt;"",P1140&lt;&gt;"N/A")),"CONFORME - Control Efectivo ISO 27001","OBSERVACIÓN - Revisar Controles")))</f>
        <v/>
      </c>
    </row>
    <row r="1141">
      <c r="A1141">
        <f>IF(INVENTARIO!A1141="","",INVENTARIO!A1141)</f>
        <v/>
      </c>
      <c r="B1141">
        <f>IF(INVENTARIO!E1141="","",INVENTARIO!E1141)</f>
        <v/>
      </c>
      <c r="C1141">
        <f>IF(INVENTARIO!F1141="","",INVENTARIO!F1141)</f>
        <v/>
      </c>
      <c r="D1141">
        <f>IF(INVENTARIO!H1141="","",INVENTARIO!H1141)</f>
        <v/>
      </c>
      <c r="E1141">
        <f>IF(INVENTARIO!I1141="","",INVENTARIO!I1141)</f>
        <v/>
      </c>
      <c r="F1141">
        <f>IF(INVENTARIO!N1141="","",INVENTARIO!N1141)</f>
        <v/>
      </c>
      <c r="G1141">
        <f>IF(INVENTARIO!P1141="","",INVENTARIO!P1141)</f>
        <v/>
      </c>
      <c r="H1141">
        <f>IF(INVENTARIO!Q1141="","",INVENTARIO!Q1141)</f>
        <v/>
      </c>
      <c r="I1141">
        <f>IF(INVENTARIO!R1141="","",INVENTARIO!R1141)</f>
        <v/>
      </c>
      <c r="J1141">
        <f>IF(G1141="PUBLICA(1)",1,IF(G1141="USO INTERNO(2)",2,IF(G1141="RESTRINGIDO(3)",3,0)))+IF(H1141="BAJA(1)",1,IF(H1141="MEDIA(2)",2,IF(H1141="ALTA(3)",3,0)))+IF(I1141="BAJA(1)",1,IF(I1141="MEDIA(2)",2,IF(I1141="ALTA(3)",3,0)))</f>
        <v/>
      </c>
      <c r="K1141">
        <f>IF(J1141="", "", IF(J1141&gt;=8,"ALTA",IF(J1141&gt;=6,"MEDIA","BAJA")))</f>
        <v/>
      </c>
      <c r="L1141">
        <f>IF(INVENTARIO!Y1141="","",INVENTARIO!Y1141)</f>
        <v/>
      </c>
      <c r="M1141">
        <f>IF(INVENTARIO!Z1141="","",INVENTARIO!Z1141)</f>
        <v/>
      </c>
      <c r="N1141">
        <f>IF(INVENTARIO!AA1141="","",INVENTARIO!AA1141)</f>
        <v/>
      </c>
      <c r="O1141">
        <f>IF(INVENTARIO!AB1141="","",INVENTARIO!AB1141)</f>
        <v/>
      </c>
      <c r="P1141">
        <f>IF(INVENTARIO!AC1141="","",INVENTARIO!AC1141)</f>
        <v/>
      </c>
      <c r="Q1141">
        <f>IF(AND(K1141="",N1141="",L1141=""),"",IF(AND((K1141="ALTA"),OR(LEFT(N1141,2)="L0",LEFT(N1141,2)="L1",L1141="No Iniciado")),"CRÍTICO - Incumplimiento Normativo SEPS",IF(AND(OR(LEFT(N1141,2)="L4",LEFT(N1141,2)="L5"),AND(P1141&lt;&gt;"",P1141&lt;&gt;"N/A")),"CONFORME - Control Efectivo ISO 27001","OBSERVACIÓN - Revisar Controles")))</f>
        <v/>
      </c>
    </row>
    <row r="1142">
      <c r="A1142">
        <f>IF(INVENTARIO!A1142="","",INVENTARIO!A1142)</f>
        <v/>
      </c>
      <c r="B1142">
        <f>IF(INVENTARIO!E1142="","",INVENTARIO!E1142)</f>
        <v/>
      </c>
      <c r="C1142">
        <f>IF(INVENTARIO!F1142="","",INVENTARIO!F1142)</f>
        <v/>
      </c>
      <c r="D1142">
        <f>IF(INVENTARIO!H1142="","",INVENTARIO!H1142)</f>
        <v/>
      </c>
      <c r="E1142">
        <f>IF(INVENTARIO!I1142="","",INVENTARIO!I1142)</f>
        <v/>
      </c>
      <c r="F1142">
        <f>IF(INVENTARIO!N1142="","",INVENTARIO!N1142)</f>
        <v/>
      </c>
      <c r="G1142">
        <f>IF(INVENTARIO!P1142="","",INVENTARIO!P1142)</f>
        <v/>
      </c>
      <c r="H1142">
        <f>IF(INVENTARIO!Q1142="","",INVENTARIO!Q1142)</f>
        <v/>
      </c>
      <c r="I1142">
        <f>IF(INVENTARIO!R1142="","",INVENTARIO!R1142)</f>
        <v/>
      </c>
      <c r="J1142">
        <f>IF(G1142="PUBLICA(1)",1,IF(G1142="USO INTERNO(2)",2,IF(G1142="RESTRINGIDO(3)",3,0)))+IF(H1142="BAJA(1)",1,IF(H1142="MEDIA(2)",2,IF(H1142="ALTA(3)",3,0)))+IF(I1142="BAJA(1)",1,IF(I1142="MEDIA(2)",2,IF(I1142="ALTA(3)",3,0)))</f>
        <v/>
      </c>
      <c r="K1142">
        <f>IF(J1142="", "", IF(J1142&gt;=8,"ALTA",IF(J1142&gt;=6,"MEDIA","BAJA")))</f>
        <v/>
      </c>
      <c r="L1142">
        <f>IF(INVENTARIO!Y1142="","",INVENTARIO!Y1142)</f>
        <v/>
      </c>
      <c r="M1142">
        <f>IF(INVENTARIO!Z1142="","",INVENTARIO!Z1142)</f>
        <v/>
      </c>
      <c r="N1142">
        <f>IF(INVENTARIO!AA1142="","",INVENTARIO!AA1142)</f>
        <v/>
      </c>
      <c r="O1142">
        <f>IF(INVENTARIO!AB1142="","",INVENTARIO!AB1142)</f>
        <v/>
      </c>
      <c r="P1142">
        <f>IF(INVENTARIO!AC1142="","",INVENTARIO!AC1142)</f>
        <v/>
      </c>
      <c r="Q1142">
        <f>IF(AND(K1142="",N1142="",L1142=""),"",IF(AND((K1142="ALTA"),OR(LEFT(N1142,2)="L0",LEFT(N1142,2)="L1",L1142="No Iniciado")),"CRÍTICO - Incumplimiento Normativo SEPS",IF(AND(OR(LEFT(N1142,2)="L4",LEFT(N1142,2)="L5"),AND(P1142&lt;&gt;"",P1142&lt;&gt;"N/A")),"CONFORME - Control Efectivo ISO 27001","OBSERVACIÓN - Revisar Controles")))</f>
        <v/>
      </c>
    </row>
    <row r="1143">
      <c r="A1143">
        <f>IF(INVENTARIO!A1143="","",INVENTARIO!A1143)</f>
        <v/>
      </c>
      <c r="B1143">
        <f>IF(INVENTARIO!E1143="","",INVENTARIO!E1143)</f>
        <v/>
      </c>
      <c r="C1143">
        <f>IF(INVENTARIO!F1143="","",INVENTARIO!F1143)</f>
        <v/>
      </c>
      <c r="D1143">
        <f>IF(INVENTARIO!H1143="","",INVENTARIO!H1143)</f>
        <v/>
      </c>
      <c r="E1143">
        <f>IF(INVENTARIO!I1143="","",INVENTARIO!I1143)</f>
        <v/>
      </c>
      <c r="F1143">
        <f>IF(INVENTARIO!N1143="","",INVENTARIO!N1143)</f>
        <v/>
      </c>
      <c r="G1143">
        <f>IF(INVENTARIO!P1143="","",INVENTARIO!P1143)</f>
        <v/>
      </c>
      <c r="H1143">
        <f>IF(INVENTARIO!Q1143="","",INVENTARIO!Q1143)</f>
        <v/>
      </c>
      <c r="I1143">
        <f>IF(INVENTARIO!R1143="","",INVENTARIO!R1143)</f>
        <v/>
      </c>
      <c r="J1143">
        <f>IF(G1143="PUBLICA(1)",1,IF(G1143="USO INTERNO(2)",2,IF(G1143="RESTRINGIDO(3)",3,0)))+IF(H1143="BAJA(1)",1,IF(H1143="MEDIA(2)",2,IF(H1143="ALTA(3)",3,0)))+IF(I1143="BAJA(1)",1,IF(I1143="MEDIA(2)",2,IF(I1143="ALTA(3)",3,0)))</f>
        <v/>
      </c>
      <c r="K1143">
        <f>IF(J1143="", "", IF(J1143&gt;=8,"ALTA",IF(J1143&gt;=6,"MEDIA","BAJA")))</f>
        <v/>
      </c>
      <c r="L1143">
        <f>IF(INVENTARIO!Y1143="","",INVENTARIO!Y1143)</f>
        <v/>
      </c>
      <c r="M1143">
        <f>IF(INVENTARIO!Z1143="","",INVENTARIO!Z1143)</f>
        <v/>
      </c>
      <c r="N1143">
        <f>IF(INVENTARIO!AA1143="","",INVENTARIO!AA1143)</f>
        <v/>
      </c>
      <c r="O1143">
        <f>IF(INVENTARIO!AB1143="","",INVENTARIO!AB1143)</f>
        <v/>
      </c>
      <c r="P1143">
        <f>IF(INVENTARIO!AC1143="","",INVENTARIO!AC1143)</f>
        <v/>
      </c>
      <c r="Q1143">
        <f>IF(AND(K1143="",N1143="",L1143=""),"",IF(AND((K1143="ALTA"),OR(LEFT(N1143,2)="L0",LEFT(N1143,2)="L1",L1143="No Iniciado")),"CRÍTICO - Incumplimiento Normativo SEPS",IF(AND(OR(LEFT(N1143,2)="L4",LEFT(N1143,2)="L5"),AND(P1143&lt;&gt;"",P1143&lt;&gt;"N/A")),"CONFORME - Control Efectivo ISO 27001","OBSERVACIÓN - Revisar Controles")))</f>
        <v/>
      </c>
    </row>
    <row r="1144">
      <c r="A1144">
        <f>IF(INVENTARIO!A1144="","",INVENTARIO!A1144)</f>
        <v/>
      </c>
      <c r="B1144">
        <f>IF(INVENTARIO!E1144="","",INVENTARIO!E1144)</f>
        <v/>
      </c>
      <c r="C1144">
        <f>IF(INVENTARIO!F1144="","",INVENTARIO!F1144)</f>
        <v/>
      </c>
      <c r="D1144">
        <f>IF(INVENTARIO!H1144="","",INVENTARIO!H1144)</f>
        <v/>
      </c>
      <c r="E1144">
        <f>IF(INVENTARIO!I1144="","",INVENTARIO!I1144)</f>
        <v/>
      </c>
      <c r="F1144">
        <f>IF(INVENTARIO!N1144="","",INVENTARIO!N1144)</f>
        <v/>
      </c>
      <c r="G1144">
        <f>IF(INVENTARIO!P1144="","",INVENTARIO!P1144)</f>
        <v/>
      </c>
      <c r="H1144">
        <f>IF(INVENTARIO!Q1144="","",INVENTARIO!Q1144)</f>
        <v/>
      </c>
      <c r="I1144">
        <f>IF(INVENTARIO!R1144="","",INVENTARIO!R1144)</f>
        <v/>
      </c>
      <c r="J1144">
        <f>IF(G1144="PUBLICA(1)",1,IF(G1144="USO INTERNO(2)",2,IF(G1144="RESTRINGIDO(3)",3,0)))+IF(H1144="BAJA(1)",1,IF(H1144="MEDIA(2)",2,IF(H1144="ALTA(3)",3,0)))+IF(I1144="BAJA(1)",1,IF(I1144="MEDIA(2)",2,IF(I1144="ALTA(3)",3,0)))</f>
        <v/>
      </c>
      <c r="K1144">
        <f>IF(J1144="", "", IF(J1144&gt;=8,"ALTA",IF(J1144&gt;=6,"MEDIA","BAJA")))</f>
        <v/>
      </c>
      <c r="L1144">
        <f>IF(INVENTARIO!Y1144="","",INVENTARIO!Y1144)</f>
        <v/>
      </c>
      <c r="M1144">
        <f>IF(INVENTARIO!Z1144="","",INVENTARIO!Z1144)</f>
        <v/>
      </c>
      <c r="N1144">
        <f>IF(INVENTARIO!AA1144="","",INVENTARIO!AA1144)</f>
        <v/>
      </c>
      <c r="O1144">
        <f>IF(INVENTARIO!AB1144="","",INVENTARIO!AB1144)</f>
        <v/>
      </c>
      <c r="P1144">
        <f>IF(INVENTARIO!AC1144="","",INVENTARIO!AC1144)</f>
        <v/>
      </c>
      <c r="Q1144">
        <f>IF(AND(K1144="",N1144="",L1144=""),"",IF(AND((K1144="ALTA"),OR(LEFT(N1144,2)="L0",LEFT(N1144,2)="L1",L1144="No Iniciado")),"CRÍTICO - Incumplimiento Normativo SEPS",IF(AND(OR(LEFT(N1144,2)="L4",LEFT(N1144,2)="L5"),AND(P1144&lt;&gt;"",P1144&lt;&gt;"N/A")),"CONFORME - Control Efectivo ISO 27001","OBSERVACIÓN - Revisar Controles")))</f>
        <v/>
      </c>
    </row>
    <row r="1145">
      <c r="A1145">
        <f>IF(INVENTARIO!A1145="","",INVENTARIO!A1145)</f>
        <v/>
      </c>
      <c r="B1145">
        <f>IF(INVENTARIO!E1145="","",INVENTARIO!E1145)</f>
        <v/>
      </c>
      <c r="C1145">
        <f>IF(INVENTARIO!F1145="","",INVENTARIO!F1145)</f>
        <v/>
      </c>
      <c r="D1145">
        <f>IF(INVENTARIO!H1145="","",INVENTARIO!H1145)</f>
        <v/>
      </c>
      <c r="E1145">
        <f>IF(INVENTARIO!I1145="","",INVENTARIO!I1145)</f>
        <v/>
      </c>
      <c r="F1145">
        <f>IF(INVENTARIO!N1145="","",INVENTARIO!N1145)</f>
        <v/>
      </c>
      <c r="G1145">
        <f>IF(INVENTARIO!P1145="","",INVENTARIO!P1145)</f>
        <v/>
      </c>
      <c r="H1145">
        <f>IF(INVENTARIO!Q1145="","",INVENTARIO!Q1145)</f>
        <v/>
      </c>
      <c r="I1145">
        <f>IF(INVENTARIO!R1145="","",INVENTARIO!R1145)</f>
        <v/>
      </c>
      <c r="J1145">
        <f>IF(G1145="PUBLICA(1)",1,IF(G1145="USO INTERNO(2)",2,IF(G1145="RESTRINGIDO(3)",3,0)))+IF(H1145="BAJA(1)",1,IF(H1145="MEDIA(2)",2,IF(H1145="ALTA(3)",3,0)))+IF(I1145="BAJA(1)",1,IF(I1145="MEDIA(2)",2,IF(I1145="ALTA(3)",3,0)))</f>
        <v/>
      </c>
      <c r="K1145">
        <f>IF(J1145="", "", IF(J1145&gt;=8,"ALTA",IF(J1145&gt;=6,"MEDIA","BAJA")))</f>
        <v/>
      </c>
      <c r="L1145">
        <f>IF(INVENTARIO!Y1145="","",INVENTARIO!Y1145)</f>
        <v/>
      </c>
      <c r="M1145">
        <f>IF(INVENTARIO!Z1145="","",INVENTARIO!Z1145)</f>
        <v/>
      </c>
      <c r="N1145">
        <f>IF(INVENTARIO!AA1145="","",INVENTARIO!AA1145)</f>
        <v/>
      </c>
      <c r="O1145">
        <f>IF(INVENTARIO!AB1145="","",INVENTARIO!AB1145)</f>
        <v/>
      </c>
      <c r="P1145">
        <f>IF(INVENTARIO!AC1145="","",INVENTARIO!AC1145)</f>
        <v/>
      </c>
      <c r="Q1145">
        <f>IF(AND(K1145="",N1145="",L1145=""),"",IF(AND((K1145="ALTA"),OR(LEFT(N1145,2)="L0",LEFT(N1145,2)="L1",L1145="No Iniciado")),"CRÍTICO - Incumplimiento Normativo SEPS",IF(AND(OR(LEFT(N1145,2)="L4",LEFT(N1145,2)="L5"),AND(P1145&lt;&gt;"",P1145&lt;&gt;"N/A")),"CONFORME - Control Efectivo ISO 27001","OBSERVACIÓN - Revisar Controles")))</f>
        <v/>
      </c>
    </row>
    <row r="1146">
      <c r="A1146">
        <f>IF(INVENTARIO!A1146="","",INVENTARIO!A1146)</f>
        <v/>
      </c>
      <c r="B1146">
        <f>IF(INVENTARIO!E1146="","",INVENTARIO!E1146)</f>
        <v/>
      </c>
      <c r="C1146">
        <f>IF(INVENTARIO!F1146="","",INVENTARIO!F1146)</f>
        <v/>
      </c>
      <c r="D1146">
        <f>IF(INVENTARIO!H1146="","",INVENTARIO!H1146)</f>
        <v/>
      </c>
      <c r="E1146">
        <f>IF(INVENTARIO!I1146="","",INVENTARIO!I1146)</f>
        <v/>
      </c>
      <c r="F1146">
        <f>IF(INVENTARIO!N1146="","",INVENTARIO!N1146)</f>
        <v/>
      </c>
      <c r="G1146">
        <f>IF(INVENTARIO!P1146="","",INVENTARIO!P1146)</f>
        <v/>
      </c>
      <c r="H1146">
        <f>IF(INVENTARIO!Q1146="","",INVENTARIO!Q1146)</f>
        <v/>
      </c>
      <c r="I1146">
        <f>IF(INVENTARIO!R1146="","",INVENTARIO!R1146)</f>
        <v/>
      </c>
      <c r="J1146">
        <f>IF(G1146="PUBLICA(1)",1,IF(G1146="USO INTERNO(2)",2,IF(G1146="RESTRINGIDO(3)",3,0)))+IF(H1146="BAJA(1)",1,IF(H1146="MEDIA(2)",2,IF(H1146="ALTA(3)",3,0)))+IF(I1146="BAJA(1)",1,IF(I1146="MEDIA(2)",2,IF(I1146="ALTA(3)",3,0)))</f>
        <v/>
      </c>
      <c r="K1146">
        <f>IF(J1146="", "", IF(J1146&gt;=8,"ALTA",IF(J1146&gt;=6,"MEDIA","BAJA")))</f>
        <v/>
      </c>
      <c r="L1146">
        <f>IF(INVENTARIO!Y1146="","",INVENTARIO!Y1146)</f>
        <v/>
      </c>
      <c r="M1146">
        <f>IF(INVENTARIO!Z1146="","",INVENTARIO!Z1146)</f>
        <v/>
      </c>
      <c r="N1146">
        <f>IF(INVENTARIO!AA1146="","",INVENTARIO!AA1146)</f>
        <v/>
      </c>
      <c r="O1146">
        <f>IF(INVENTARIO!AB1146="","",INVENTARIO!AB1146)</f>
        <v/>
      </c>
      <c r="P1146">
        <f>IF(INVENTARIO!AC1146="","",INVENTARIO!AC1146)</f>
        <v/>
      </c>
      <c r="Q1146">
        <f>IF(AND(K1146="",N1146="",L1146=""),"",IF(AND((K1146="ALTA"),OR(LEFT(N1146,2)="L0",LEFT(N1146,2)="L1",L1146="No Iniciado")),"CRÍTICO - Incumplimiento Normativo SEPS",IF(AND(OR(LEFT(N1146,2)="L4",LEFT(N1146,2)="L5"),AND(P1146&lt;&gt;"",P1146&lt;&gt;"N/A")),"CONFORME - Control Efectivo ISO 27001","OBSERVACIÓN - Revisar Controles")))</f>
        <v/>
      </c>
    </row>
    <row r="1147">
      <c r="A1147">
        <f>IF(INVENTARIO!A1147="","",INVENTARIO!A1147)</f>
        <v/>
      </c>
      <c r="B1147">
        <f>IF(INVENTARIO!E1147="","",INVENTARIO!E1147)</f>
        <v/>
      </c>
      <c r="C1147">
        <f>IF(INVENTARIO!F1147="","",INVENTARIO!F1147)</f>
        <v/>
      </c>
      <c r="D1147">
        <f>IF(INVENTARIO!H1147="","",INVENTARIO!H1147)</f>
        <v/>
      </c>
      <c r="E1147">
        <f>IF(INVENTARIO!I1147="","",INVENTARIO!I1147)</f>
        <v/>
      </c>
      <c r="F1147">
        <f>IF(INVENTARIO!N1147="","",INVENTARIO!N1147)</f>
        <v/>
      </c>
      <c r="G1147">
        <f>IF(INVENTARIO!P1147="","",INVENTARIO!P1147)</f>
        <v/>
      </c>
      <c r="H1147">
        <f>IF(INVENTARIO!Q1147="","",INVENTARIO!Q1147)</f>
        <v/>
      </c>
      <c r="I1147">
        <f>IF(INVENTARIO!R1147="","",INVENTARIO!R1147)</f>
        <v/>
      </c>
      <c r="J1147">
        <f>IF(G1147="PUBLICA(1)",1,IF(G1147="USO INTERNO(2)",2,IF(G1147="RESTRINGIDO(3)",3,0)))+IF(H1147="BAJA(1)",1,IF(H1147="MEDIA(2)",2,IF(H1147="ALTA(3)",3,0)))+IF(I1147="BAJA(1)",1,IF(I1147="MEDIA(2)",2,IF(I1147="ALTA(3)",3,0)))</f>
        <v/>
      </c>
      <c r="K1147">
        <f>IF(J1147="", "", IF(J1147&gt;=8,"ALTA",IF(J1147&gt;=6,"MEDIA","BAJA")))</f>
        <v/>
      </c>
      <c r="L1147">
        <f>IF(INVENTARIO!Y1147="","",INVENTARIO!Y1147)</f>
        <v/>
      </c>
      <c r="M1147">
        <f>IF(INVENTARIO!Z1147="","",INVENTARIO!Z1147)</f>
        <v/>
      </c>
      <c r="N1147">
        <f>IF(INVENTARIO!AA1147="","",INVENTARIO!AA1147)</f>
        <v/>
      </c>
      <c r="O1147">
        <f>IF(INVENTARIO!AB1147="","",INVENTARIO!AB1147)</f>
        <v/>
      </c>
      <c r="P1147">
        <f>IF(INVENTARIO!AC1147="","",INVENTARIO!AC1147)</f>
        <v/>
      </c>
      <c r="Q1147">
        <f>IF(AND(K1147="",N1147="",L1147=""),"",IF(AND((K1147="ALTA"),OR(LEFT(N1147,2)="L0",LEFT(N1147,2)="L1",L1147="No Iniciado")),"CRÍTICO - Incumplimiento Normativo SEPS",IF(AND(OR(LEFT(N1147,2)="L4",LEFT(N1147,2)="L5"),AND(P1147&lt;&gt;"",P1147&lt;&gt;"N/A")),"CONFORME - Control Efectivo ISO 27001","OBSERVACIÓN - Revisar Controles")))</f>
        <v/>
      </c>
    </row>
    <row r="1148">
      <c r="A1148">
        <f>IF(INVENTARIO!A1148="","",INVENTARIO!A1148)</f>
        <v/>
      </c>
      <c r="B1148">
        <f>IF(INVENTARIO!E1148="","",INVENTARIO!E1148)</f>
        <v/>
      </c>
      <c r="C1148">
        <f>IF(INVENTARIO!F1148="","",INVENTARIO!F1148)</f>
        <v/>
      </c>
      <c r="D1148">
        <f>IF(INVENTARIO!H1148="","",INVENTARIO!H1148)</f>
        <v/>
      </c>
      <c r="E1148">
        <f>IF(INVENTARIO!I1148="","",INVENTARIO!I1148)</f>
        <v/>
      </c>
      <c r="F1148">
        <f>IF(INVENTARIO!N1148="","",INVENTARIO!N1148)</f>
        <v/>
      </c>
      <c r="G1148">
        <f>IF(INVENTARIO!P1148="","",INVENTARIO!P1148)</f>
        <v/>
      </c>
      <c r="H1148">
        <f>IF(INVENTARIO!Q1148="","",INVENTARIO!Q1148)</f>
        <v/>
      </c>
      <c r="I1148">
        <f>IF(INVENTARIO!R1148="","",INVENTARIO!R1148)</f>
        <v/>
      </c>
      <c r="J1148">
        <f>IF(G1148="PUBLICA(1)",1,IF(G1148="USO INTERNO(2)",2,IF(G1148="RESTRINGIDO(3)",3,0)))+IF(H1148="BAJA(1)",1,IF(H1148="MEDIA(2)",2,IF(H1148="ALTA(3)",3,0)))+IF(I1148="BAJA(1)",1,IF(I1148="MEDIA(2)",2,IF(I1148="ALTA(3)",3,0)))</f>
        <v/>
      </c>
      <c r="K1148">
        <f>IF(J1148="", "", IF(J1148&gt;=8,"ALTA",IF(J1148&gt;=6,"MEDIA","BAJA")))</f>
        <v/>
      </c>
      <c r="L1148">
        <f>IF(INVENTARIO!Y1148="","",INVENTARIO!Y1148)</f>
        <v/>
      </c>
      <c r="M1148">
        <f>IF(INVENTARIO!Z1148="","",INVENTARIO!Z1148)</f>
        <v/>
      </c>
      <c r="N1148">
        <f>IF(INVENTARIO!AA1148="","",INVENTARIO!AA1148)</f>
        <v/>
      </c>
      <c r="O1148">
        <f>IF(INVENTARIO!AB1148="","",INVENTARIO!AB1148)</f>
        <v/>
      </c>
      <c r="P1148">
        <f>IF(INVENTARIO!AC1148="","",INVENTARIO!AC1148)</f>
        <v/>
      </c>
      <c r="Q1148">
        <f>IF(AND(K1148="",N1148="",L1148=""),"",IF(AND((K1148="ALTA"),OR(LEFT(N1148,2)="L0",LEFT(N1148,2)="L1",L1148="No Iniciado")),"CRÍTICO - Incumplimiento Normativo SEPS",IF(AND(OR(LEFT(N1148,2)="L4",LEFT(N1148,2)="L5"),AND(P1148&lt;&gt;"",P1148&lt;&gt;"N/A")),"CONFORME - Control Efectivo ISO 27001","OBSERVACIÓN - Revisar Controles")))</f>
        <v/>
      </c>
    </row>
    <row r="1149">
      <c r="A1149">
        <f>IF(INVENTARIO!A1149="","",INVENTARIO!A1149)</f>
        <v/>
      </c>
      <c r="B1149">
        <f>IF(INVENTARIO!E1149="","",INVENTARIO!E1149)</f>
        <v/>
      </c>
      <c r="C1149">
        <f>IF(INVENTARIO!F1149="","",INVENTARIO!F1149)</f>
        <v/>
      </c>
      <c r="D1149">
        <f>IF(INVENTARIO!H1149="","",INVENTARIO!H1149)</f>
        <v/>
      </c>
      <c r="E1149">
        <f>IF(INVENTARIO!I1149="","",INVENTARIO!I1149)</f>
        <v/>
      </c>
      <c r="F1149">
        <f>IF(INVENTARIO!N1149="","",INVENTARIO!N1149)</f>
        <v/>
      </c>
      <c r="G1149">
        <f>IF(INVENTARIO!P1149="","",INVENTARIO!P1149)</f>
        <v/>
      </c>
      <c r="H1149">
        <f>IF(INVENTARIO!Q1149="","",INVENTARIO!Q1149)</f>
        <v/>
      </c>
      <c r="I1149">
        <f>IF(INVENTARIO!R1149="","",INVENTARIO!R1149)</f>
        <v/>
      </c>
      <c r="J1149">
        <f>IF(G1149="PUBLICA(1)",1,IF(G1149="USO INTERNO(2)",2,IF(G1149="RESTRINGIDO(3)",3,0)))+IF(H1149="BAJA(1)",1,IF(H1149="MEDIA(2)",2,IF(H1149="ALTA(3)",3,0)))+IF(I1149="BAJA(1)",1,IF(I1149="MEDIA(2)",2,IF(I1149="ALTA(3)",3,0)))</f>
        <v/>
      </c>
      <c r="K1149">
        <f>IF(J1149="", "", IF(J1149&gt;=8,"ALTA",IF(J1149&gt;=6,"MEDIA","BAJA")))</f>
        <v/>
      </c>
      <c r="L1149">
        <f>IF(INVENTARIO!Y1149="","",INVENTARIO!Y1149)</f>
        <v/>
      </c>
      <c r="M1149">
        <f>IF(INVENTARIO!Z1149="","",INVENTARIO!Z1149)</f>
        <v/>
      </c>
      <c r="N1149">
        <f>IF(INVENTARIO!AA1149="","",INVENTARIO!AA1149)</f>
        <v/>
      </c>
      <c r="O1149">
        <f>IF(INVENTARIO!AB1149="","",INVENTARIO!AB1149)</f>
        <v/>
      </c>
      <c r="P1149">
        <f>IF(INVENTARIO!AC1149="","",INVENTARIO!AC1149)</f>
        <v/>
      </c>
      <c r="Q1149">
        <f>IF(AND(K1149="",N1149="",L1149=""),"",IF(AND((K1149="ALTA"),OR(LEFT(N1149,2)="L0",LEFT(N1149,2)="L1",L1149="No Iniciado")),"CRÍTICO - Incumplimiento Normativo SEPS",IF(AND(OR(LEFT(N1149,2)="L4",LEFT(N1149,2)="L5"),AND(P1149&lt;&gt;"",P1149&lt;&gt;"N/A")),"CONFORME - Control Efectivo ISO 27001","OBSERVACIÓN - Revisar Controles")))</f>
        <v/>
      </c>
    </row>
    <row r="1150">
      <c r="A1150">
        <f>IF(INVENTARIO!A1150="","",INVENTARIO!A1150)</f>
        <v/>
      </c>
      <c r="B1150">
        <f>IF(INVENTARIO!E1150="","",INVENTARIO!E1150)</f>
        <v/>
      </c>
      <c r="C1150">
        <f>IF(INVENTARIO!F1150="","",INVENTARIO!F1150)</f>
        <v/>
      </c>
      <c r="D1150">
        <f>IF(INVENTARIO!H1150="","",INVENTARIO!H1150)</f>
        <v/>
      </c>
      <c r="E1150">
        <f>IF(INVENTARIO!I1150="","",INVENTARIO!I1150)</f>
        <v/>
      </c>
      <c r="F1150">
        <f>IF(INVENTARIO!N1150="","",INVENTARIO!N1150)</f>
        <v/>
      </c>
      <c r="G1150">
        <f>IF(INVENTARIO!P1150="","",INVENTARIO!P1150)</f>
        <v/>
      </c>
      <c r="H1150">
        <f>IF(INVENTARIO!Q1150="","",INVENTARIO!Q1150)</f>
        <v/>
      </c>
      <c r="I1150">
        <f>IF(INVENTARIO!R1150="","",INVENTARIO!R1150)</f>
        <v/>
      </c>
      <c r="J1150">
        <f>IF(G1150="PUBLICA(1)",1,IF(G1150="USO INTERNO(2)",2,IF(G1150="RESTRINGIDO(3)",3,0)))+IF(H1150="BAJA(1)",1,IF(H1150="MEDIA(2)",2,IF(H1150="ALTA(3)",3,0)))+IF(I1150="BAJA(1)",1,IF(I1150="MEDIA(2)",2,IF(I1150="ALTA(3)",3,0)))</f>
        <v/>
      </c>
      <c r="K1150">
        <f>IF(J1150="", "", IF(J1150&gt;=8,"ALTA",IF(J1150&gt;=6,"MEDIA","BAJA")))</f>
        <v/>
      </c>
      <c r="L1150">
        <f>IF(INVENTARIO!Y1150="","",INVENTARIO!Y1150)</f>
        <v/>
      </c>
      <c r="M1150">
        <f>IF(INVENTARIO!Z1150="","",INVENTARIO!Z1150)</f>
        <v/>
      </c>
      <c r="N1150">
        <f>IF(INVENTARIO!AA1150="","",INVENTARIO!AA1150)</f>
        <v/>
      </c>
      <c r="O1150">
        <f>IF(INVENTARIO!AB1150="","",INVENTARIO!AB1150)</f>
        <v/>
      </c>
      <c r="P1150">
        <f>IF(INVENTARIO!AC1150="","",INVENTARIO!AC1150)</f>
        <v/>
      </c>
      <c r="Q1150">
        <f>IF(AND(K1150="",N1150="",L1150=""),"",IF(AND((K1150="ALTA"),OR(LEFT(N1150,2)="L0",LEFT(N1150,2)="L1",L1150="No Iniciado")),"CRÍTICO - Incumplimiento Normativo SEPS",IF(AND(OR(LEFT(N1150,2)="L4",LEFT(N1150,2)="L5"),AND(P1150&lt;&gt;"",P1150&lt;&gt;"N/A")),"CONFORME - Control Efectivo ISO 27001","OBSERVACIÓN - Revisar Controles")))</f>
        <v/>
      </c>
    </row>
    <row r="1151">
      <c r="A1151">
        <f>IF(INVENTARIO!A1151="","",INVENTARIO!A1151)</f>
        <v/>
      </c>
      <c r="B1151">
        <f>IF(INVENTARIO!E1151="","",INVENTARIO!E1151)</f>
        <v/>
      </c>
      <c r="C1151">
        <f>IF(INVENTARIO!F1151="","",INVENTARIO!F1151)</f>
        <v/>
      </c>
      <c r="D1151">
        <f>IF(INVENTARIO!H1151="","",INVENTARIO!H1151)</f>
        <v/>
      </c>
      <c r="E1151">
        <f>IF(INVENTARIO!I1151="","",INVENTARIO!I1151)</f>
        <v/>
      </c>
      <c r="F1151">
        <f>IF(INVENTARIO!N1151="","",INVENTARIO!N1151)</f>
        <v/>
      </c>
      <c r="G1151">
        <f>IF(INVENTARIO!P1151="","",INVENTARIO!P1151)</f>
        <v/>
      </c>
      <c r="H1151">
        <f>IF(INVENTARIO!Q1151="","",INVENTARIO!Q1151)</f>
        <v/>
      </c>
      <c r="I1151">
        <f>IF(INVENTARIO!R1151="","",INVENTARIO!R1151)</f>
        <v/>
      </c>
      <c r="J1151">
        <f>IF(G1151="PUBLICA(1)",1,IF(G1151="USO INTERNO(2)",2,IF(G1151="RESTRINGIDO(3)",3,0)))+IF(H1151="BAJA(1)",1,IF(H1151="MEDIA(2)",2,IF(H1151="ALTA(3)",3,0)))+IF(I1151="BAJA(1)",1,IF(I1151="MEDIA(2)",2,IF(I1151="ALTA(3)",3,0)))</f>
        <v/>
      </c>
      <c r="K1151">
        <f>IF(J1151="", "", IF(J1151&gt;=8,"ALTA",IF(J1151&gt;=6,"MEDIA","BAJA")))</f>
        <v/>
      </c>
      <c r="L1151">
        <f>IF(INVENTARIO!Y1151="","",INVENTARIO!Y1151)</f>
        <v/>
      </c>
      <c r="M1151">
        <f>IF(INVENTARIO!Z1151="","",INVENTARIO!Z1151)</f>
        <v/>
      </c>
      <c r="N1151">
        <f>IF(INVENTARIO!AA1151="","",INVENTARIO!AA1151)</f>
        <v/>
      </c>
      <c r="O1151">
        <f>IF(INVENTARIO!AB1151="","",INVENTARIO!AB1151)</f>
        <v/>
      </c>
      <c r="P1151">
        <f>IF(INVENTARIO!AC1151="","",INVENTARIO!AC1151)</f>
        <v/>
      </c>
      <c r="Q1151">
        <f>IF(AND(K1151="",N1151="",L1151=""),"",IF(AND((K1151="ALTA"),OR(LEFT(N1151,2)="L0",LEFT(N1151,2)="L1",L1151="No Iniciado")),"CRÍTICO - Incumplimiento Normativo SEPS",IF(AND(OR(LEFT(N1151,2)="L4",LEFT(N1151,2)="L5"),AND(P1151&lt;&gt;"",P1151&lt;&gt;"N/A")),"CONFORME - Control Efectivo ISO 27001","OBSERVACIÓN - Revisar Controles")))</f>
        <v/>
      </c>
    </row>
    <row r="1152">
      <c r="A1152">
        <f>IF(INVENTARIO!A1152="","",INVENTARIO!A1152)</f>
        <v/>
      </c>
      <c r="B1152">
        <f>IF(INVENTARIO!E1152="","",INVENTARIO!E1152)</f>
        <v/>
      </c>
      <c r="C1152">
        <f>IF(INVENTARIO!F1152="","",INVENTARIO!F1152)</f>
        <v/>
      </c>
      <c r="D1152">
        <f>IF(INVENTARIO!H1152="","",INVENTARIO!H1152)</f>
        <v/>
      </c>
      <c r="E1152">
        <f>IF(INVENTARIO!I1152="","",INVENTARIO!I1152)</f>
        <v/>
      </c>
      <c r="F1152">
        <f>IF(INVENTARIO!N1152="","",INVENTARIO!N1152)</f>
        <v/>
      </c>
      <c r="G1152">
        <f>IF(INVENTARIO!P1152="","",INVENTARIO!P1152)</f>
        <v/>
      </c>
      <c r="H1152">
        <f>IF(INVENTARIO!Q1152="","",INVENTARIO!Q1152)</f>
        <v/>
      </c>
      <c r="I1152">
        <f>IF(INVENTARIO!R1152="","",INVENTARIO!R1152)</f>
        <v/>
      </c>
      <c r="J1152">
        <f>IF(G1152="PUBLICA(1)",1,IF(G1152="USO INTERNO(2)",2,IF(G1152="RESTRINGIDO(3)",3,0)))+IF(H1152="BAJA(1)",1,IF(H1152="MEDIA(2)",2,IF(H1152="ALTA(3)",3,0)))+IF(I1152="BAJA(1)",1,IF(I1152="MEDIA(2)",2,IF(I1152="ALTA(3)",3,0)))</f>
        <v/>
      </c>
      <c r="K1152">
        <f>IF(J1152="", "", IF(J1152&gt;=8,"ALTA",IF(J1152&gt;=6,"MEDIA","BAJA")))</f>
        <v/>
      </c>
      <c r="L1152">
        <f>IF(INVENTARIO!Y1152="","",INVENTARIO!Y1152)</f>
        <v/>
      </c>
      <c r="M1152">
        <f>IF(INVENTARIO!Z1152="","",INVENTARIO!Z1152)</f>
        <v/>
      </c>
      <c r="N1152">
        <f>IF(INVENTARIO!AA1152="","",INVENTARIO!AA1152)</f>
        <v/>
      </c>
      <c r="O1152">
        <f>IF(INVENTARIO!AB1152="","",INVENTARIO!AB1152)</f>
        <v/>
      </c>
      <c r="P1152">
        <f>IF(INVENTARIO!AC1152="","",INVENTARIO!AC1152)</f>
        <v/>
      </c>
      <c r="Q1152">
        <f>IF(AND(K1152="",N1152="",L1152=""),"",IF(AND((K1152="ALTA"),OR(LEFT(N1152,2)="L0",LEFT(N1152,2)="L1",L1152="No Iniciado")),"CRÍTICO - Incumplimiento Normativo SEPS",IF(AND(OR(LEFT(N1152,2)="L4",LEFT(N1152,2)="L5"),AND(P1152&lt;&gt;"",P1152&lt;&gt;"N/A")),"CONFORME - Control Efectivo ISO 27001","OBSERVACIÓN - Revisar Controles")))</f>
        <v/>
      </c>
    </row>
    <row r="1153">
      <c r="A1153">
        <f>IF(INVENTARIO!A1153="","",INVENTARIO!A1153)</f>
        <v/>
      </c>
      <c r="B1153">
        <f>IF(INVENTARIO!E1153="","",INVENTARIO!E1153)</f>
        <v/>
      </c>
      <c r="C1153">
        <f>IF(INVENTARIO!F1153="","",INVENTARIO!F1153)</f>
        <v/>
      </c>
      <c r="D1153">
        <f>IF(INVENTARIO!H1153="","",INVENTARIO!H1153)</f>
        <v/>
      </c>
      <c r="E1153">
        <f>IF(INVENTARIO!I1153="","",INVENTARIO!I1153)</f>
        <v/>
      </c>
      <c r="F1153">
        <f>IF(INVENTARIO!N1153="","",INVENTARIO!N1153)</f>
        <v/>
      </c>
      <c r="G1153">
        <f>IF(INVENTARIO!P1153="","",INVENTARIO!P1153)</f>
        <v/>
      </c>
      <c r="H1153">
        <f>IF(INVENTARIO!Q1153="","",INVENTARIO!Q1153)</f>
        <v/>
      </c>
      <c r="I1153">
        <f>IF(INVENTARIO!R1153="","",INVENTARIO!R1153)</f>
        <v/>
      </c>
      <c r="J1153">
        <f>IF(G1153="PUBLICA(1)",1,IF(G1153="USO INTERNO(2)",2,IF(G1153="RESTRINGIDO(3)",3,0)))+IF(H1153="BAJA(1)",1,IF(H1153="MEDIA(2)",2,IF(H1153="ALTA(3)",3,0)))+IF(I1153="BAJA(1)",1,IF(I1153="MEDIA(2)",2,IF(I1153="ALTA(3)",3,0)))</f>
        <v/>
      </c>
      <c r="K1153">
        <f>IF(J1153="", "", IF(J1153&gt;=8,"ALTA",IF(J1153&gt;=6,"MEDIA","BAJA")))</f>
        <v/>
      </c>
      <c r="L1153">
        <f>IF(INVENTARIO!Y1153="","",INVENTARIO!Y1153)</f>
        <v/>
      </c>
      <c r="M1153">
        <f>IF(INVENTARIO!Z1153="","",INVENTARIO!Z1153)</f>
        <v/>
      </c>
      <c r="N1153">
        <f>IF(INVENTARIO!AA1153="","",INVENTARIO!AA1153)</f>
        <v/>
      </c>
      <c r="O1153">
        <f>IF(INVENTARIO!AB1153="","",INVENTARIO!AB1153)</f>
        <v/>
      </c>
      <c r="P1153">
        <f>IF(INVENTARIO!AC1153="","",INVENTARIO!AC1153)</f>
        <v/>
      </c>
      <c r="Q1153">
        <f>IF(AND(K1153="",N1153="",L1153=""),"",IF(AND((K1153="ALTA"),OR(LEFT(N1153,2)="L0",LEFT(N1153,2)="L1",L1153="No Iniciado")),"CRÍTICO - Incumplimiento Normativo SEPS",IF(AND(OR(LEFT(N1153,2)="L4",LEFT(N1153,2)="L5"),AND(P1153&lt;&gt;"",P1153&lt;&gt;"N/A")),"CONFORME - Control Efectivo ISO 27001","OBSERVACIÓN - Revisar Controles")))</f>
        <v/>
      </c>
    </row>
    <row r="1154">
      <c r="A1154">
        <f>IF(INVENTARIO!A1154="","",INVENTARIO!A1154)</f>
        <v/>
      </c>
      <c r="B1154">
        <f>IF(INVENTARIO!E1154="","",INVENTARIO!E1154)</f>
        <v/>
      </c>
      <c r="C1154">
        <f>IF(INVENTARIO!F1154="","",INVENTARIO!F1154)</f>
        <v/>
      </c>
      <c r="D1154">
        <f>IF(INVENTARIO!H1154="","",INVENTARIO!H1154)</f>
        <v/>
      </c>
      <c r="E1154">
        <f>IF(INVENTARIO!I1154="","",INVENTARIO!I1154)</f>
        <v/>
      </c>
      <c r="F1154">
        <f>IF(INVENTARIO!N1154="","",INVENTARIO!N1154)</f>
        <v/>
      </c>
      <c r="G1154">
        <f>IF(INVENTARIO!P1154="","",INVENTARIO!P1154)</f>
        <v/>
      </c>
      <c r="H1154">
        <f>IF(INVENTARIO!Q1154="","",INVENTARIO!Q1154)</f>
        <v/>
      </c>
      <c r="I1154">
        <f>IF(INVENTARIO!R1154="","",INVENTARIO!R1154)</f>
        <v/>
      </c>
      <c r="J1154">
        <f>IF(G1154="PUBLICA(1)",1,IF(G1154="USO INTERNO(2)",2,IF(G1154="RESTRINGIDO(3)",3,0)))+IF(H1154="BAJA(1)",1,IF(H1154="MEDIA(2)",2,IF(H1154="ALTA(3)",3,0)))+IF(I1154="BAJA(1)",1,IF(I1154="MEDIA(2)",2,IF(I1154="ALTA(3)",3,0)))</f>
        <v/>
      </c>
      <c r="K1154">
        <f>IF(J1154="", "", IF(J1154&gt;=8,"ALTA",IF(J1154&gt;=6,"MEDIA","BAJA")))</f>
        <v/>
      </c>
      <c r="L1154">
        <f>IF(INVENTARIO!Y1154="","",INVENTARIO!Y1154)</f>
        <v/>
      </c>
      <c r="M1154">
        <f>IF(INVENTARIO!Z1154="","",INVENTARIO!Z1154)</f>
        <v/>
      </c>
      <c r="N1154">
        <f>IF(INVENTARIO!AA1154="","",INVENTARIO!AA1154)</f>
        <v/>
      </c>
      <c r="O1154">
        <f>IF(INVENTARIO!AB1154="","",INVENTARIO!AB1154)</f>
        <v/>
      </c>
      <c r="P1154">
        <f>IF(INVENTARIO!AC1154="","",INVENTARIO!AC1154)</f>
        <v/>
      </c>
      <c r="Q1154">
        <f>IF(AND(K1154="",N1154="",L1154=""),"",IF(AND((K1154="ALTA"),OR(LEFT(N1154,2)="L0",LEFT(N1154,2)="L1",L1154="No Iniciado")),"CRÍTICO - Incumplimiento Normativo SEPS",IF(AND(OR(LEFT(N1154,2)="L4",LEFT(N1154,2)="L5"),AND(P1154&lt;&gt;"",P1154&lt;&gt;"N/A")),"CONFORME - Control Efectivo ISO 27001","OBSERVACIÓN - Revisar Controles")))</f>
        <v/>
      </c>
    </row>
    <row r="1155">
      <c r="A1155">
        <f>IF(INVENTARIO!A1155="","",INVENTARIO!A1155)</f>
        <v/>
      </c>
      <c r="B1155">
        <f>IF(INVENTARIO!E1155="","",INVENTARIO!E1155)</f>
        <v/>
      </c>
      <c r="C1155">
        <f>IF(INVENTARIO!F1155="","",INVENTARIO!F1155)</f>
        <v/>
      </c>
      <c r="D1155">
        <f>IF(INVENTARIO!H1155="","",INVENTARIO!H1155)</f>
        <v/>
      </c>
      <c r="E1155">
        <f>IF(INVENTARIO!I1155="","",INVENTARIO!I1155)</f>
        <v/>
      </c>
      <c r="F1155">
        <f>IF(INVENTARIO!N1155="","",INVENTARIO!N1155)</f>
        <v/>
      </c>
      <c r="G1155">
        <f>IF(INVENTARIO!P1155="","",INVENTARIO!P1155)</f>
        <v/>
      </c>
      <c r="H1155">
        <f>IF(INVENTARIO!Q1155="","",INVENTARIO!Q1155)</f>
        <v/>
      </c>
      <c r="I1155">
        <f>IF(INVENTARIO!R1155="","",INVENTARIO!R1155)</f>
        <v/>
      </c>
      <c r="J1155">
        <f>IF(G1155="PUBLICA(1)",1,IF(G1155="USO INTERNO(2)",2,IF(G1155="RESTRINGIDO(3)",3,0)))+IF(H1155="BAJA(1)",1,IF(H1155="MEDIA(2)",2,IF(H1155="ALTA(3)",3,0)))+IF(I1155="BAJA(1)",1,IF(I1155="MEDIA(2)",2,IF(I1155="ALTA(3)",3,0)))</f>
        <v/>
      </c>
      <c r="K1155">
        <f>IF(J1155="", "", IF(J1155&gt;=8,"ALTA",IF(J1155&gt;=6,"MEDIA","BAJA")))</f>
        <v/>
      </c>
      <c r="L1155">
        <f>IF(INVENTARIO!Y1155="","",INVENTARIO!Y1155)</f>
        <v/>
      </c>
      <c r="M1155">
        <f>IF(INVENTARIO!Z1155="","",INVENTARIO!Z1155)</f>
        <v/>
      </c>
      <c r="N1155">
        <f>IF(INVENTARIO!AA1155="","",INVENTARIO!AA1155)</f>
        <v/>
      </c>
      <c r="O1155">
        <f>IF(INVENTARIO!AB1155="","",INVENTARIO!AB1155)</f>
        <v/>
      </c>
      <c r="P1155">
        <f>IF(INVENTARIO!AC1155="","",INVENTARIO!AC1155)</f>
        <v/>
      </c>
      <c r="Q1155">
        <f>IF(AND(K1155="",N1155="",L1155=""),"",IF(AND((K1155="ALTA"),OR(LEFT(N1155,2)="L0",LEFT(N1155,2)="L1",L1155="No Iniciado")),"CRÍTICO - Incumplimiento Normativo SEPS",IF(AND(OR(LEFT(N1155,2)="L4",LEFT(N1155,2)="L5"),AND(P1155&lt;&gt;"",P1155&lt;&gt;"N/A")),"CONFORME - Control Efectivo ISO 27001","OBSERVACIÓN - Revisar Controles")))</f>
        <v/>
      </c>
    </row>
    <row r="1156">
      <c r="A1156">
        <f>IF(INVENTARIO!A1156="","",INVENTARIO!A1156)</f>
        <v/>
      </c>
      <c r="B1156">
        <f>IF(INVENTARIO!E1156="","",INVENTARIO!E1156)</f>
        <v/>
      </c>
      <c r="C1156">
        <f>IF(INVENTARIO!F1156="","",INVENTARIO!F1156)</f>
        <v/>
      </c>
      <c r="D1156">
        <f>IF(INVENTARIO!H1156="","",INVENTARIO!H1156)</f>
        <v/>
      </c>
      <c r="E1156">
        <f>IF(INVENTARIO!I1156="","",INVENTARIO!I1156)</f>
        <v/>
      </c>
      <c r="F1156">
        <f>IF(INVENTARIO!N1156="","",INVENTARIO!N1156)</f>
        <v/>
      </c>
      <c r="G1156">
        <f>IF(INVENTARIO!P1156="","",INVENTARIO!P1156)</f>
        <v/>
      </c>
      <c r="H1156">
        <f>IF(INVENTARIO!Q1156="","",INVENTARIO!Q1156)</f>
        <v/>
      </c>
      <c r="I1156">
        <f>IF(INVENTARIO!R1156="","",INVENTARIO!R1156)</f>
        <v/>
      </c>
      <c r="J1156">
        <f>IF(G1156="PUBLICA(1)",1,IF(G1156="USO INTERNO(2)",2,IF(G1156="RESTRINGIDO(3)",3,0)))+IF(H1156="BAJA(1)",1,IF(H1156="MEDIA(2)",2,IF(H1156="ALTA(3)",3,0)))+IF(I1156="BAJA(1)",1,IF(I1156="MEDIA(2)",2,IF(I1156="ALTA(3)",3,0)))</f>
        <v/>
      </c>
      <c r="K1156">
        <f>IF(J1156="", "", IF(J1156&gt;=8,"ALTA",IF(J1156&gt;=6,"MEDIA","BAJA")))</f>
        <v/>
      </c>
      <c r="L1156">
        <f>IF(INVENTARIO!Y1156="","",INVENTARIO!Y1156)</f>
        <v/>
      </c>
      <c r="M1156">
        <f>IF(INVENTARIO!Z1156="","",INVENTARIO!Z1156)</f>
        <v/>
      </c>
      <c r="N1156">
        <f>IF(INVENTARIO!AA1156="","",INVENTARIO!AA1156)</f>
        <v/>
      </c>
      <c r="O1156">
        <f>IF(INVENTARIO!AB1156="","",INVENTARIO!AB1156)</f>
        <v/>
      </c>
      <c r="P1156">
        <f>IF(INVENTARIO!AC1156="","",INVENTARIO!AC1156)</f>
        <v/>
      </c>
      <c r="Q1156">
        <f>IF(AND(K1156="",N1156="",L1156=""),"",IF(AND((K1156="ALTA"),OR(LEFT(N1156,2)="L0",LEFT(N1156,2)="L1",L1156="No Iniciado")),"CRÍTICO - Incumplimiento Normativo SEPS",IF(AND(OR(LEFT(N1156,2)="L4",LEFT(N1156,2)="L5"),AND(P1156&lt;&gt;"",P1156&lt;&gt;"N/A")),"CONFORME - Control Efectivo ISO 27001","OBSERVACIÓN - Revisar Controles")))</f>
        <v/>
      </c>
    </row>
    <row r="1157">
      <c r="A1157">
        <f>IF(INVENTARIO!A1157="","",INVENTARIO!A1157)</f>
        <v/>
      </c>
      <c r="B1157">
        <f>IF(INVENTARIO!E1157="","",INVENTARIO!E1157)</f>
        <v/>
      </c>
      <c r="C1157">
        <f>IF(INVENTARIO!F1157="","",INVENTARIO!F1157)</f>
        <v/>
      </c>
      <c r="D1157">
        <f>IF(INVENTARIO!H1157="","",INVENTARIO!H1157)</f>
        <v/>
      </c>
      <c r="E1157">
        <f>IF(INVENTARIO!I1157="","",INVENTARIO!I1157)</f>
        <v/>
      </c>
      <c r="F1157">
        <f>IF(INVENTARIO!N1157="","",INVENTARIO!N1157)</f>
        <v/>
      </c>
      <c r="G1157">
        <f>IF(INVENTARIO!P1157="","",INVENTARIO!P1157)</f>
        <v/>
      </c>
      <c r="H1157">
        <f>IF(INVENTARIO!Q1157="","",INVENTARIO!Q1157)</f>
        <v/>
      </c>
      <c r="I1157">
        <f>IF(INVENTARIO!R1157="","",INVENTARIO!R1157)</f>
        <v/>
      </c>
      <c r="J1157">
        <f>IF(G1157="PUBLICA(1)",1,IF(G1157="USO INTERNO(2)",2,IF(G1157="RESTRINGIDO(3)",3,0)))+IF(H1157="BAJA(1)",1,IF(H1157="MEDIA(2)",2,IF(H1157="ALTA(3)",3,0)))+IF(I1157="BAJA(1)",1,IF(I1157="MEDIA(2)",2,IF(I1157="ALTA(3)",3,0)))</f>
        <v/>
      </c>
      <c r="K1157">
        <f>IF(J1157="", "", IF(J1157&gt;=8,"ALTA",IF(J1157&gt;=6,"MEDIA","BAJA")))</f>
        <v/>
      </c>
      <c r="L1157">
        <f>IF(INVENTARIO!Y1157="","",INVENTARIO!Y1157)</f>
        <v/>
      </c>
      <c r="M1157">
        <f>IF(INVENTARIO!Z1157="","",INVENTARIO!Z1157)</f>
        <v/>
      </c>
      <c r="N1157">
        <f>IF(INVENTARIO!AA1157="","",INVENTARIO!AA1157)</f>
        <v/>
      </c>
      <c r="O1157">
        <f>IF(INVENTARIO!AB1157="","",INVENTARIO!AB1157)</f>
        <v/>
      </c>
      <c r="P1157">
        <f>IF(INVENTARIO!AC1157="","",INVENTARIO!AC1157)</f>
        <v/>
      </c>
      <c r="Q1157">
        <f>IF(AND(K1157="",N1157="",L1157=""),"",IF(AND((K1157="ALTA"),OR(LEFT(N1157,2)="L0",LEFT(N1157,2)="L1",L1157="No Iniciado")),"CRÍTICO - Incumplimiento Normativo SEPS",IF(AND(OR(LEFT(N1157,2)="L4",LEFT(N1157,2)="L5"),AND(P1157&lt;&gt;"",P1157&lt;&gt;"N/A")),"CONFORME - Control Efectivo ISO 27001","OBSERVACIÓN - Revisar Controles")))</f>
        <v/>
      </c>
    </row>
    <row r="1158">
      <c r="A1158">
        <f>IF(INVENTARIO!A1158="","",INVENTARIO!A1158)</f>
        <v/>
      </c>
      <c r="B1158">
        <f>IF(INVENTARIO!E1158="","",INVENTARIO!E1158)</f>
        <v/>
      </c>
      <c r="C1158">
        <f>IF(INVENTARIO!F1158="","",INVENTARIO!F1158)</f>
        <v/>
      </c>
      <c r="D1158">
        <f>IF(INVENTARIO!H1158="","",INVENTARIO!H1158)</f>
        <v/>
      </c>
      <c r="E1158">
        <f>IF(INVENTARIO!I1158="","",INVENTARIO!I1158)</f>
        <v/>
      </c>
      <c r="F1158">
        <f>IF(INVENTARIO!N1158="","",INVENTARIO!N1158)</f>
        <v/>
      </c>
      <c r="G1158">
        <f>IF(INVENTARIO!P1158="","",INVENTARIO!P1158)</f>
        <v/>
      </c>
      <c r="H1158">
        <f>IF(INVENTARIO!Q1158="","",INVENTARIO!Q1158)</f>
        <v/>
      </c>
      <c r="I1158">
        <f>IF(INVENTARIO!R1158="","",INVENTARIO!R1158)</f>
        <v/>
      </c>
      <c r="J1158">
        <f>IF(G1158="PUBLICA(1)",1,IF(G1158="USO INTERNO(2)",2,IF(G1158="RESTRINGIDO(3)",3,0)))+IF(H1158="BAJA(1)",1,IF(H1158="MEDIA(2)",2,IF(H1158="ALTA(3)",3,0)))+IF(I1158="BAJA(1)",1,IF(I1158="MEDIA(2)",2,IF(I1158="ALTA(3)",3,0)))</f>
        <v/>
      </c>
      <c r="K1158">
        <f>IF(J1158="", "", IF(J1158&gt;=8,"ALTA",IF(J1158&gt;=6,"MEDIA","BAJA")))</f>
        <v/>
      </c>
      <c r="L1158">
        <f>IF(INVENTARIO!Y1158="","",INVENTARIO!Y1158)</f>
        <v/>
      </c>
      <c r="M1158">
        <f>IF(INVENTARIO!Z1158="","",INVENTARIO!Z1158)</f>
        <v/>
      </c>
      <c r="N1158">
        <f>IF(INVENTARIO!AA1158="","",INVENTARIO!AA1158)</f>
        <v/>
      </c>
      <c r="O1158">
        <f>IF(INVENTARIO!AB1158="","",INVENTARIO!AB1158)</f>
        <v/>
      </c>
      <c r="P1158">
        <f>IF(INVENTARIO!AC1158="","",INVENTARIO!AC1158)</f>
        <v/>
      </c>
      <c r="Q1158">
        <f>IF(AND(K1158="",N1158="",L1158=""),"",IF(AND((K1158="ALTA"),OR(LEFT(N1158,2)="L0",LEFT(N1158,2)="L1",L1158="No Iniciado")),"CRÍTICO - Incumplimiento Normativo SEPS",IF(AND(OR(LEFT(N1158,2)="L4",LEFT(N1158,2)="L5"),AND(P1158&lt;&gt;"",P1158&lt;&gt;"N/A")),"CONFORME - Control Efectivo ISO 27001","OBSERVACIÓN - Revisar Controles")))</f>
        <v/>
      </c>
    </row>
    <row r="1159">
      <c r="A1159">
        <f>IF(INVENTARIO!A1159="","",INVENTARIO!A1159)</f>
        <v/>
      </c>
      <c r="B1159">
        <f>IF(INVENTARIO!E1159="","",INVENTARIO!E1159)</f>
        <v/>
      </c>
      <c r="C1159">
        <f>IF(INVENTARIO!F1159="","",INVENTARIO!F1159)</f>
        <v/>
      </c>
      <c r="D1159">
        <f>IF(INVENTARIO!H1159="","",INVENTARIO!H1159)</f>
        <v/>
      </c>
      <c r="E1159">
        <f>IF(INVENTARIO!I1159="","",INVENTARIO!I1159)</f>
        <v/>
      </c>
      <c r="F1159">
        <f>IF(INVENTARIO!N1159="","",INVENTARIO!N1159)</f>
        <v/>
      </c>
      <c r="G1159">
        <f>IF(INVENTARIO!P1159="","",INVENTARIO!P1159)</f>
        <v/>
      </c>
      <c r="H1159">
        <f>IF(INVENTARIO!Q1159="","",INVENTARIO!Q1159)</f>
        <v/>
      </c>
      <c r="I1159">
        <f>IF(INVENTARIO!R1159="","",INVENTARIO!R1159)</f>
        <v/>
      </c>
      <c r="J1159">
        <f>IF(G1159="PUBLICA(1)",1,IF(G1159="USO INTERNO(2)",2,IF(G1159="RESTRINGIDO(3)",3,0)))+IF(H1159="BAJA(1)",1,IF(H1159="MEDIA(2)",2,IF(H1159="ALTA(3)",3,0)))+IF(I1159="BAJA(1)",1,IF(I1159="MEDIA(2)",2,IF(I1159="ALTA(3)",3,0)))</f>
        <v/>
      </c>
      <c r="K1159">
        <f>IF(J1159="", "", IF(J1159&gt;=8,"ALTA",IF(J1159&gt;=6,"MEDIA","BAJA")))</f>
        <v/>
      </c>
      <c r="L1159">
        <f>IF(INVENTARIO!Y1159="","",INVENTARIO!Y1159)</f>
        <v/>
      </c>
      <c r="M1159">
        <f>IF(INVENTARIO!Z1159="","",INVENTARIO!Z1159)</f>
        <v/>
      </c>
      <c r="N1159">
        <f>IF(INVENTARIO!AA1159="","",INVENTARIO!AA1159)</f>
        <v/>
      </c>
      <c r="O1159">
        <f>IF(INVENTARIO!AB1159="","",INVENTARIO!AB1159)</f>
        <v/>
      </c>
      <c r="P1159">
        <f>IF(INVENTARIO!AC1159="","",INVENTARIO!AC1159)</f>
        <v/>
      </c>
      <c r="Q1159">
        <f>IF(AND(K1159="",N1159="",L1159=""),"",IF(AND((K1159="ALTA"),OR(LEFT(N1159,2)="L0",LEFT(N1159,2)="L1",L1159="No Iniciado")),"CRÍTICO - Incumplimiento Normativo SEPS",IF(AND(OR(LEFT(N1159,2)="L4",LEFT(N1159,2)="L5"),AND(P1159&lt;&gt;"",P1159&lt;&gt;"N/A")),"CONFORME - Control Efectivo ISO 27001","OBSERVACIÓN - Revisar Controles")))</f>
        <v/>
      </c>
    </row>
    <row r="1160">
      <c r="A1160">
        <f>IF(INVENTARIO!A1160="","",INVENTARIO!A1160)</f>
        <v/>
      </c>
      <c r="B1160">
        <f>IF(INVENTARIO!E1160="","",INVENTARIO!E1160)</f>
        <v/>
      </c>
      <c r="C1160">
        <f>IF(INVENTARIO!F1160="","",INVENTARIO!F1160)</f>
        <v/>
      </c>
      <c r="D1160">
        <f>IF(INVENTARIO!H1160="","",INVENTARIO!H1160)</f>
        <v/>
      </c>
      <c r="E1160">
        <f>IF(INVENTARIO!I1160="","",INVENTARIO!I1160)</f>
        <v/>
      </c>
      <c r="F1160">
        <f>IF(INVENTARIO!N1160="","",INVENTARIO!N1160)</f>
        <v/>
      </c>
      <c r="G1160">
        <f>IF(INVENTARIO!P1160="","",INVENTARIO!P1160)</f>
        <v/>
      </c>
      <c r="H1160">
        <f>IF(INVENTARIO!Q1160="","",INVENTARIO!Q1160)</f>
        <v/>
      </c>
      <c r="I1160">
        <f>IF(INVENTARIO!R1160="","",INVENTARIO!R1160)</f>
        <v/>
      </c>
      <c r="J1160">
        <f>IF(G1160="PUBLICA(1)",1,IF(G1160="USO INTERNO(2)",2,IF(G1160="RESTRINGIDO(3)",3,0)))+IF(H1160="BAJA(1)",1,IF(H1160="MEDIA(2)",2,IF(H1160="ALTA(3)",3,0)))+IF(I1160="BAJA(1)",1,IF(I1160="MEDIA(2)",2,IF(I1160="ALTA(3)",3,0)))</f>
        <v/>
      </c>
      <c r="K1160">
        <f>IF(J1160="", "", IF(J1160&gt;=8,"ALTA",IF(J1160&gt;=6,"MEDIA","BAJA")))</f>
        <v/>
      </c>
      <c r="L1160">
        <f>IF(INVENTARIO!Y1160="","",INVENTARIO!Y1160)</f>
        <v/>
      </c>
      <c r="M1160">
        <f>IF(INVENTARIO!Z1160="","",INVENTARIO!Z1160)</f>
        <v/>
      </c>
      <c r="N1160">
        <f>IF(INVENTARIO!AA1160="","",INVENTARIO!AA1160)</f>
        <v/>
      </c>
      <c r="O1160">
        <f>IF(INVENTARIO!AB1160="","",INVENTARIO!AB1160)</f>
        <v/>
      </c>
      <c r="P1160">
        <f>IF(INVENTARIO!AC1160="","",INVENTARIO!AC1160)</f>
        <v/>
      </c>
      <c r="Q1160">
        <f>IF(AND(K1160="",N1160="",L1160=""),"",IF(AND((K1160="ALTA"),OR(LEFT(N1160,2)="L0",LEFT(N1160,2)="L1",L1160="No Iniciado")),"CRÍTICO - Incumplimiento Normativo SEPS",IF(AND(OR(LEFT(N1160,2)="L4",LEFT(N1160,2)="L5"),AND(P1160&lt;&gt;"",P1160&lt;&gt;"N/A")),"CONFORME - Control Efectivo ISO 27001","OBSERVACIÓN - Revisar Controles")))</f>
        <v/>
      </c>
    </row>
    <row r="1161">
      <c r="A1161">
        <f>IF(INVENTARIO!A1161="","",INVENTARIO!A1161)</f>
        <v/>
      </c>
      <c r="B1161">
        <f>IF(INVENTARIO!E1161="","",INVENTARIO!E1161)</f>
        <v/>
      </c>
      <c r="C1161">
        <f>IF(INVENTARIO!F1161="","",INVENTARIO!F1161)</f>
        <v/>
      </c>
      <c r="D1161">
        <f>IF(INVENTARIO!H1161="","",INVENTARIO!H1161)</f>
        <v/>
      </c>
      <c r="E1161">
        <f>IF(INVENTARIO!I1161="","",INVENTARIO!I1161)</f>
        <v/>
      </c>
      <c r="F1161">
        <f>IF(INVENTARIO!N1161="","",INVENTARIO!N1161)</f>
        <v/>
      </c>
      <c r="G1161">
        <f>IF(INVENTARIO!P1161="","",INVENTARIO!P1161)</f>
        <v/>
      </c>
      <c r="H1161">
        <f>IF(INVENTARIO!Q1161="","",INVENTARIO!Q1161)</f>
        <v/>
      </c>
      <c r="I1161">
        <f>IF(INVENTARIO!R1161="","",INVENTARIO!R1161)</f>
        <v/>
      </c>
      <c r="J1161">
        <f>IF(G1161="PUBLICA(1)",1,IF(G1161="USO INTERNO(2)",2,IF(G1161="RESTRINGIDO(3)",3,0)))+IF(H1161="BAJA(1)",1,IF(H1161="MEDIA(2)",2,IF(H1161="ALTA(3)",3,0)))+IF(I1161="BAJA(1)",1,IF(I1161="MEDIA(2)",2,IF(I1161="ALTA(3)",3,0)))</f>
        <v/>
      </c>
      <c r="K1161">
        <f>IF(J1161="", "", IF(J1161&gt;=8,"ALTA",IF(J1161&gt;=6,"MEDIA","BAJA")))</f>
        <v/>
      </c>
      <c r="L1161">
        <f>IF(INVENTARIO!Y1161="","",INVENTARIO!Y1161)</f>
        <v/>
      </c>
      <c r="M1161">
        <f>IF(INVENTARIO!Z1161="","",INVENTARIO!Z1161)</f>
        <v/>
      </c>
      <c r="N1161">
        <f>IF(INVENTARIO!AA1161="","",INVENTARIO!AA1161)</f>
        <v/>
      </c>
      <c r="O1161">
        <f>IF(INVENTARIO!AB1161="","",INVENTARIO!AB1161)</f>
        <v/>
      </c>
      <c r="P1161">
        <f>IF(INVENTARIO!AC1161="","",INVENTARIO!AC1161)</f>
        <v/>
      </c>
      <c r="Q1161">
        <f>IF(AND(K1161="",N1161="",L1161=""),"",IF(AND((K1161="ALTA"),OR(LEFT(N1161,2)="L0",LEFT(N1161,2)="L1",L1161="No Iniciado")),"CRÍTICO - Incumplimiento Normativo SEPS",IF(AND(OR(LEFT(N1161,2)="L4",LEFT(N1161,2)="L5"),AND(P1161&lt;&gt;"",P1161&lt;&gt;"N/A")),"CONFORME - Control Efectivo ISO 27001","OBSERVACIÓN - Revisar Controles")))</f>
        <v/>
      </c>
    </row>
    <row r="1162">
      <c r="A1162">
        <f>IF(INVENTARIO!A1162="","",INVENTARIO!A1162)</f>
        <v/>
      </c>
      <c r="B1162">
        <f>IF(INVENTARIO!E1162="","",INVENTARIO!E1162)</f>
        <v/>
      </c>
      <c r="C1162">
        <f>IF(INVENTARIO!F1162="","",INVENTARIO!F1162)</f>
        <v/>
      </c>
      <c r="D1162">
        <f>IF(INVENTARIO!H1162="","",INVENTARIO!H1162)</f>
        <v/>
      </c>
      <c r="E1162">
        <f>IF(INVENTARIO!I1162="","",INVENTARIO!I1162)</f>
        <v/>
      </c>
      <c r="F1162">
        <f>IF(INVENTARIO!N1162="","",INVENTARIO!N1162)</f>
        <v/>
      </c>
      <c r="G1162">
        <f>IF(INVENTARIO!P1162="","",INVENTARIO!P1162)</f>
        <v/>
      </c>
      <c r="H1162">
        <f>IF(INVENTARIO!Q1162="","",INVENTARIO!Q1162)</f>
        <v/>
      </c>
      <c r="I1162">
        <f>IF(INVENTARIO!R1162="","",INVENTARIO!R1162)</f>
        <v/>
      </c>
      <c r="J1162">
        <f>IF(G1162="PUBLICA(1)",1,IF(G1162="USO INTERNO(2)",2,IF(G1162="RESTRINGIDO(3)",3,0)))+IF(H1162="BAJA(1)",1,IF(H1162="MEDIA(2)",2,IF(H1162="ALTA(3)",3,0)))+IF(I1162="BAJA(1)",1,IF(I1162="MEDIA(2)",2,IF(I1162="ALTA(3)",3,0)))</f>
        <v/>
      </c>
      <c r="K1162">
        <f>IF(J1162="", "", IF(J1162&gt;=8,"ALTA",IF(J1162&gt;=6,"MEDIA","BAJA")))</f>
        <v/>
      </c>
      <c r="L1162">
        <f>IF(INVENTARIO!Y1162="","",INVENTARIO!Y1162)</f>
        <v/>
      </c>
      <c r="M1162">
        <f>IF(INVENTARIO!Z1162="","",INVENTARIO!Z1162)</f>
        <v/>
      </c>
      <c r="N1162">
        <f>IF(INVENTARIO!AA1162="","",INVENTARIO!AA1162)</f>
        <v/>
      </c>
      <c r="O1162">
        <f>IF(INVENTARIO!AB1162="","",INVENTARIO!AB1162)</f>
        <v/>
      </c>
      <c r="P1162">
        <f>IF(INVENTARIO!AC1162="","",INVENTARIO!AC1162)</f>
        <v/>
      </c>
      <c r="Q1162">
        <f>IF(AND(K1162="",N1162="",L1162=""),"",IF(AND((K1162="ALTA"),OR(LEFT(N1162,2)="L0",LEFT(N1162,2)="L1",L1162="No Iniciado")),"CRÍTICO - Incumplimiento Normativo SEPS",IF(AND(OR(LEFT(N1162,2)="L4",LEFT(N1162,2)="L5"),AND(P1162&lt;&gt;"",P1162&lt;&gt;"N/A")),"CONFORME - Control Efectivo ISO 27001","OBSERVACIÓN - Revisar Controles")))</f>
        <v/>
      </c>
    </row>
    <row r="1163">
      <c r="A1163">
        <f>IF(INVENTARIO!A1163="","",INVENTARIO!A1163)</f>
        <v/>
      </c>
      <c r="B1163">
        <f>IF(INVENTARIO!E1163="","",INVENTARIO!E1163)</f>
        <v/>
      </c>
      <c r="C1163">
        <f>IF(INVENTARIO!F1163="","",INVENTARIO!F1163)</f>
        <v/>
      </c>
      <c r="D1163">
        <f>IF(INVENTARIO!H1163="","",INVENTARIO!H1163)</f>
        <v/>
      </c>
      <c r="E1163">
        <f>IF(INVENTARIO!I1163="","",INVENTARIO!I1163)</f>
        <v/>
      </c>
      <c r="F1163">
        <f>IF(INVENTARIO!N1163="","",INVENTARIO!N1163)</f>
        <v/>
      </c>
      <c r="G1163">
        <f>IF(INVENTARIO!P1163="","",INVENTARIO!P1163)</f>
        <v/>
      </c>
      <c r="H1163">
        <f>IF(INVENTARIO!Q1163="","",INVENTARIO!Q1163)</f>
        <v/>
      </c>
      <c r="I1163">
        <f>IF(INVENTARIO!R1163="","",INVENTARIO!R1163)</f>
        <v/>
      </c>
      <c r="J1163">
        <f>IF(G1163="PUBLICA(1)",1,IF(G1163="USO INTERNO(2)",2,IF(G1163="RESTRINGIDO(3)",3,0)))+IF(H1163="BAJA(1)",1,IF(H1163="MEDIA(2)",2,IF(H1163="ALTA(3)",3,0)))+IF(I1163="BAJA(1)",1,IF(I1163="MEDIA(2)",2,IF(I1163="ALTA(3)",3,0)))</f>
        <v/>
      </c>
      <c r="K1163">
        <f>IF(J1163="", "", IF(J1163&gt;=8,"ALTA",IF(J1163&gt;=6,"MEDIA","BAJA")))</f>
        <v/>
      </c>
      <c r="L1163">
        <f>IF(INVENTARIO!Y1163="","",INVENTARIO!Y1163)</f>
        <v/>
      </c>
      <c r="M1163">
        <f>IF(INVENTARIO!Z1163="","",INVENTARIO!Z1163)</f>
        <v/>
      </c>
      <c r="N1163">
        <f>IF(INVENTARIO!AA1163="","",INVENTARIO!AA1163)</f>
        <v/>
      </c>
      <c r="O1163">
        <f>IF(INVENTARIO!AB1163="","",INVENTARIO!AB1163)</f>
        <v/>
      </c>
      <c r="P1163">
        <f>IF(INVENTARIO!AC1163="","",INVENTARIO!AC1163)</f>
        <v/>
      </c>
      <c r="Q1163">
        <f>IF(AND(K1163="",N1163="",L1163=""),"",IF(AND((K1163="ALTA"),OR(LEFT(N1163,2)="L0",LEFT(N1163,2)="L1",L1163="No Iniciado")),"CRÍTICO - Incumplimiento Normativo SEPS",IF(AND(OR(LEFT(N1163,2)="L4",LEFT(N1163,2)="L5"),AND(P1163&lt;&gt;"",P1163&lt;&gt;"N/A")),"CONFORME - Control Efectivo ISO 27001","OBSERVACIÓN - Revisar Controles")))</f>
        <v/>
      </c>
    </row>
    <row r="1164">
      <c r="A1164">
        <f>IF(INVENTARIO!A1164="","",INVENTARIO!A1164)</f>
        <v/>
      </c>
      <c r="B1164">
        <f>IF(INVENTARIO!E1164="","",INVENTARIO!E1164)</f>
        <v/>
      </c>
      <c r="C1164">
        <f>IF(INVENTARIO!F1164="","",INVENTARIO!F1164)</f>
        <v/>
      </c>
      <c r="D1164">
        <f>IF(INVENTARIO!H1164="","",INVENTARIO!H1164)</f>
        <v/>
      </c>
      <c r="E1164">
        <f>IF(INVENTARIO!I1164="","",INVENTARIO!I1164)</f>
        <v/>
      </c>
      <c r="F1164">
        <f>IF(INVENTARIO!N1164="","",INVENTARIO!N1164)</f>
        <v/>
      </c>
      <c r="G1164">
        <f>IF(INVENTARIO!P1164="","",INVENTARIO!P1164)</f>
        <v/>
      </c>
      <c r="H1164">
        <f>IF(INVENTARIO!Q1164="","",INVENTARIO!Q1164)</f>
        <v/>
      </c>
      <c r="I1164">
        <f>IF(INVENTARIO!R1164="","",INVENTARIO!R1164)</f>
        <v/>
      </c>
      <c r="J1164">
        <f>IF(G1164="PUBLICA(1)",1,IF(G1164="USO INTERNO(2)",2,IF(G1164="RESTRINGIDO(3)",3,0)))+IF(H1164="BAJA(1)",1,IF(H1164="MEDIA(2)",2,IF(H1164="ALTA(3)",3,0)))+IF(I1164="BAJA(1)",1,IF(I1164="MEDIA(2)",2,IF(I1164="ALTA(3)",3,0)))</f>
        <v/>
      </c>
      <c r="K1164">
        <f>IF(J1164="", "", IF(J1164&gt;=8,"ALTA",IF(J1164&gt;=6,"MEDIA","BAJA")))</f>
        <v/>
      </c>
      <c r="L1164">
        <f>IF(INVENTARIO!Y1164="","",INVENTARIO!Y1164)</f>
        <v/>
      </c>
      <c r="M1164">
        <f>IF(INVENTARIO!Z1164="","",INVENTARIO!Z1164)</f>
        <v/>
      </c>
      <c r="N1164">
        <f>IF(INVENTARIO!AA1164="","",INVENTARIO!AA1164)</f>
        <v/>
      </c>
      <c r="O1164">
        <f>IF(INVENTARIO!AB1164="","",INVENTARIO!AB1164)</f>
        <v/>
      </c>
      <c r="P1164">
        <f>IF(INVENTARIO!AC1164="","",INVENTARIO!AC1164)</f>
        <v/>
      </c>
      <c r="Q1164">
        <f>IF(AND(K1164="",N1164="",L1164=""),"",IF(AND((K1164="ALTA"),OR(LEFT(N1164,2)="L0",LEFT(N1164,2)="L1",L1164="No Iniciado")),"CRÍTICO - Incumplimiento Normativo SEPS",IF(AND(OR(LEFT(N1164,2)="L4",LEFT(N1164,2)="L5"),AND(P1164&lt;&gt;"",P1164&lt;&gt;"N/A")),"CONFORME - Control Efectivo ISO 27001","OBSERVACIÓN - Revisar Controles")))</f>
        <v/>
      </c>
    </row>
    <row r="1165">
      <c r="A1165">
        <f>IF(INVENTARIO!A1165="","",INVENTARIO!A1165)</f>
        <v/>
      </c>
      <c r="B1165">
        <f>IF(INVENTARIO!E1165="","",INVENTARIO!E1165)</f>
        <v/>
      </c>
      <c r="C1165">
        <f>IF(INVENTARIO!F1165="","",INVENTARIO!F1165)</f>
        <v/>
      </c>
      <c r="D1165">
        <f>IF(INVENTARIO!H1165="","",INVENTARIO!H1165)</f>
        <v/>
      </c>
      <c r="E1165">
        <f>IF(INVENTARIO!I1165="","",INVENTARIO!I1165)</f>
        <v/>
      </c>
      <c r="F1165">
        <f>IF(INVENTARIO!N1165="","",INVENTARIO!N1165)</f>
        <v/>
      </c>
      <c r="G1165">
        <f>IF(INVENTARIO!P1165="","",INVENTARIO!P1165)</f>
        <v/>
      </c>
      <c r="H1165">
        <f>IF(INVENTARIO!Q1165="","",INVENTARIO!Q1165)</f>
        <v/>
      </c>
      <c r="I1165">
        <f>IF(INVENTARIO!R1165="","",INVENTARIO!R1165)</f>
        <v/>
      </c>
      <c r="J1165">
        <f>IF(G1165="PUBLICA(1)",1,IF(G1165="USO INTERNO(2)",2,IF(G1165="RESTRINGIDO(3)",3,0)))+IF(H1165="BAJA(1)",1,IF(H1165="MEDIA(2)",2,IF(H1165="ALTA(3)",3,0)))+IF(I1165="BAJA(1)",1,IF(I1165="MEDIA(2)",2,IF(I1165="ALTA(3)",3,0)))</f>
        <v/>
      </c>
      <c r="K1165">
        <f>IF(J1165="", "", IF(J1165&gt;=8,"ALTA",IF(J1165&gt;=6,"MEDIA","BAJA")))</f>
        <v/>
      </c>
      <c r="L1165">
        <f>IF(INVENTARIO!Y1165="","",INVENTARIO!Y1165)</f>
        <v/>
      </c>
      <c r="M1165">
        <f>IF(INVENTARIO!Z1165="","",INVENTARIO!Z1165)</f>
        <v/>
      </c>
      <c r="N1165">
        <f>IF(INVENTARIO!AA1165="","",INVENTARIO!AA1165)</f>
        <v/>
      </c>
      <c r="O1165">
        <f>IF(INVENTARIO!AB1165="","",INVENTARIO!AB1165)</f>
        <v/>
      </c>
      <c r="P1165">
        <f>IF(INVENTARIO!AC1165="","",INVENTARIO!AC1165)</f>
        <v/>
      </c>
      <c r="Q1165">
        <f>IF(AND(K1165="",N1165="",L1165=""),"",IF(AND((K1165="ALTA"),OR(LEFT(N1165,2)="L0",LEFT(N1165,2)="L1",L1165="No Iniciado")),"CRÍTICO - Incumplimiento Normativo SEPS",IF(AND(OR(LEFT(N1165,2)="L4",LEFT(N1165,2)="L5"),AND(P1165&lt;&gt;"",P1165&lt;&gt;"N/A")),"CONFORME - Control Efectivo ISO 27001","OBSERVACIÓN - Revisar Controles")))</f>
        <v/>
      </c>
    </row>
    <row r="1166">
      <c r="A1166">
        <f>IF(INVENTARIO!A1166="","",INVENTARIO!A1166)</f>
        <v/>
      </c>
      <c r="B1166">
        <f>IF(INVENTARIO!E1166="","",INVENTARIO!E1166)</f>
        <v/>
      </c>
      <c r="C1166">
        <f>IF(INVENTARIO!F1166="","",INVENTARIO!F1166)</f>
        <v/>
      </c>
      <c r="D1166">
        <f>IF(INVENTARIO!H1166="","",INVENTARIO!H1166)</f>
        <v/>
      </c>
      <c r="E1166">
        <f>IF(INVENTARIO!I1166="","",INVENTARIO!I1166)</f>
        <v/>
      </c>
      <c r="F1166">
        <f>IF(INVENTARIO!N1166="","",INVENTARIO!N1166)</f>
        <v/>
      </c>
      <c r="G1166">
        <f>IF(INVENTARIO!P1166="","",INVENTARIO!P1166)</f>
        <v/>
      </c>
      <c r="H1166">
        <f>IF(INVENTARIO!Q1166="","",INVENTARIO!Q1166)</f>
        <v/>
      </c>
      <c r="I1166">
        <f>IF(INVENTARIO!R1166="","",INVENTARIO!R1166)</f>
        <v/>
      </c>
      <c r="J1166">
        <f>IF(G1166="PUBLICA(1)",1,IF(G1166="USO INTERNO(2)",2,IF(G1166="RESTRINGIDO(3)",3,0)))+IF(H1166="BAJA(1)",1,IF(H1166="MEDIA(2)",2,IF(H1166="ALTA(3)",3,0)))+IF(I1166="BAJA(1)",1,IF(I1166="MEDIA(2)",2,IF(I1166="ALTA(3)",3,0)))</f>
        <v/>
      </c>
      <c r="K1166">
        <f>IF(J1166="", "", IF(J1166&gt;=8,"ALTA",IF(J1166&gt;=6,"MEDIA","BAJA")))</f>
        <v/>
      </c>
      <c r="L1166">
        <f>IF(INVENTARIO!Y1166="","",INVENTARIO!Y1166)</f>
        <v/>
      </c>
      <c r="M1166">
        <f>IF(INVENTARIO!Z1166="","",INVENTARIO!Z1166)</f>
        <v/>
      </c>
      <c r="N1166">
        <f>IF(INVENTARIO!AA1166="","",INVENTARIO!AA1166)</f>
        <v/>
      </c>
      <c r="O1166">
        <f>IF(INVENTARIO!AB1166="","",INVENTARIO!AB1166)</f>
        <v/>
      </c>
      <c r="P1166">
        <f>IF(INVENTARIO!AC1166="","",INVENTARIO!AC1166)</f>
        <v/>
      </c>
      <c r="Q1166">
        <f>IF(AND(K1166="",N1166="",L1166=""),"",IF(AND((K1166="ALTA"),OR(LEFT(N1166,2)="L0",LEFT(N1166,2)="L1",L1166="No Iniciado")),"CRÍTICO - Incumplimiento Normativo SEPS",IF(AND(OR(LEFT(N1166,2)="L4",LEFT(N1166,2)="L5"),AND(P1166&lt;&gt;"",P1166&lt;&gt;"N/A")),"CONFORME - Control Efectivo ISO 27001","OBSERVACIÓN - Revisar Controles")))</f>
        <v/>
      </c>
    </row>
    <row r="1167">
      <c r="A1167">
        <f>IF(INVENTARIO!A1167="","",INVENTARIO!A1167)</f>
        <v/>
      </c>
      <c r="B1167">
        <f>IF(INVENTARIO!E1167="","",INVENTARIO!E1167)</f>
        <v/>
      </c>
      <c r="C1167">
        <f>IF(INVENTARIO!F1167="","",INVENTARIO!F1167)</f>
        <v/>
      </c>
      <c r="D1167">
        <f>IF(INVENTARIO!H1167="","",INVENTARIO!H1167)</f>
        <v/>
      </c>
      <c r="E1167">
        <f>IF(INVENTARIO!I1167="","",INVENTARIO!I1167)</f>
        <v/>
      </c>
      <c r="F1167">
        <f>IF(INVENTARIO!N1167="","",INVENTARIO!N1167)</f>
        <v/>
      </c>
      <c r="G1167">
        <f>IF(INVENTARIO!P1167="","",INVENTARIO!P1167)</f>
        <v/>
      </c>
      <c r="H1167">
        <f>IF(INVENTARIO!Q1167="","",INVENTARIO!Q1167)</f>
        <v/>
      </c>
      <c r="I1167">
        <f>IF(INVENTARIO!R1167="","",INVENTARIO!R1167)</f>
        <v/>
      </c>
      <c r="J1167">
        <f>IF(G1167="PUBLICA(1)",1,IF(G1167="USO INTERNO(2)",2,IF(G1167="RESTRINGIDO(3)",3,0)))+IF(H1167="BAJA(1)",1,IF(H1167="MEDIA(2)",2,IF(H1167="ALTA(3)",3,0)))+IF(I1167="BAJA(1)",1,IF(I1167="MEDIA(2)",2,IF(I1167="ALTA(3)",3,0)))</f>
        <v/>
      </c>
      <c r="K1167">
        <f>IF(J1167="", "", IF(J1167&gt;=8,"ALTA",IF(J1167&gt;=6,"MEDIA","BAJA")))</f>
        <v/>
      </c>
      <c r="L1167">
        <f>IF(INVENTARIO!Y1167="","",INVENTARIO!Y1167)</f>
        <v/>
      </c>
      <c r="M1167">
        <f>IF(INVENTARIO!Z1167="","",INVENTARIO!Z1167)</f>
        <v/>
      </c>
      <c r="N1167">
        <f>IF(INVENTARIO!AA1167="","",INVENTARIO!AA1167)</f>
        <v/>
      </c>
      <c r="O1167">
        <f>IF(INVENTARIO!AB1167="","",INVENTARIO!AB1167)</f>
        <v/>
      </c>
      <c r="P1167">
        <f>IF(INVENTARIO!AC1167="","",INVENTARIO!AC1167)</f>
        <v/>
      </c>
      <c r="Q1167">
        <f>IF(AND(K1167="",N1167="",L1167=""),"",IF(AND((K1167="ALTA"),OR(LEFT(N1167,2)="L0",LEFT(N1167,2)="L1",L1167="No Iniciado")),"CRÍTICO - Incumplimiento Normativo SEPS",IF(AND(OR(LEFT(N1167,2)="L4",LEFT(N1167,2)="L5"),AND(P1167&lt;&gt;"",P1167&lt;&gt;"N/A")),"CONFORME - Control Efectivo ISO 27001","OBSERVACIÓN - Revisar Controles")))</f>
        <v/>
      </c>
    </row>
    <row r="1168">
      <c r="A1168">
        <f>IF(INVENTARIO!A1168="","",INVENTARIO!A1168)</f>
        <v/>
      </c>
      <c r="B1168">
        <f>IF(INVENTARIO!E1168="","",INVENTARIO!E1168)</f>
        <v/>
      </c>
      <c r="C1168">
        <f>IF(INVENTARIO!F1168="","",INVENTARIO!F1168)</f>
        <v/>
      </c>
      <c r="D1168">
        <f>IF(INVENTARIO!H1168="","",INVENTARIO!H1168)</f>
        <v/>
      </c>
      <c r="E1168">
        <f>IF(INVENTARIO!I1168="","",INVENTARIO!I1168)</f>
        <v/>
      </c>
      <c r="F1168">
        <f>IF(INVENTARIO!N1168="","",INVENTARIO!N1168)</f>
        <v/>
      </c>
      <c r="G1168">
        <f>IF(INVENTARIO!P1168="","",INVENTARIO!P1168)</f>
        <v/>
      </c>
      <c r="H1168">
        <f>IF(INVENTARIO!Q1168="","",INVENTARIO!Q1168)</f>
        <v/>
      </c>
      <c r="I1168">
        <f>IF(INVENTARIO!R1168="","",INVENTARIO!R1168)</f>
        <v/>
      </c>
      <c r="J1168">
        <f>IF(G1168="PUBLICA(1)",1,IF(G1168="USO INTERNO(2)",2,IF(G1168="RESTRINGIDO(3)",3,0)))+IF(H1168="BAJA(1)",1,IF(H1168="MEDIA(2)",2,IF(H1168="ALTA(3)",3,0)))+IF(I1168="BAJA(1)",1,IF(I1168="MEDIA(2)",2,IF(I1168="ALTA(3)",3,0)))</f>
        <v/>
      </c>
      <c r="K1168">
        <f>IF(J1168="", "", IF(J1168&gt;=8,"ALTA",IF(J1168&gt;=6,"MEDIA","BAJA")))</f>
        <v/>
      </c>
      <c r="L1168">
        <f>IF(INVENTARIO!Y1168="","",INVENTARIO!Y1168)</f>
        <v/>
      </c>
      <c r="M1168">
        <f>IF(INVENTARIO!Z1168="","",INVENTARIO!Z1168)</f>
        <v/>
      </c>
      <c r="N1168">
        <f>IF(INVENTARIO!AA1168="","",INVENTARIO!AA1168)</f>
        <v/>
      </c>
      <c r="O1168">
        <f>IF(INVENTARIO!AB1168="","",INVENTARIO!AB1168)</f>
        <v/>
      </c>
      <c r="P1168">
        <f>IF(INVENTARIO!AC1168="","",INVENTARIO!AC1168)</f>
        <v/>
      </c>
      <c r="Q1168">
        <f>IF(AND(K1168="",N1168="",L1168=""),"",IF(AND((K1168="ALTA"),OR(LEFT(N1168,2)="L0",LEFT(N1168,2)="L1",L1168="No Iniciado")),"CRÍTICO - Incumplimiento Normativo SEPS",IF(AND(OR(LEFT(N1168,2)="L4",LEFT(N1168,2)="L5"),AND(P1168&lt;&gt;"",P1168&lt;&gt;"N/A")),"CONFORME - Control Efectivo ISO 27001","OBSERVACIÓN - Revisar Controles")))</f>
        <v/>
      </c>
    </row>
    <row r="1169">
      <c r="A1169">
        <f>IF(INVENTARIO!A1169="","",INVENTARIO!A1169)</f>
        <v/>
      </c>
      <c r="B1169">
        <f>IF(INVENTARIO!E1169="","",INVENTARIO!E1169)</f>
        <v/>
      </c>
      <c r="C1169">
        <f>IF(INVENTARIO!F1169="","",INVENTARIO!F1169)</f>
        <v/>
      </c>
      <c r="D1169">
        <f>IF(INVENTARIO!H1169="","",INVENTARIO!H1169)</f>
        <v/>
      </c>
      <c r="E1169">
        <f>IF(INVENTARIO!I1169="","",INVENTARIO!I1169)</f>
        <v/>
      </c>
      <c r="F1169">
        <f>IF(INVENTARIO!N1169="","",INVENTARIO!N1169)</f>
        <v/>
      </c>
      <c r="G1169">
        <f>IF(INVENTARIO!P1169="","",INVENTARIO!P1169)</f>
        <v/>
      </c>
      <c r="H1169">
        <f>IF(INVENTARIO!Q1169="","",INVENTARIO!Q1169)</f>
        <v/>
      </c>
      <c r="I1169">
        <f>IF(INVENTARIO!R1169="","",INVENTARIO!R1169)</f>
        <v/>
      </c>
      <c r="J1169">
        <f>IF(G1169="PUBLICA(1)",1,IF(G1169="USO INTERNO(2)",2,IF(G1169="RESTRINGIDO(3)",3,0)))+IF(H1169="BAJA(1)",1,IF(H1169="MEDIA(2)",2,IF(H1169="ALTA(3)",3,0)))+IF(I1169="BAJA(1)",1,IF(I1169="MEDIA(2)",2,IF(I1169="ALTA(3)",3,0)))</f>
        <v/>
      </c>
      <c r="K1169">
        <f>IF(J1169="", "", IF(J1169&gt;=8,"ALTA",IF(J1169&gt;=6,"MEDIA","BAJA")))</f>
        <v/>
      </c>
      <c r="L1169">
        <f>IF(INVENTARIO!Y1169="","",INVENTARIO!Y1169)</f>
        <v/>
      </c>
      <c r="M1169">
        <f>IF(INVENTARIO!Z1169="","",INVENTARIO!Z1169)</f>
        <v/>
      </c>
      <c r="N1169">
        <f>IF(INVENTARIO!AA1169="","",INVENTARIO!AA1169)</f>
        <v/>
      </c>
      <c r="O1169">
        <f>IF(INVENTARIO!AB1169="","",INVENTARIO!AB1169)</f>
        <v/>
      </c>
      <c r="P1169">
        <f>IF(INVENTARIO!AC1169="","",INVENTARIO!AC1169)</f>
        <v/>
      </c>
      <c r="Q1169">
        <f>IF(AND(K1169="",N1169="",L1169=""),"",IF(AND((K1169="ALTA"),OR(LEFT(N1169,2)="L0",LEFT(N1169,2)="L1",L1169="No Iniciado")),"CRÍTICO - Incumplimiento Normativo SEPS",IF(AND(OR(LEFT(N1169,2)="L4",LEFT(N1169,2)="L5"),AND(P1169&lt;&gt;"",P1169&lt;&gt;"N/A")),"CONFORME - Control Efectivo ISO 27001","OBSERVACIÓN - Revisar Controles")))</f>
        <v/>
      </c>
    </row>
    <row r="1170">
      <c r="A1170">
        <f>IF(INVENTARIO!A1170="","",INVENTARIO!A1170)</f>
        <v/>
      </c>
      <c r="B1170">
        <f>IF(INVENTARIO!E1170="","",INVENTARIO!E1170)</f>
        <v/>
      </c>
      <c r="C1170">
        <f>IF(INVENTARIO!F1170="","",INVENTARIO!F1170)</f>
        <v/>
      </c>
      <c r="D1170">
        <f>IF(INVENTARIO!H1170="","",INVENTARIO!H1170)</f>
        <v/>
      </c>
      <c r="E1170">
        <f>IF(INVENTARIO!I1170="","",INVENTARIO!I1170)</f>
        <v/>
      </c>
      <c r="F1170">
        <f>IF(INVENTARIO!N1170="","",INVENTARIO!N1170)</f>
        <v/>
      </c>
      <c r="G1170">
        <f>IF(INVENTARIO!P1170="","",INVENTARIO!P1170)</f>
        <v/>
      </c>
      <c r="H1170">
        <f>IF(INVENTARIO!Q1170="","",INVENTARIO!Q1170)</f>
        <v/>
      </c>
      <c r="I1170">
        <f>IF(INVENTARIO!R1170="","",INVENTARIO!R1170)</f>
        <v/>
      </c>
      <c r="J1170">
        <f>IF(G1170="PUBLICA(1)",1,IF(G1170="USO INTERNO(2)",2,IF(G1170="RESTRINGIDO(3)",3,0)))+IF(H1170="BAJA(1)",1,IF(H1170="MEDIA(2)",2,IF(H1170="ALTA(3)",3,0)))+IF(I1170="BAJA(1)",1,IF(I1170="MEDIA(2)",2,IF(I1170="ALTA(3)",3,0)))</f>
        <v/>
      </c>
      <c r="K1170">
        <f>IF(J1170="", "", IF(J1170&gt;=8,"ALTA",IF(J1170&gt;=6,"MEDIA","BAJA")))</f>
        <v/>
      </c>
      <c r="L1170">
        <f>IF(INVENTARIO!Y1170="","",INVENTARIO!Y1170)</f>
        <v/>
      </c>
      <c r="M1170">
        <f>IF(INVENTARIO!Z1170="","",INVENTARIO!Z1170)</f>
        <v/>
      </c>
      <c r="N1170">
        <f>IF(INVENTARIO!AA1170="","",INVENTARIO!AA1170)</f>
        <v/>
      </c>
      <c r="O1170">
        <f>IF(INVENTARIO!AB1170="","",INVENTARIO!AB1170)</f>
        <v/>
      </c>
      <c r="P1170">
        <f>IF(INVENTARIO!AC1170="","",INVENTARIO!AC1170)</f>
        <v/>
      </c>
      <c r="Q1170">
        <f>IF(AND(K1170="",N1170="",L1170=""),"",IF(AND((K1170="ALTA"),OR(LEFT(N1170,2)="L0",LEFT(N1170,2)="L1",L1170="No Iniciado")),"CRÍTICO - Incumplimiento Normativo SEPS",IF(AND(OR(LEFT(N1170,2)="L4",LEFT(N1170,2)="L5"),AND(P1170&lt;&gt;"",P1170&lt;&gt;"N/A")),"CONFORME - Control Efectivo ISO 27001","OBSERVACIÓN - Revisar Controles")))</f>
        <v/>
      </c>
    </row>
    <row r="1171">
      <c r="A1171">
        <f>IF(INVENTARIO!A1171="","",INVENTARIO!A1171)</f>
        <v/>
      </c>
      <c r="B1171">
        <f>IF(INVENTARIO!E1171="","",INVENTARIO!E1171)</f>
        <v/>
      </c>
      <c r="C1171">
        <f>IF(INVENTARIO!F1171="","",INVENTARIO!F1171)</f>
        <v/>
      </c>
      <c r="D1171">
        <f>IF(INVENTARIO!H1171="","",INVENTARIO!H1171)</f>
        <v/>
      </c>
      <c r="E1171">
        <f>IF(INVENTARIO!I1171="","",INVENTARIO!I1171)</f>
        <v/>
      </c>
      <c r="F1171">
        <f>IF(INVENTARIO!N1171="","",INVENTARIO!N1171)</f>
        <v/>
      </c>
      <c r="G1171">
        <f>IF(INVENTARIO!P1171="","",INVENTARIO!P1171)</f>
        <v/>
      </c>
      <c r="H1171">
        <f>IF(INVENTARIO!Q1171="","",INVENTARIO!Q1171)</f>
        <v/>
      </c>
      <c r="I1171">
        <f>IF(INVENTARIO!R1171="","",INVENTARIO!R1171)</f>
        <v/>
      </c>
      <c r="J1171">
        <f>IF(G1171="PUBLICA(1)",1,IF(G1171="USO INTERNO(2)",2,IF(G1171="RESTRINGIDO(3)",3,0)))+IF(H1171="BAJA(1)",1,IF(H1171="MEDIA(2)",2,IF(H1171="ALTA(3)",3,0)))+IF(I1171="BAJA(1)",1,IF(I1171="MEDIA(2)",2,IF(I1171="ALTA(3)",3,0)))</f>
        <v/>
      </c>
      <c r="K1171">
        <f>IF(J1171="", "", IF(J1171&gt;=8,"ALTA",IF(J1171&gt;=6,"MEDIA","BAJA")))</f>
        <v/>
      </c>
      <c r="L1171">
        <f>IF(INVENTARIO!Y1171="","",INVENTARIO!Y1171)</f>
        <v/>
      </c>
      <c r="M1171">
        <f>IF(INVENTARIO!Z1171="","",INVENTARIO!Z1171)</f>
        <v/>
      </c>
      <c r="N1171">
        <f>IF(INVENTARIO!AA1171="","",INVENTARIO!AA1171)</f>
        <v/>
      </c>
      <c r="O1171">
        <f>IF(INVENTARIO!AB1171="","",INVENTARIO!AB1171)</f>
        <v/>
      </c>
      <c r="P1171">
        <f>IF(INVENTARIO!AC1171="","",INVENTARIO!AC1171)</f>
        <v/>
      </c>
      <c r="Q1171">
        <f>IF(AND(K1171="",N1171="",L1171=""),"",IF(AND((K1171="ALTA"),OR(LEFT(N1171,2)="L0",LEFT(N1171,2)="L1",L1171="No Iniciado")),"CRÍTICO - Incumplimiento Normativo SEPS",IF(AND(OR(LEFT(N1171,2)="L4",LEFT(N1171,2)="L5"),AND(P1171&lt;&gt;"",P1171&lt;&gt;"N/A")),"CONFORME - Control Efectivo ISO 27001","OBSERVACIÓN - Revisar Controles")))</f>
        <v/>
      </c>
    </row>
    <row r="1172">
      <c r="A1172">
        <f>IF(INVENTARIO!A1172="","",INVENTARIO!A1172)</f>
        <v/>
      </c>
      <c r="B1172">
        <f>IF(INVENTARIO!E1172="","",INVENTARIO!E1172)</f>
        <v/>
      </c>
      <c r="C1172">
        <f>IF(INVENTARIO!F1172="","",INVENTARIO!F1172)</f>
        <v/>
      </c>
      <c r="D1172">
        <f>IF(INVENTARIO!H1172="","",INVENTARIO!H1172)</f>
        <v/>
      </c>
      <c r="E1172">
        <f>IF(INVENTARIO!I1172="","",INVENTARIO!I1172)</f>
        <v/>
      </c>
      <c r="F1172">
        <f>IF(INVENTARIO!N1172="","",INVENTARIO!N1172)</f>
        <v/>
      </c>
      <c r="G1172">
        <f>IF(INVENTARIO!P1172="","",INVENTARIO!P1172)</f>
        <v/>
      </c>
      <c r="H1172">
        <f>IF(INVENTARIO!Q1172="","",INVENTARIO!Q1172)</f>
        <v/>
      </c>
      <c r="I1172">
        <f>IF(INVENTARIO!R1172="","",INVENTARIO!R1172)</f>
        <v/>
      </c>
      <c r="J1172">
        <f>IF(G1172="PUBLICA(1)",1,IF(G1172="USO INTERNO(2)",2,IF(G1172="RESTRINGIDO(3)",3,0)))+IF(H1172="BAJA(1)",1,IF(H1172="MEDIA(2)",2,IF(H1172="ALTA(3)",3,0)))+IF(I1172="BAJA(1)",1,IF(I1172="MEDIA(2)",2,IF(I1172="ALTA(3)",3,0)))</f>
        <v/>
      </c>
      <c r="K1172">
        <f>IF(J1172="", "", IF(J1172&gt;=8,"ALTA",IF(J1172&gt;=6,"MEDIA","BAJA")))</f>
        <v/>
      </c>
      <c r="L1172">
        <f>IF(INVENTARIO!Y1172="","",INVENTARIO!Y1172)</f>
        <v/>
      </c>
      <c r="M1172">
        <f>IF(INVENTARIO!Z1172="","",INVENTARIO!Z1172)</f>
        <v/>
      </c>
      <c r="N1172">
        <f>IF(INVENTARIO!AA1172="","",INVENTARIO!AA1172)</f>
        <v/>
      </c>
      <c r="O1172">
        <f>IF(INVENTARIO!AB1172="","",INVENTARIO!AB1172)</f>
        <v/>
      </c>
      <c r="P1172">
        <f>IF(INVENTARIO!AC1172="","",INVENTARIO!AC1172)</f>
        <v/>
      </c>
      <c r="Q1172">
        <f>IF(AND(K1172="",N1172="",L1172=""),"",IF(AND((K1172="ALTA"),OR(LEFT(N1172,2)="L0",LEFT(N1172,2)="L1",L1172="No Iniciado")),"CRÍTICO - Incumplimiento Normativo SEPS",IF(AND(OR(LEFT(N1172,2)="L4",LEFT(N1172,2)="L5"),AND(P1172&lt;&gt;"",P1172&lt;&gt;"N/A")),"CONFORME - Control Efectivo ISO 27001","OBSERVACIÓN - Revisar Controles")))</f>
        <v/>
      </c>
    </row>
    <row r="1173">
      <c r="A1173">
        <f>IF(INVENTARIO!A1173="","",INVENTARIO!A1173)</f>
        <v/>
      </c>
      <c r="B1173">
        <f>IF(INVENTARIO!E1173="","",INVENTARIO!E1173)</f>
        <v/>
      </c>
      <c r="C1173">
        <f>IF(INVENTARIO!F1173="","",INVENTARIO!F1173)</f>
        <v/>
      </c>
      <c r="D1173">
        <f>IF(INVENTARIO!H1173="","",INVENTARIO!H1173)</f>
        <v/>
      </c>
      <c r="E1173">
        <f>IF(INVENTARIO!I1173="","",INVENTARIO!I1173)</f>
        <v/>
      </c>
      <c r="F1173">
        <f>IF(INVENTARIO!N1173="","",INVENTARIO!N1173)</f>
        <v/>
      </c>
      <c r="G1173">
        <f>IF(INVENTARIO!P1173="","",INVENTARIO!P1173)</f>
        <v/>
      </c>
      <c r="H1173">
        <f>IF(INVENTARIO!Q1173="","",INVENTARIO!Q1173)</f>
        <v/>
      </c>
      <c r="I1173">
        <f>IF(INVENTARIO!R1173="","",INVENTARIO!R1173)</f>
        <v/>
      </c>
      <c r="J1173">
        <f>IF(G1173="PUBLICA(1)",1,IF(G1173="USO INTERNO(2)",2,IF(G1173="RESTRINGIDO(3)",3,0)))+IF(H1173="BAJA(1)",1,IF(H1173="MEDIA(2)",2,IF(H1173="ALTA(3)",3,0)))+IF(I1173="BAJA(1)",1,IF(I1173="MEDIA(2)",2,IF(I1173="ALTA(3)",3,0)))</f>
        <v/>
      </c>
      <c r="K1173">
        <f>IF(J1173="", "", IF(J1173&gt;=8,"ALTA",IF(J1173&gt;=6,"MEDIA","BAJA")))</f>
        <v/>
      </c>
      <c r="L1173">
        <f>IF(INVENTARIO!Y1173="","",INVENTARIO!Y1173)</f>
        <v/>
      </c>
      <c r="M1173">
        <f>IF(INVENTARIO!Z1173="","",INVENTARIO!Z1173)</f>
        <v/>
      </c>
      <c r="N1173">
        <f>IF(INVENTARIO!AA1173="","",INVENTARIO!AA1173)</f>
        <v/>
      </c>
      <c r="O1173">
        <f>IF(INVENTARIO!AB1173="","",INVENTARIO!AB1173)</f>
        <v/>
      </c>
      <c r="P1173">
        <f>IF(INVENTARIO!AC1173="","",INVENTARIO!AC1173)</f>
        <v/>
      </c>
      <c r="Q1173">
        <f>IF(AND(K1173="",N1173="",L1173=""),"",IF(AND((K1173="ALTA"),OR(LEFT(N1173,2)="L0",LEFT(N1173,2)="L1",L1173="No Iniciado")),"CRÍTICO - Incumplimiento Normativo SEPS",IF(AND(OR(LEFT(N1173,2)="L4",LEFT(N1173,2)="L5"),AND(P1173&lt;&gt;"",P1173&lt;&gt;"N/A")),"CONFORME - Control Efectivo ISO 27001","OBSERVACIÓN - Revisar Controles")))</f>
        <v/>
      </c>
    </row>
    <row r="1174">
      <c r="A1174">
        <f>IF(INVENTARIO!A1174="","",INVENTARIO!A1174)</f>
        <v/>
      </c>
      <c r="B1174">
        <f>IF(INVENTARIO!E1174="","",INVENTARIO!E1174)</f>
        <v/>
      </c>
      <c r="C1174">
        <f>IF(INVENTARIO!F1174="","",INVENTARIO!F1174)</f>
        <v/>
      </c>
      <c r="D1174">
        <f>IF(INVENTARIO!H1174="","",INVENTARIO!H1174)</f>
        <v/>
      </c>
      <c r="E1174">
        <f>IF(INVENTARIO!I1174="","",INVENTARIO!I1174)</f>
        <v/>
      </c>
      <c r="F1174">
        <f>IF(INVENTARIO!N1174="","",INVENTARIO!N1174)</f>
        <v/>
      </c>
      <c r="G1174">
        <f>IF(INVENTARIO!P1174="","",INVENTARIO!P1174)</f>
        <v/>
      </c>
      <c r="H1174">
        <f>IF(INVENTARIO!Q1174="","",INVENTARIO!Q1174)</f>
        <v/>
      </c>
      <c r="I1174">
        <f>IF(INVENTARIO!R1174="","",INVENTARIO!R1174)</f>
        <v/>
      </c>
      <c r="J1174">
        <f>IF(G1174="PUBLICA(1)",1,IF(G1174="USO INTERNO(2)",2,IF(G1174="RESTRINGIDO(3)",3,0)))+IF(H1174="BAJA(1)",1,IF(H1174="MEDIA(2)",2,IF(H1174="ALTA(3)",3,0)))+IF(I1174="BAJA(1)",1,IF(I1174="MEDIA(2)",2,IF(I1174="ALTA(3)",3,0)))</f>
        <v/>
      </c>
      <c r="K1174">
        <f>IF(J1174="", "", IF(J1174&gt;=8,"ALTA",IF(J1174&gt;=6,"MEDIA","BAJA")))</f>
        <v/>
      </c>
      <c r="L1174">
        <f>IF(INVENTARIO!Y1174="","",INVENTARIO!Y1174)</f>
        <v/>
      </c>
      <c r="M1174">
        <f>IF(INVENTARIO!Z1174="","",INVENTARIO!Z1174)</f>
        <v/>
      </c>
      <c r="N1174">
        <f>IF(INVENTARIO!AA1174="","",INVENTARIO!AA1174)</f>
        <v/>
      </c>
      <c r="O1174">
        <f>IF(INVENTARIO!AB1174="","",INVENTARIO!AB1174)</f>
        <v/>
      </c>
      <c r="P1174">
        <f>IF(INVENTARIO!AC1174="","",INVENTARIO!AC1174)</f>
        <v/>
      </c>
      <c r="Q1174">
        <f>IF(AND(K1174="",N1174="",L1174=""),"",IF(AND((K1174="ALTA"),OR(LEFT(N1174,2)="L0",LEFT(N1174,2)="L1",L1174="No Iniciado")),"CRÍTICO - Incumplimiento Normativo SEPS",IF(AND(OR(LEFT(N1174,2)="L4",LEFT(N1174,2)="L5"),AND(P1174&lt;&gt;"",P1174&lt;&gt;"N/A")),"CONFORME - Control Efectivo ISO 27001","OBSERVACIÓN - Revisar Controles")))</f>
        <v/>
      </c>
    </row>
    <row r="1175">
      <c r="A1175">
        <f>IF(INVENTARIO!A1175="","",INVENTARIO!A1175)</f>
        <v/>
      </c>
      <c r="B1175">
        <f>IF(INVENTARIO!E1175="","",INVENTARIO!E1175)</f>
        <v/>
      </c>
      <c r="C1175">
        <f>IF(INVENTARIO!F1175="","",INVENTARIO!F1175)</f>
        <v/>
      </c>
      <c r="D1175">
        <f>IF(INVENTARIO!H1175="","",INVENTARIO!H1175)</f>
        <v/>
      </c>
      <c r="E1175">
        <f>IF(INVENTARIO!I1175="","",INVENTARIO!I1175)</f>
        <v/>
      </c>
      <c r="F1175">
        <f>IF(INVENTARIO!N1175="","",INVENTARIO!N1175)</f>
        <v/>
      </c>
      <c r="G1175">
        <f>IF(INVENTARIO!P1175="","",INVENTARIO!P1175)</f>
        <v/>
      </c>
      <c r="H1175">
        <f>IF(INVENTARIO!Q1175="","",INVENTARIO!Q1175)</f>
        <v/>
      </c>
      <c r="I1175">
        <f>IF(INVENTARIO!R1175="","",INVENTARIO!R1175)</f>
        <v/>
      </c>
      <c r="J1175">
        <f>IF(G1175="PUBLICA(1)",1,IF(G1175="USO INTERNO(2)",2,IF(G1175="RESTRINGIDO(3)",3,0)))+IF(H1175="BAJA(1)",1,IF(H1175="MEDIA(2)",2,IF(H1175="ALTA(3)",3,0)))+IF(I1175="BAJA(1)",1,IF(I1175="MEDIA(2)",2,IF(I1175="ALTA(3)",3,0)))</f>
        <v/>
      </c>
      <c r="K1175">
        <f>IF(J1175="", "", IF(J1175&gt;=8,"ALTA",IF(J1175&gt;=6,"MEDIA","BAJA")))</f>
        <v/>
      </c>
      <c r="L1175">
        <f>IF(INVENTARIO!Y1175="","",INVENTARIO!Y1175)</f>
        <v/>
      </c>
      <c r="M1175">
        <f>IF(INVENTARIO!Z1175="","",INVENTARIO!Z1175)</f>
        <v/>
      </c>
      <c r="N1175">
        <f>IF(INVENTARIO!AA1175="","",INVENTARIO!AA1175)</f>
        <v/>
      </c>
      <c r="O1175">
        <f>IF(INVENTARIO!AB1175="","",INVENTARIO!AB1175)</f>
        <v/>
      </c>
      <c r="P1175">
        <f>IF(INVENTARIO!AC1175="","",INVENTARIO!AC1175)</f>
        <v/>
      </c>
      <c r="Q1175">
        <f>IF(AND(K1175="",N1175="",L1175=""),"",IF(AND((K1175="ALTA"),OR(LEFT(N1175,2)="L0",LEFT(N1175,2)="L1",L1175="No Iniciado")),"CRÍTICO - Incumplimiento Normativo SEPS",IF(AND(OR(LEFT(N1175,2)="L4",LEFT(N1175,2)="L5"),AND(P1175&lt;&gt;"",P1175&lt;&gt;"N/A")),"CONFORME - Control Efectivo ISO 27001","OBSERVACIÓN - Revisar Controles")))</f>
        <v/>
      </c>
    </row>
    <row r="1176">
      <c r="A1176">
        <f>IF(INVENTARIO!A1176="","",INVENTARIO!A1176)</f>
        <v/>
      </c>
      <c r="B1176">
        <f>IF(INVENTARIO!E1176="","",INVENTARIO!E1176)</f>
        <v/>
      </c>
      <c r="C1176">
        <f>IF(INVENTARIO!F1176="","",INVENTARIO!F1176)</f>
        <v/>
      </c>
      <c r="D1176">
        <f>IF(INVENTARIO!H1176="","",INVENTARIO!H1176)</f>
        <v/>
      </c>
      <c r="E1176">
        <f>IF(INVENTARIO!I1176="","",INVENTARIO!I1176)</f>
        <v/>
      </c>
      <c r="F1176">
        <f>IF(INVENTARIO!N1176="","",INVENTARIO!N1176)</f>
        <v/>
      </c>
      <c r="G1176">
        <f>IF(INVENTARIO!P1176="","",INVENTARIO!P1176)</f>
        <v/>
      </c>
      <c r="H1176">
        <f>IF(INVENTARIO!Q1176="","",INVENTARIO!Q1176)</f>
        <v/>
      </c>
      <c r="I1176">
        <f>IF(INVENTARIO!R1176="","",INVENTARIO!R1176)</f>
        <v/>
      </c>
      <c r="J1176">
        <f>IF(G1176="PUBLICA(1)",1,IF(G1176="USO INTERNO(2)",2,IF(G1176="RESTRINGIDO(3)",3,0)))+IF(H1176="BAJA(1)",1,IF(H1176="MEDIA(2)",2,IF(H1176="ALTA(3)",3,0)))+IF(I1176="BAJA(1)",1,IF(I1176="MEDIA(2)",2,IF(I1176="ALTA(3)",3,0)))</f>
        <v/>
      </c>
      <c r="K1176">
        <f>IF(J1176="", "", IF(J1176&gt;=8,"ALTA",IF(J1176&gt;=6,"MEDIA","BAJA")))</f>
        <v/>
      </c>
      <c r="L1176">
        <f>IF(INVENTARIO!Y1176="","",INVENTARIO!Y1176)</f>
        <v/>
      </c>
      <c r="M1176">
        <f>IF(INVENTARIO!Z1176="","",INVENTARIO!Z1176)</f>
        <v/>
      </c>
      <c r="N1176">
        <f>IF(INVENTARIO!AA1176="","",INVENTARIO!AA1176)</f>
        <v/>
      </c>
      <c r="O1176">
        <f>IF(INVENTARIO!AB1176="","",INVENTARIO!AB1176)</f>
        <v/>
      </c>
      <c r="P1176">
        <f>IF(INVENTARIO!AC1176="","",INVENTARIO!AC1176)</f>
        <v/>
      </c>
      <c r="Q1176">
        <f>IF(AND(K1176="",N1176="",L1176=""),"",IF(AND((K1176="ALTA"),OR(LEFT(N1176,2)="L0",LEFT(N1176,2)="L1",L1176="No Iniciado")),"CRÍTICO - Incumplimiento Normativo SEPS",IF(AND(OR(LEFT(N1176,2)="L4",LEFT(N1176,2)="L5"),AND(P1176&lt;&gt;"",P1176&lt;&gt;"N/A")),"CONFORME - Control Efectivo ISO 27001","OBSERVACIÓN - Revisar Controles")))</f>
        <v/>
      </c>
    </row>
    <row r="1177">
      <c r="A1177">
        <f>IF(INVENTARIO!A1177="","",INVENTARIO!A1177)</f>
        <v/>
      </c>
      <c r="B1177">
        <f>IF(INVENTARIO!E1177="","",INVENTARIO!E1177)</f>
        <v/>
      </c>
      <c r="C1177">
        <f>IF(INVENTARIO!F1177="","",INVENTARIO!F1177)</f>
        <v/>
      </c>
      <c r="D1177">
        <f>IF(INVENTARIO!H1177="","",INVENTARIO!H1177)</f>
        <v/>
      </c>
      <c r="E1177">
        <f>IF(INVENTARIO!I1177="","",INVENTARIO!I1177)</f>
        <v/>
      </c>
      <c r="F1177">
        <f>IF(INVENTARIO!N1177="","",INVENTARIO!N1177)</f>
        <v/>
      </c>
      <c r="G1177">
        <f>IF(INVENTARIO!P1177="","",INVENTARIO!P1177)</f>
        <v/>
      </c>
      <c r="H1177">
        <f>IF(INVENTARIO!Q1177="","",INVENTARIO!Q1177)</f>
        <v/>
      </c>
      <c r="I1177">
        <f>IF(INVENTARIO!R1177="","",INVENTARIO!R1177)</f>
        <v/>
      </c>
      <c r="J1177">
        <f>IF(G1177="PUBLICA(1)",1,IF(G1177="USO INTERNO(2)",2,IF(G1177="RESTRINGIDO(3)",3,0)))+IF(H1177="BAJA(1)",1,IF(H1177="MEDIA(2)",2,IF(H1177="ALTA(3)",3,0)))+IF(I1177="BAJA(1)",1,IF(I1177="MEDIA(2)",2,IF(I1177="ALTA(3)",3,0)))</f>
        <v/>
      </c>
      <c r="K1177">
        <f>IF(J1177="", "", IF(J1177&gt;=8,"ALTA",IF(J1177&gt;=6,"MEDIA","BAJA")))</f>
        <v/>
      </c>
      <c r="L1177">
        <f>IF(INVENTARIO!Y1177="","",INVENTARIO!Y1177)</f>
        <v/>
      </c>
      <c r="M1177">
        <f>IF(INVENTARIO!Z1177="","",INVENTARIO!Z1177)</f>
        <v/>
      </c>
      <c r="N1177">
        <f>IF(INVENTARIO!AA1177="","",INVENTARIO!AA1177)</f>
        <v/>
      </c>
      <c r="O1177">
        <f>IF(INVENTARIO!AB1177="","",INVENTARIO!AB1177)</f>
        <v/>
      </c>
      <c r="P1177">
        <f>IF(INVENTARIO!AC1177="","",INVENTARIO!AC1177)</f>
        <v/>
      </c>
      <c r="Q1177">
        <f>IF(AND(K1177="",N1177="",L1177=""),"",IF(AND((K1177="ALTA"),OR(LEFT(N1177,2)="L0",LEFT(N1177,2)="L1",L1177="No Iniciado")),"CRÍTICO - Incumplimiento Normativo SEPS",IF(AND(OR(LEFT(N1177,2)="L4",LEFT(N1177,2)="L5"),AND(P1177&lt;&gt;"",P1177&lt;&gt;"N/A")),"CONFORME - Control Efectivo ISO 27001","OBSERVACIÓN - Revisar Controles")))</f>
        <v/>
      </c>
    </row>
    <row r="1178">
      <c r="A1178">
        <f>IF(INVENTARIO!A1178="","",INVENTARIO!A1178)</f>
        <v/>
      </c>
      <c r="B1178">
        <f>IF(INVENTARIO!E1178="","",INVENTARIO!E1178)</f>
        <v/>
      </c>
      <c r="C1178">
        <f>IF(INVENTARIO!F1178="","",INVENTARIO!F1178)</f>
        <v/>
      </c>
      <c r="D1178">
        <f>IF(INVENTARIO!H1178="","",INVENTARIO!H1178)</f>
        <v/>
      </c>
      <c r="E1178">
        <f>IF(INVENTARIO!I1178="","",INVENTARIO!I1178)</f>
        <v/>
      </c>
      <c r="F1178">
        <f>IF(INVENTARIO!N1178="","",INVENTARIO!N1178)</f>
        <v/>
      </c>
      <c r="G1178">
        <f>IF(INVENTARIO!P1178="","",INVENTARIO!P1178)</f>
        <v/>
      </c>
      <c r="H1178">
        <f>IF(INVENTARIO!Q1178="","",INVENTARIO!Q1178)</f>
        <v/>
      </c>
      <c r="I1178">
        <f>IF(INVENTARIO!R1178="","",INVENTARIO!R1178)</f>
        <v/>
      </c>
      <c r="J1178">
        <f>IF(G1178="PUBLICA(1)",1,IF(G1178="USO INTERNO(2)",2,IF(G1178="RESTRINGIDO(3)",3,0)))+IF(H1178="BAJA(1)",1,IF(H1178="MEDIA(2)",2,IF(H1178="ALTA(3)",3,0)))+IF(I1178="BAJA(1)",1,IF(I1178="MEDIA(2)",2,IF(I1178="ALTA(3)",3,0)))</f>
        <v/>
      </c>
      <c r="K1178">
        <f>IF(J1178="", "", IF(J1178&gt;=8,"ALTA",IF(J1178&gt;=6,"MEDIA","BAJA")))</f>
        <v/>
      </c>
      <c r="L1178">
        <f>IF(INVENTARIO!Y1178="","",INVENTARIO!Y1178)</f>
        <v/>
      </c>
      <c r="M1178">
        <f>IF(INVENTARIO!Z1178="","",INVENTARIO!Z1178)</f>
        <v/>
      </c>
      <c r="N1178">
        <f>IF(INVENTARIO!AA1178="","",INVENTARIO!AA1178)</f>
        <v/>
      </c>
      <c r="O1178">
        <f>IF(INVENTARIO!AB1178="","",INVENTARIO!AB1178)</f>
        <v/>
      </c>
      <c r="P1178">
        <f>IF(INVENTARIO!AC1178="","",INVENTARIO!AC1178)</f>
        <v/>
      </c>
      <c r="Q1178">
        <f>IF(AND(K1178="",N1178="",L1178=""),"",IF(AND((K1178="ALTA"),OR(LEFT(N1178,2)="L0",LEFT(N1178,2)="L1",L1178="No Iniciado")),"CRÍTICO - Incumplimiento Normativo SEPS",IF(AND(OR(LEFT(N1178,2)="L4",LEFT(N1178,2)="L5"),AND(P1178&lt;&gt;"",P1178&lt;&gt;"N/A")),"CONFORME - Control Efectivo ISO 27001","OBSERVACIÓN - Revisar Controles")))</f>
        <v/>
      </c>
    </row>
    <row r="1179">
      <c r="A1179">
        <f>IF(INVENTARIO!A1179="","",INVENTARIO!A1179)</f>
        <v/>
      </c>
      <c r="B1179">
        <f>IF(INVENTARIO!E1179="","",INVENTARIO!E1179)</f>
        <v/>
      </c>
      <c r="C1179">
        <f>IF(INVENTARIO!F1179="","",INVENTARIO!F1179)</f>
        <v/>
      </c>
      <c r="D1179">
        <f>IF(INVENTARIO!H1179="","",INVENTARIO!H1179)</f>
        <v/>
      </c>
      <c r="E1179">
        <f>IF(INVENTARIO!I1179="","",INVENTARIO!I1179)</f>
        <v/>
      </c>
      <c r="F1179">
        <f>IF(INVENTARIO!N1179="","",INVENTARIO!N1179)</f>
        <v/>
      </c>
      <c r="G1179">
        <f>IF(INVENTARIO!P1179="","",INVENTARIO!P1179)</f>
        <v/>
      </c>
      <c r="H1179">
        <f>IF(INVENTARIO!Q1179="","",INVENTARIO!Q1179)</f>
        <v/>
      </c>
      <c r="I1179">
        <f>IF(INVENTARIO!R1179="","",INVENTARIO!R1179)</f>
        <v/>
      </c>
      <c r="J1179">
        <f>IF(G1179="PUBLICA(1)",1,IF(G1179="USO INTERNO(2)",2,IF(G1179="RESTRINGIDO(3)",3,0)))+IF(H1179="BAJA(1)",1,IF(H1179="MEDIA(2)",2,IF(H1179="ALTA(3)",3,0)))+IF(I1179="BAJA(1)",1,IF(I1179="MEDIA(2)",2,IF(I1179="ALTA(3)",3,0)))</f>
        <v/>
      </c>
      <c r="K1179">
        <f>IF(J1179="", "", IF(J1179&gt;=8,"ALTA",IF(J1179&gt;=6,"MEDIA","BAJA")))</f>
        <v/>
      </c>
      <c r="L1179">
        <f>IF(INVENTARIO!Y1179="","",INVENTARIO!Y1179)</f>
        <v/>
      </c>
      <c r="M1179">
        <f>IF(INVENTARIO!Z1179="","",INVENTARIO!Z1179)</f>
        <v/>
      </c>
      <c r="N1179">
        <f>IF(INVENTARIO!AA1179="","",INVENTARIO!AA1179)</f>
        <v/>
      </c>
      <c r="O1179">
        <f>IF(INVENTARIO!AB1179="","",INVENTARIO!AB1179)</f>
        <v/>
      </c>
      <c r="P1179">
        <f>IF(INVENTARIO!AC1179="","",INVENTARIO!AC1179)</f>
        <v/>
      </c>
      <c r="Q1179">
        <f>IF(AND(K1179="",N1179="",L1179=""),"",IF(AND((K1179="ALTA"),OR(LEFT(N1179,2)="L0",LEFT(N1179,2)="L1",L1179="No Iniciado")),"CRÍTICO - Incumplimiento Normativo SEPS",IF(AND(OR(LEFT(N1179,2)="L4",LEFT(N1179,2)="L5"),AND(P1179&lt;&gt;"",P1179&lt;&gt;"N/A")),"CONFORME - Control Efectivo ISO 27001","OBSERVACIÓN - Revisar Controles")))</f>
        <v/>
      </c>
    </row>
    <row r="1180">
      <c r="A1180">
        <f>IF(INVENTARIO!A1180="","",INVENTARIO!A1180)</f>
        <v/>
      </c>
      <c r="B1180">
        <f>IF(INVENTARIO!E1180="","",INVENTARIO!E1180)</f>
        <v/>
      </c>
      <c r="C1180">
        <f>IF(INVENTARIO!F1180="","",INVENTARIO!F1180)</f>
        <v/>
      </c>
      <c r="D1180">
        <f>IF(INVENTARIO!H1180="","",INVENTARIO!H1180)</f>
        <v/>
      </c>
      <c r="E1180">
        <f>IF(INVENTARIO!I1180="","",INVENTARIO!I1180)</f>
        <v/>
      </c>
      <c r="F1180">
        <f>IF(INVENTARIO!N1180="","",INVENTARIO!N1180)</f>
        <v/>
      </c>
      <c r="G1180">
        <f>IF(INVENTARIO!P1180="","",INVENTARIO!P1180)</f>
        <v/>
      </c>
      <c r="H1180">
        <f>IF(INVENTARIO!Q1180="","",INVENTARIO!Q1180)</f>
        <v/>
      </c>
      <c r="I1180">
        <f>IF(INVENTARIO!R1180="","",INVENTARIO!R1180)</f>
        <v/>
      </c>
      <c r="J1180">
        <f>IF(G1180="PUBLICA(1)",1,IF(G1180="USO INTERNO(2)",2,IF(G1180="RESTRINGIDO(3)",3,0)))+IF(H1180="BAJA(1)",1,IF(H1180="MEDIA(2)",2,IF(H1180="ALTA(3)",3,0)))+IF(I1180="BAJA(1)",1,IF(I1180="MEDIA(2)",2,IF(I1180="ALTA(3)",3,0)))</f>
        <v/>
      </c>
      <c r="K1180">
        <f>IF(J1180="", "", IF(J1180&gt;=8,"ALTA",IF(J1180&gt;=6,"MEDIA","BAJA")))</f>
        <v/>
      </c>
      <c r="L1180">
        <f>IF(INVENTARIO!Y1180="","",INVENTARIO!Y1180)</f>
        <v/>
      </c>
      <c r="M1180">
        <f>IF(INVENTARIO!Z1180="","",INVENTARIO!Z1180)</f>
        <v/>
      </c>
      <c r="N1180">
        <f>IF(INVENTARIO!AA1180="","",INVENTARIO!AA1180)</f>
        <v/>
      </c>
      <c r="O1180">
        <f>IF(INVENTARIO!AB1180="","",INVENTARIO!AB1180)</f>
        <v/>
      </c>
      <c r="P1180">
        <f>IF(INVENTARIO!AC1180="","",INVENTARIO!AC1180)</f>
        <v/>
      </c>
      <c r="Q1180">
        <f>IF(AND(K1180="",N1180="",L1180=""),"",IF(AND((K1180="ALTA"),OR(LEFT(N1180,2)="L0",LEFT(N1180,2)="L1",L1180="No Iniciado")),"CRÍTICO - Incumplimiento Normativo SEPS",IF(AND(OR(LEFT(N1180,2)="L4",LEFT(N1180,2)="L5"),AND(P1180&lt;&gt;"",P1180&lt;&gt;"N/A")),"CONFORME - Control Efectivo ISO 27001","OBSERVACIÓN - Revisar Controles")))</f>
        <v/>
      </c>
    </row>
    <row r="1181">
      <c r="A1181">
        <f>IF(INVENTARIO!A1181="","",INVENTARIO!A1181)</f>
        <v/>
      </c>
      <c r="B1181">
        <f>IF(INVENTARIO!E1181="","",INVENTARIO!E1181)</f>
        <v/>
      </c>
      <c r="C1181">
        <f>IF(INVENTARIO!F1181="","",INVENTARIO!F1181)</f>
        <v/>
      </c>
      <c r="D1181">
        <f>IF(INVENTARIO!H1181="","",INVENTARIO!H1181)</f>
        <v/>
      </c>
      <c r="E1181">
        <f>IF(INVENTARIO!I1181="","",INVENTARIO!I1181)</f>
        <v/>
      </c>
      <c r="F1181">
        <f>IF(INVENTARIO!N1181="","",INVENTARIO!N1181)</f>
        <v/>
      </c>
      <c r="G1181">
        <f>IF(INVENTARIO!P1181="","",INVENTARIO!P1181)</f>
        <v/>
      </c>
      <c r="H1181">
        <f>IF(INVENTARIO!Q1181="","",INVENTARIO!Q1181)</f>
        <v/>
      </c>
      <c r="I1181">
        <f>IF(INVENTARIO!R1181="","",INVENTARIO!R1181)</f>
        <v/>
      </c>
      <c r="J1181">
        <f>IF(G1181="PUBLICA(1)",1,IF(G1181="USO INTERNO(2)",2,IF(G1181="RESTRINGIDO(3)",3,0)))+IF(H1181="BAJA(1)",1,IF(H1181="MEDIA(2)",2,IF(H1181="ALTA(3)",3,0)))+IF(I1181="BAJA(1)",1,IF(I1181="MEDIA(2)",2,IF(I1181="ALTA(3)",3,0)))</f>
        <v/>
      </c>
      <c r="K1181">
        <f>IF(J1181="", "", IF(J1181&gt;=8,"ALTA",IF(J1181&gt;=6,"MEDIA","BAJA")))</f>
        <v/>
      </c>
      <c r="L1181">
        <f>IF(INVENTARIO!Y1181="","",INVENTARIO!Y1181)</f>
        <v/>
      </c>
      <c r="M1181">
        <f>IF(INVENTARIO!Z1181="","",INVENTARIO!Z1181)</f>
        <v/>
      </c>
      <c r="N1181">
        <f>IF(INVENTARIO!AA1181="","",INVENTARIO!AA1181)</f>
        <v/>
      </c>
      <c r="O1181">
        <f>IF(INVENTARIO!AB1181="","",INVENTARIO!AB1181)</f>
        <v/>
      </c>
      <c r="P1181">
        <f>IF(INVENTARIO!AC1181="","",INVENTARIO!AC1181)</f>
        <v/>
      </c>
      <c r="Q1181">
        <f>IF(AND(K1181="",N1181="",L1181=""),"",IF(AND((K1181="ALTA"),OR(LEFT(N1181,2)="L0",LEFT(N1181,2)="L1",L1181="No Iniciado")),"CRÍTICO - Incumplimiento Normativo SEPS",IF(AND(OR(LEFT(N1181,2)="L4",LEFT(N1181,2)="L5"),AND(P1181&lt;&gt;"",P1181&lt;&gt;"N/A")),"CONFORME - Control Efectivo ISO 27001","OBSERVACIÓN - Revisar Controles")))</f>
        <v/>
      </c>
    </row>
    <row r="1182">
      <c r="A1182">
        <f>IF(INVENTARIO!A1182="","",INVENTARIO!A1182)</f>
        <v/>
      </c>
      <c r="B1182">
        <f>IF(INVENTARIO!E1182="","",INVENTARIO!E1182)</f>
        <v/>
      </c>
      <c r="C1182">
        <f>IF(INVENTARIO!F1182="","",INVENTARIO!F1182)</f>
        <v/>
      </c>
      <c r="D1182">
        <f>IF(INVENTARIO!H1182="","",INVENTARIO!H1182)</f>
        <v/>
      </c>
      <c r="E1182">
        <f>IF(INVENTARIO!I1182="","",INVENTARIO!I1182)</f>
        <v/>
      </c>
      <c r="F1182">
        <f>IF(INVENTARIO!N1182="","",INVENTARIO!N1182)</f>
        <v/>
      </c>
      <c r="G1182">
        <f>IF(INVENTARIO!P1182="","",INVENTARIO!P1182)</f>
        <v/>
      </c>
      <c r="H1182">
        <f>IF(INVENTARIO!Q1182="","",INVENTARIO!Q1182)</f>
        <v/>
      </c>
      <c r="I1182">
        <f>IF(INVENTARIO!R1182="","",INVENTARIO!R1182)</f>
        <v/>
      </c>
      <c r="J1182">
        <f>IF(G1182="PUBLICA(1)",1,IF(G1182="USO INTERNO(2)",2,IF(G1182="RESTRINGIDO(3)",3,0)))+IF(H1182="BAJA(1)",1,IF(H1182="MEDIA(2)",2,IF(H1182="ALTA(3)",3,0)))+IF(I1182="BAJA(1)",1,IF(I1182="MEDIA(2)",2,IF(I1182="ALTA(3)",3,0)))</f>
        <v/>
      </c>
      <c r="K1182">
        <f>IF(J1182="", "", IF(J1182&gt;=8,"ALTA",IF(J1182&gt;=6,"MEDIA","BAJA")))</f>
        <v/>
      </c>
      <c r="L1182">
        <f>IF(INVENTARIO!Y1182="","",INVENTARIO!Y1182)</f>
        <v/>
      </c>
      <c r="M1182">
        <f>IF(INVENTARIO!Z1182="","",INVENTARIO!Z1182)</f>
        <v/>
      </c>
      <c r="N1182">
        <f>IF(INVENTARIO!AA1182="","",INVENTARIO!AA1182)</f>
        <v/>
      </c>
      <c r="O1182">
        <f>IF(INVENTARIO!AB1182="","",INVENTARIO!AB1182)</f>
        <v/>
      </c>
      <c r="P1182">
        <f>IF(INVENTARIO!AC1182="","",INVENTARIO!AC1182)</f>
        <v/>
      </c>
      <c r="Q1182">
        <f>IF(AND(K1182="",N1182="",L1182=""),"",IF(AND((K1182="ALTA"),OR(LEFT(N1182,2)="L0",LEFT(N1182,2)="L1",L1182="No Iniciado")),"CRÍTICO - Incumplimiento Normativo SEPS",IF(AND(OR(LEFT(N1182,2)="L4",LEFT(N1182,2)="L5"),AND(P1182&lt;&gt;"",P1182&lt;&gt;"N/A")),"CONFORME - Control Efectivo ISO 27001","OBSERVACIÓN - Revisar Controles")))</f>
        <v/>
      </c>
    </row>
    <row r="1183">
      <c r="A1183">
        <f>IF(INVENTARIO!A1183="","",INVENTARIO!A1183)</f>
        <v/>
      </c>
      <c r="B1183">
        <f>IF(INVENTARIO!E1183="","",INVENTARIO!E1183)</f>
        <v/>
      </c>
      <c r="C1183">
        <f>IF(INVENTARIO!F1183="","",INVENTARIO!F1183)</f>
        <v/>
      </c>
      <c r="D1183">
        <f>IF(INVENTARIO!H1183="","",INVENTARIO!H1183)</f>
        <v/>
      </c>
      <c r="E1183">
        <f>IF(INVENTARIO!I1183="","",INVENTARIO!I1183)</f>
        <v/>
      </c>
      <c r="F1183">
        <f>IF(INVENTARIO!N1183="","",INVENTARIO!N1183)</f>
        <v/>
      </c>
      <c r="G1183">
        <f>IF(INVENTARIO!P1183="","",INVENTARIO!P1183)</f>
        <v/>
      </c>
      <c r="H1183">
        <f>IF(INVENTARIO!Q1183="","",INVENTARIO!Q1183)</f>
        <v/>
      </c>
      <c r="I1183">
        <f>IF(INVENTARIO!R1183="","",INVENTARIO!R1183)</f>
        <v/>
      </c>
      <c r="J1183">
        <f>IF(G1183="PUBLICA(1)",1,IF(G1183="USO INTERNO(2)",2,IF(G1183="RESTRINGIDO(3)",3,0)))+IF(H1183="BAJA(1)",1,IF(H1183="MEDIA(2)",2,IF(H1183="ALTA(3)",3,0)))+IF(I1183="BAJA(1)",1,IF(I1183="MEDIA(2)",2,IF(I1183="ALTA(3)",3,0)))</f>
        <v/>
      </c>
      <c r="K1183">
        <f>IF(J1183="", "", IF(J1183&gt;=8,"ALTA",IF(J1183&gt;=6,"MEDIA","BAJA")))</f>
        <v/>
      </c>
      <c r="L1183">
        <f>IF(INVENTARIO!Y1183="","",INVENTARIO!Y1183)</f>
        <v/>
      </c>
      <c r="M1183">
        <f>IF(INVENTARIO!Z1183="","",INVENTARIO!Z1183)</f>
        <v/>
      </c>
      <c r="N1183">
        <f>IF(INVENTARIO!AA1183="","",INVENTARIO!AA1183)</f>
        <v/>
      </c>
      <c r="O1183">
        <f>IF(INVENTARIO!AB1183="","",INVENTARIO!AB1183)</f>
        <v/>
      </c>
      <c r="P1183">
        <f>IF(INVENTARIO!AC1183="","",INVENTARIO!AC1183)</f>
        <v/>
      </c>
      <c r="Q1183">
        <f>IF(AND(K1183="",N1183="",L1183=""),"",IF(AND((K1183="ALTA"),OR(LEFT(N1183,2)="L0",LEFT(N1183,2)="L1",L1183="No Iniciado")),"CRÍTICO - Incumplimiento Normativo SEPS",IF(AND(OR(LEFT(N1183,2)="L4",LEFT(N1183,2)="L5"),AND(P1183&lt;&gt;"",P1183&lt;&gt;"N/A")),"CONFORME - Control Efectivo ISO 27001","OBSERVACIÓN - Revisar Controles")))</f>
        <v/>
      </c>
    </row>
    <row r="1184">
      <c r="A1184">
        <f>IF(INVENTARIO!A1184="","",INVENTARIO!A1184)</f>
        <v/>
      </c>
      <c r="B1184">
        <f>IF(INVENTARIO!E1184="","",INVENTARIO!E1184)</f>
        <v/>
      </c>
      <c r="C1184">
        <f>IF(INVENTARIO!F1184="","",INVENTARIO!F1184)</f>
        <v/>
      </c>
      <c r="D1184">
        <f>IF(INVENTARIO!H1184="","",INVENTARIO!H1184)</f>
        <v/>
      </c>
      <c r="E1184">
        <f>IF(INVENTARIO!I1184="","",INVENTARIO!I1184)</f>
        <v/>
      </c>
      <c r="F1184">
        <f>IF(INVENTARIO!N1184="","",INVENTARIO!N1184)</f>
        <v/>
      </c>
      <c r="G1184">
        <f>IF(INVENTARIO!P1184="","",INVENTARIO!P1184)</f>
        <v/>
      </c>
      <c r="H1184">
        <f>IF(INVENTARIO!Q1184="","",INVENTARIO!Q1184)</f>
        <v/>
      </c>
      <c r="I1184">
        <f>IF(INVENTARIO!R1184="","",INVENTARIO!R1184)</f>
        <v/>
      </c>
      <c r="J1184">
        <f>IF(G1184="PUBLICA(1)",1,IF(G1184="USO INTERNO(2)",2,IF(G1184="RESTRINGIDO(3)",3,0)))+IF(H1184="BAJA(1)",1,IF(H1184="MEDIA(2)",2,IF(H1184="ALTA(3)",3,0)))+IF(I1184="BAJA(1)",1,IF(I1184="MEDIA(2)",2,IF(I1184="ALTA(3)",3,0)))</f>
        <v/>
      </c>
      <c r="K1184">
        <f>IF(J1184="", "", IF(J1184&gt;=8,"ALTA",IF(J1184&gt;=6,"MEDIA","BAJA")))</f>
        <v/>
      </c>
      <c r="L1184">
        <f>IF(INVENTARIO!Y1184="","",INVENTARIO!Y1184)</f>
        <v/>
      </c>
      <c r="M1184">
        <f>IF(INVENTARIO!Z1184="","",INVENTARIO!Z1184)</f>
        <v/>
      </c>
      <c r="N1184">
        <f>IF(INVENTARIO!AA1184="","",INVENTARIO!AA1184)</f>
        <v/>
      </c>
      <c r="O1184">
        <f>IF(INVENTARIO!AB1184="","",INVENTARIO!AB1184)</f>
        <v/>
      </c>
      <c r="P1184">
        <f>IF(INVENTARIO!AC1184="","",INVENTARIO!AC1184)</f>
        <v/>
      </c>
      <c r="Q1184">
        <f>IF(AND(K1184="",N1184="",L1184=""),"",IF(AND((K1184="ALTA"),OR(LEFT(N1184,2)="L0",LEFT(N1184,2)="L1",L1184="No Iniciado")),"CRÍTICO - Incumplimiento Normativo SEPS",IF(AND(OR(LEFT(N1184,2)="L4",LEFT(N1184,2)="L5"),AND(P1184&lt;&gt;"",P1184&lt;&gt;"N/A")),"CONFORME - Control Efectivo ISO 27001","OBSERVACIÓN - Revisar Controles")))</f>
        <v/>
      </c>
    </row>
    <row r="1185">
      <c r="A1185">
        <f>IF(INVENTARIO!A1185="","",INVENTARIO!A1185)</f>
        <v/>
      </c>
      <c r="B1185">
        <f>IF(INVENTARIO!E1185="","",INVENTARIO!E1185)</f>
        <v/>
      </c>
      <c r="C1185">
        <f>IF(INVENTARIO!F1185="","",INVENTARIO!F1185)</f>
        <v/>
      </c>
      <c r="D1185">
        <f>IF(INVENTARIO!H1185="","",INVENTARIO!H1185)</f>
        <v/>
      </c>
      <c r="E1185">
        <f>IF(INVENTARIO!I1185="","",INVENTARIO!I1185)</f>
        <v/>
      </c>
      <c r="F1185">
        <f>IF(INVENTARIO!N1185="","",INVENTARIO!N1185)</f>
        <v/>
      </c>
      <c r="G1185">
        <f>IF(INVENTARIO!P1185="","",INVENTARIO!P1185)</f>
        <v/>
      </c>
      <c r="H1185">
        <f>IF(INVENTARIO!Q1185="","",INVENTARIO!Q1185)</f>
        <v/>
      </c>
      <c r="I1185">
        <f>IF(INVENTARIO!R1185="","",INVENTARIO!R1185)</f>
        <v/>
      </c>
      <c r="J1185">
        <f>IF(G1185="PUBLICA(1)",1,IF(G1185="USO INTERNO(2)",2,IF(G1185="RESTRINGIDO(3)",3,0)))+IF(H1185="BAJA(1)",1,IF(H1185="MEDIA(2)",2,IF(H1185="ALTA(3)",3,0)))+IF(I1185="BAJA(1)",1,IF(I1185="MEDIA(2)",2,IF(I1185="ALTA(3)",3,0)))</f>
        <v/>
      </c>
      <c r="K1185">
        <f>IF(J1185="", "", IF(J1185&gt;=8,"ALTA",IF(J1185&gt;=6,"MEDIA","BAJA")))</f>
        <v/>
      </c>
      <c r="L1185">
        <f>IF(INVENTARIO!Y1185="","",INVENTARIO!Y1185)</f>
        <v/>
      </c>
      <c r="M1185">
        <f>IF(INVENTARIO!Z1185="","",INVENTARIO!Z1185)</f>
        <v/>
      </c>
      <c r="N1185">
        <f>IF(INVENTARIO!AA1185="","",INVENTARIO!AA1185)</f>
        <v/>
      </c>
      <c r="O1185">
        <f>IF(INVENTARIO!AB1185="","",INVENTARIO!AB1185)</f>
        <v/>
      </c>
      <c r="P1185">
        <f>IF(INVENTARIO!AC1185="","",INVENTARIO!AC1185)</f>
        <v/>
      </c>
      <c r="Q1185">
        <f>IF(AND(K1185="",N1185="",L1185=""),"",IF(AND((K1185="ALTA"),OR(LEFT(N1185,2)="L0",LEFT(N1185,2)="L1",L1185="No Iniciado")),"CRÍTICO - Incumplimiento Normativo SEPS",IF(AND(OR(LEFT(N1185,2)="L4",LEFT(N1185,2)="L5"),AND(P1185&lt;&gt;"",P1185&lt;&gt;"N/A")),"CONFORME - Control Efectivo ISO 27001","OBSERVACIÓN - Revisar Controles")))</f>
        <v/>
      </c>
    </row>
    <row r="1186">
      <c r="A1186">
        <f>IF(INVENTARIO!A1186="","",INVENTARIO!A1186)</f>
        <v/>
      </c>
      <c r="B1186">
        <f>IF(INVENTARIO!E1186="","",INVENTARIO!E1186)</f>
        <v/>
      </c>
      <c r="C1186">
        <f>IF(INVENTARIO!F1186="","",INVENTARIO!F1186)</f>
        <v/>
      </c>
      <c r="D1186">
        <f>IF(INVENTARIO!H1186="","",INVENTARIO!H1186)</f>
        <v/>
      </c>
      <c r="E1186">
        <f>IF(INVENTARIO!I1186="","",INVENTARIO!I1186)</f>
        <v/>
      </c>
      <c r="F1186">
        <f>IF(INVENTARIO!N1186="","",INVENTARIO!N1186)</f>
        <v/>
      </c>
      <c r="G1186">
        <f>IF(INVENTARIO!P1186="","",INVENTARIO!P1186)</f>
        <v/>
      </c>
      <c r="H1186">
        <f>IF(INVENTARIO!Q1186="","",INVENTARIO!Q1186)</f>
        <v/>
      </c>
      <c r="I1186">
        <f>IF(INVENTARIO!R1186="","",INVENTARIO!R1186)</f>
        <v/>
      </c>
      <c r="J1186">
        <f>IF(G1186="PUBLICA(1)",1,IF(G1186="USO INTERNO(2)",2,IF(G1186="RESTRINGIDO(3)",3,0)))+IF(H1186="BAJA(1)",1,IF(H1186="MEDIA(2)",2,IF(H1186="ALTA(3)",3,0)))+IF(I1186="BAJA(1)",1,IF(I1186="MEDIA(2)",2,IF(I1186="ALTA(3)",3,0)))</f>
        <v/>
      </c>
      <c r="K1186">
        <f>IF(J1186="", "", IF(J1186&gt;=8,"ALTA",IF(J1186&gt;=6,"MEDIA","BAJA")))</f>
        <v/>
      </c>
      <c r="L1186">
        <f>IF(INVENTARIO!Y1186="","",INVENTARIO!Y1186)</f>
        <v/>
      </c>
      <c r="M1186">
        <f>IF(INVENTARIO!Z1186="","",INVENTARIO!Z1186)</f>
        <v/>
      </c>
      <c r="N1186">
        <f>IF(INVENTARIO!AA1186="","",INVENTARIO!AA1186)</f>
        <v/>
      </c>
      <c r="O1186">
        <f>IF(INVENTARIO!AB1186="","",INVENTARIO!AB1186)</f>
        <v/>
      </c>
      <c r="P1186">
        <f>IF(INVENTARIO!AC1186="","",INVENTARIO!AC1186)</f>
        <v/>
      </c>
      <c r="Q1186">
        <f>IF(AND(K1186="",N1186="",L1186=""),"",IF(AND((K1186="ALTA"),OR(LEFT(N1186,2)="L0",LEFT(N1186,2)="L1",L1186="No Iniciado")),"CRÍTICO - Incumplimiento Normativo SEPS",IF(AND(OR(LEFT(N1186,2)="L4",LEFT(N1186,2)="L5"),AND(P1186&lt;&gt;"",P1186&lt;&gt;"N/A")),"CONFORME - Control Efectivo ISO 27001","OBSERVACIÓN - Revisar Controles")))</f>
        <v/>
      </c>
    </row>
    <row r="1187">
      <c r="A1187">
        <f>IF(INVENTARIO!A1187="","",INVENTARIO!A1187)</f>
        <v/>
      </c>
      <c r="B1187">
        <f>IF(INVENTARIO!E1187="","",INVENTARIO!E1187)</f>
        <v/>
      </c>
      <c r="C1187">
        <f>IF(INVENTARIO!F1187="","",INVENTARIO!F1187)</f>
        <v/>
      </c>
      <c r="D1187">
        <f>IF(INVENTARIO!H1187="","",INVENTARIO!H1187)</f>
        <v/>
      </c>
      <c r="E1187">
        <f>IF(INVENTARIO!I1187="","",INVENTARIO!I1187)</f>
        <v/>
      </c>
      <c r="F1187">
        <f>IF(INVENTARIO!N1187="","",INVENTARIO!N1187)</f>
        <v/>
      </c>
      <c r="G1187">
        <f>IF(INVENTARIO!P1187="","",INVENTARIO!P1187)</f>
        <v/>
      </c>
      <c r="H1187">
        <f>IF(INVENTARIO!Q1187="","",INVENTARIO!Q1187)</f>
        <v/>
      </c>
      <c r="I1187">
        <f>IF(INVENTARIO!R1187="","",INVENTARIO!R1187)</f>
        <v/>
      </c>
      <c r="J1187">
        <f>IF(G1187="PUBLICA(1)",1,IF(G1187="USO INTERNO(2)",2,IF(G1187="RESTRINGIDO(3)",3,0)))+IF(H1187="BAJA(1)",1,IF(H1187="MEDIA(2)",2,IF(H1187="ALTA(3)",3,0)))+IF(I1187="BAJA(1)",1,IF(I1187="MEDIA(2)",2,IF(I1187="ALTA(3)",3,0)))</f>
        <v/>
      </c>
      <c r="K1187">
        <f>IF(J1187="", "", IF(J1187&gt;=8,"ALTA",IF(J1187&gt;=6,"MEDIA","BAJA")))</f>
        <v/>
      </c>
      <c r="L1187">
        <f>IF(INVENTARIO!Y1187="","",INVENTARIO!Y1187)</f>
        <v/>
      </c>
      <c r="M1187">
        <f>IF(INVENTARIO!Z1187="","",INVENTARIO!Z1187)</f>
        <v/>
      </c>
      <c r="N1187">
        <f>IF(INVENTARIO!AA1187="","",INVENTARIO!AA1187)</f>
        <v/>
      </c>
      <c r="O1187">
        <f>IF(INVENTARIO!AB1187="","",INVENTARIO!AB1187)</f>
        <v/>
      </c>
      <c r="P1187">
        <f>IF(INVENTARIO!AC1187="","",INVENTARIO!AC1187)</f>
        <v/>
      </c>
      <c r="Q1187">
        <f>IF(AND(K1187="",N1187="",L1187=""),"",IF(AND((K1187="ALTA"),OR(LEFT(N1187,2)="L0",LEFT(N1187,2)="L1",L1187="No Iniciado")),"CRÍTICO - Incumplimiento Normativo SEPS",IF(AND(OR(LEFT(N1187,2)="L4",LEFT(N1187,2)="L5"),AND(P1187&lt;&gt;"",P1187&lt;&gt;"N/A")),"CONFORME - Control Efectivo ISO 27001","OBSERVACIÓN - Revisar Controles")))</f>
        <v/>
      </c>
    </row>
    <row r="1188">
      <c r="A1188">
        <f>IF(INVENTARIO!A1188="","",INVENTARIO!A1188)</f>
        <v/>
      </c>
      <c r="B1188">
        <f>IF(INVENTARIO!E1188="","",INVENTARIO!E1188)</f>
        <v/>
      </c>
      <c r="C1188">
        <f>IF(INVENTARIO!F1188="","",INVENTARIO!F1188)</f>
        <v/>
      </c>
      <c r="D1188">
        <f>IF(INVENTARIO!H1188="","",INVENTARIO!H1188)</f>
        <v/>
      </c>
      <c r="E1188">
        <f>IF(INVENTARIO!I1188="","",INVENTARIO!I1188)</f>
        <v/>
      </c>
      <c r="F1188">
        <f>IF(INVENTARIO!N1188="","",INVENTARIO!N1188)</f>
        <v/>
      </c>
      <c r="G1188">
        <f>IF(INVENTARIO!P1188="","",INVENTARIO!P1188)</f>
        <v/>
      </c>
      <c r="H1188">
        <f>IF(INVENTARIO!Q1188="","",INVENTARIO!Q1188)</f>
        <v/>
      </c>
      <c r="I1188">
        <f>IF(INVENTARIO!R1188="","",INVENTARIO!R1188)</f>
        <v/>
      </c>
      <c r="J1188">
        <f>IF(G1188="PUBLICA(1)",1,IF(G1188="USO INTERNO(2)",2,IF(G1188="RESTRINGIDO(3)",3,0)))+IF(H1188="BAJA(1)",1,IF(H1188="MEDIA(2)",2,IF(H1188="ALTA(3)",3,0)))+IF(I1188="BAJA(1)",1,IF(I1188="MEDIA(2)",2,IF(I1188="ALTA(3)",3,0)))</f>
        <v/>
      </c>
      <c r="K1188">
        <f>IF(J1188="", "", IF(J1188&gt;=8,"ALTA",IF(J1188&gt;=6,"MEDIA","BAJA")))</f>
        <v/>
      </c>
      <c r="L1188">
        <f>IF(INVENTARIO!Y1188="","",INVENTARIO!Y1188)</f>
        <v/>
      </c>
      <c r="M1188">
        <f>IF(INVENTARIO!Z1188="","",INVENTARIO!Z1188)</f>
        <v/>
      </c>
      <c r="N1188">
        <f>IF(INVENTARIO!AA1188="","",INVENTARIO!AA1188)</f>
        <v/>
      </c>
      <c r="O1188">
        <f>IF(INVENTARIO!AB1188="","",INVENTARIO!AB1188)</f>
        <v/>
      </c>
      <c r="P1188">
        <f>IF(INVENTARIO!AC1188="","",INVENTARIO!AC1188)</f>
        <v/>
      </c>
      <c r="Q1188">
        <f>IF(AND(K1188="",N1188="",L1188=""),"",IF(AND((K1188="ALTA"),OR(LEFT(N1188,2)="L0",LEFT(N1188,2)="L1",L1188="No Iniciado")),"CRÍTICO - Incumplimiento Normativo SEPS",IF(AND(OR(LEFT(N1188,2)="L4",LEFT(N1188,2)="L5"),AND(P1188&lt;&gt;"",P1188&lt;&gt;"N/A")),"CONFORME - Control Efectivo ISO 27001","OBSERVACIÓN - Revisar Controles")))</f>
        <v/>
      </c>
    </row>
    <row r="1189">
      <c r="A1189">
        <f>IF(INVENTARIO!A1189="","",INVENTARIO!A1189)</f>
        <v/>
      </c>
      <c r="B1189">
        <f>IF(INVENTARIO!E1189="","",INVENTARIO!E1189)</f>
        <v/>
      </c>
      <c r="C1189">
        <f>IF(INVENTARIO!F1189="","",INVENTARIO!F1189)</f>
        <v/>
      </c>
      <c r="D1189">
        <f>IF(INVENTARIO!H1189="","",INVENTARIO!H1189)</f>
        <v/>
      </c>
      <c r="E1189">
        <f>IF(INVENTARIO!I1189="","",INVENTARIO!I1189)</f>
        <v/>
      </c>
      <c r="F1189">
        <f>IF(INVENTARIO!N1189="","",INVENTARIO!N1189)</f>
        <v/>
      </c>
      <c r="G1189">
        <f>IF(INVENTARIO!P1189="","",INVENTARIO!P1189)</f>
        <v/>
      </c>
      <c r="H1189">
        <f>IF(INVENTARIO!Q1189="","",INVENTARIO!Q1189)</f>
        <v/>
      </c>
      <c r="I1189">
        <f>IF(INVENTARIO!R1189="","",INVENTARIO!R1189)</f>
        <v/>
      </c>
      <c r="J1189">
        <f>IF(G1189="PUBLICA(1)",1,IF(G1189="USO INTERNO(2)",2,IF(G1189="RESTRINGIDO(3)",3,0)))+IF(H1189="BAJA(1)",1,IF(H1189="MEDIA(2)",2,IF(H1189="ALTA(3)",3,0)))+IF(I1189="BAJA(1)",1,IF(I1189="MEDIA(2)",2,IF(I1189="ALTA(3)",3,0)))</f>
        <v/>
      </c>
      <c r="K1189">
        <f>IF(J1189="", "", IF(J1189&gt;=8,"ALTA",IF(J1189&gt;=6,"MEDIA","BAJA")))</f>
        <v/>
      </c>
      <c r="L1189">
        <f>IF(INVENTARIO!Y1189="","",INVENTARIO!Y1189)</f>
        <v/>
      </c>
      <c r="M1189">
        <f>IF(INVENTARIO!Z1189="","",INVENTARIO!Z1189)</f>
        <v/>
      </c>
      <c r="N1189">
        <f>IF(INVENTARIO!AA1189="","",INVENTARIO!AA1189)</f>
        <v/>
      </c>
      <c r="O1189">
        <f>IF(INVENTARIO!AB1189="","",INVENTARIO!AB1189)</f>
        <v/>
      </c>
      <c r="P1189">
        <f>IF(INVENTARIO!AC1189="","",INVENTARIO!AC1189)</f>
        <v/>
      </c>
      <c r="Q1189">
        <f>IF(AND(K1189="",N1189="",L1189=""),"",IF(AND((K1189="ALTA"),OR(LEFT(N1189,2)="L0",LEFT(N1189,2)="L1",L1189="No Iniciado")),"CRÍTICO - Incumplimiento Normativo SEPS",IF(AND(OR(LEFT(N1189,2)="L4",LEFT(N1189,2)="L5"),AND(P1189&lt;&gt;"",P1189&lt;&gt;"N/A")),"CONFORME - Control Efectivo ISO 27001","OBSERVACIÓN - Revisar Controles")))</f>
        <v/>
      </c>
    </row>
    <row r="1190">
      <c r="A1190">
        <f>IF(INVENTARIO!A1190="","",INVENTARIO!A1190)</f>
        <v/>
      </c>
      <c r="B1190">
        <f>IF(INVENTARIO!E1190="","",INVENTARIO!E1190)</f>
        <v/>
      </c>
      <c r="C1190">
        <f>IF(INVENTARIO!F1190="","",INVENTARIO!F1190)</f>
        <v/>
      </c>
      <c r="D1190">
        <f>IF(INVENTARIO!H1190="","",INVENTARIO!H1190)</f>
        <v/>
      </c>
      <c r="E1190">
        <f>IF(INVENTARIO!I1190="","",INVENTARIO!I1190)</f>
        <v/>
      </c>
      <c r="F1190">
        <f>IF(INVENTARIO!N1190="","",INVENTARIO!N1190)</f>
        <v/>
      </c>
      <c r="G1190">
        <f>IF(INVENTARIO!P1190="","",INVENTARIO!P1190)</f>
        <v/>
      </c>
      <c r="H1190">
        <f>IF(INVENTARIO!Q1190="","",INVENTARIO!Q1190)</f>
        <v/>
      </c>
      <c r="I1190">
        <f>IF(INVENTARIO!R1190="","",INVENTARIO!R1190)</f>
        <v/>
      </c>
      <c r="J1190">
        <f>IF(G1190="PUBLICA(1)",1,IF(G1190="USO INTERNO(2)",2,IF(G1190="RESTRINGIDO(3)",3,0)))+IF(H1190="BAJA(1)",1,IF(H1190="MEDIA(2)",2,IF(H1190="ALTA(3)",3,0)))+IF(I1190="BAJA(1)",1,IF(I1190="MEDIA(2)",2,IF(I1190="ALTA(3)",3,0)))</f>
        <v/>
      </c>
      <c r="K1190">
        <f>IF(J1190="", "", IF(J1190&gt;=8,"ALTA",IF(J1190&gt;=6,"MEDIA","BAJA")))</f>
        <v/>
      </c>
      <c r="L1190">
        <f>IF(INVENTARIO!Y1190="","",INVENTARIO!Y1190)</f>
        <v/>
      </c>
      <c r="M1190">
        <f>IF(INVENTARIO!Z1190="","",INVENTARIO!Z1190)</f>
        <v/>
      </c>
      <c r="N1190">
        <f>IF(INVENTARIO!AA1190="","",INVENTARIO!AA1190)</f>
        <v/>
      </c>
      <c r="O1190">
        <f>IF(INVENTARIO!AB1190="","",INVENTARIO!AB1190)</f>
        <v/>
      </c>
      <c r="P1190">
        <f>IF(INVENTARIO!AC1190="","",INVENTARIO!AC1190)</f>
        <v/>
      </c>
      <c r="Q1190">
        <f>IF(AND(K1190="",N1190="",L1190=""),"",IF(AND((K1190="ALTA"),OR(LEFT(N1190,2)="L0",LEFT(N1190,2)="L1",L1190="No Iniciado")),"CRÍTICO - Incumplimiento Normativo SEPS",IF(AND(OR(LEFT(N1190,2)="L4",LEFT(N1190,2)="L5"),AND(P1190&lt;&gt;"",P1190&lt;&gt;"N/A")),"CONFORME - Control Efectivo ISO 27001","OBSERVACIÓN - Revisar Controles")))</f>
        <v/>
      </c>
    </row>
    <row r="1191">
      <c r="A1191">
        <f>IF(INVENTARIO!A1191="","",INVENTARIO!A1191)</f>
        <v/>
      </c>
      <c r="B1191">
        <f>IF(INVENTARIO!E1191="","",INVENTARIO!E1191)</f>
        <v/>
      </c>
      <c r="C1191">
        <f>IF(INVENTARIO!F1191="","",INVENTARIO!F1191)</f>
        <v/>
      </c>
      <c r="D1191">
        <f>IF(INVENTARIO!H1191="","",INVENTARIO!H1191)</f>
        <v/>
      </c>
      <c r="E1191">
        <f>IF(INVENTARIO!I1191="","",INVENTARIO!I1191)</f>
        <v/>
      </c>
      <c r="F1191">
        <f>IF(INVENTARIO!N1191="","",INVENTARIO!N1191)</f>
        <v/>
      </c>
      <c r="G1191">
        <f>IF(INVENTARIO!P1191="","",INVENTARIO!P1191)</f>
        <v/>
      </c>
      <c r="H1191">
        <f>IF(INVENTARIO!Q1191="","",INVENTARIO!Q1191)</f>
        <v/>
      </c>
      <c r="I1191">
        <f>IF(INVENTARIO!R1191="","",INVENTARIO!R1191)</f>
        <v/>
      </c>
      <c r="J1191">
        <f>IF(G1191="PUBLICA(1)",1,IF(G1191="USO INTERNO(2)",2,IF(G1191="RESTRINGIDO(3)",3,0)))+IF(H1191="BAJA(1)",1,IF(H1191="MEDIA(2)",2,IF(H1191="ALTA(3)",3,0)))+IF(I1191="BAJA(1)",1,IF(I1191="MEDIA(2)",2,IF(I1191="ALTA(3)",3,0)))</f>
        <v/>
      </c>
      <c r="K1191">
        <f>IF(J1191="", "", IF(J1191&gt;=8,"ALTA",IF(J1191&gt;=6,"MEDIA","BAJA")))</f>
        <v/>
      </c>
      <c r="L1191">
        <f>IF(INVENTARIO!Y1191="","",INVENTARIO!Y1191)</f>
        <v/>
      </c>
      <c r="M1191">
        <f>IF(INVENTARIO!Z1191="","",INVENTARIO!Z1191)</f>
        <v/>
      </c>
      <c r="N1191">
        <f>IF(INVENTARIO!AA1191="","",INVENTARIO!AA1191)</f>
        <v/>
      </c>
      <c r="O1191">
        <f>IF(INVENTARIO!AB1191="","",INVENTARIO!AB1191)</f>
        <v/>
      </c>
      <c r="P1191">
        <f>IF(INVENTARIO!AC1191="","",INVENTARIO!AC1191)</f>
        <v/>
      </c>
      <c r="Q1191">
        <f>IF(AND(K1191="",N1191="",L1191=""),"",IF(AND((K1191="ALTA"),OR(LEFT(N1191,2)="L0",LEFT(N1191,2)="L1",L1191="No Iniciado")),"CRÍTICO - Incumplimiento Normativo SEPS",IF(AND(OR(LEFT(N1191,2)="L4",LEFT(N1191,2)="L5"),AND(P1191&lt;&gt;"",P1191&lt;&gt;"N/A")),"CONFORME - Control Efectivo ISO 27001","OBSERVACIÓN - Revisar Controles")))</f>
        <v/>
      </c>
    </row>
    <row r="1192">
      <c r="A1192">
        <f>IF(INVENTARIO!A1192="","",INVENTARIO!A1192)</f>
        <v/>
      </c>
      <c r="B1192">
        <f>IF(INVENTARIO!E1192="","",INVENTARIO!E1192)</f>
        <v/>
      </c>
      <c r="C1192">
        <f>IF(INVENTARIO!F1192="","",INVENTARIO!F1192)</f>
        <v/>
      </c>
      <c r="D1192">
        <f>IF(INVENTARIO!H1192="","",INVENTARIO!H1192)</f>
        <v/>
      </c>
      <c r="E1192">
        <f>IF(INVENTARIO!I1192="","",INVENTARIO!I1192)</f>
        <v/>
      </c>
      <c r="F1192">
        <f>IF(INVENTARIO!N1192="","",INVENTARIO!N1192)</f>
        <v/>
      </c>
      <c r="G1192">
        <f>IF(INVENTARIO!P1192="","",INVENTARIO!P1192)</f>
        <v/>
      </c>
      <c r="H1192">
        <f>IF(INVENTARIO!Q1192="","",INVENTARIO!Q1192)</f>
        <v/>
      </c>
      <c r="I1192">
        <f>IF(INVENTARIO!R1192="","",INVENTARIO!R1192)</f>
        <v/>
      </c>
      <c r="J1192">
        <f>IF(G1192="PUBLICA(1)",1,IF(G1192="USO INTERNO(2)",2,IF(G1192="RESTRINGIDO(3)",3,0)))+IF(H1192="BAJA(1)",1,IF(H1192="MEDIA(2)",2,IF(H1192="ALTA(3)",3,0)))+IF(I1192="BAJA(1)",1,IF(I1192="MEDIA(2)",2,IF(I1192="ALTA(3)",3,0)))</f>
        <v/>
      </c>
      <c r="K1192">
        <f>IF(J1192="", "", IF(J1192&gt;=8,"ALTA",IF(J1192&gt;=6,"MEDIA","BAJA")))</f>
        <v/>
      </c>
      <c r="L1192">
        <f>IF(INVENTARIO!Y1192="","",INVENTARIO!Y1192)</f>
        <v/>
      </c>
      <c r="M1192">
        <f>IF(INVENTARIO!Z1192="","",INVENTARIO!Z1192)</f>
        <v/>
      </c>
      <c r="N1192">
        <f>IF(INVENTARIO!AA1192="","",INVENTARIO!AA1192)</f>
        <v/>
      </c>
      <c r="O1192">
        <f>IF(INVENTARIO!AB1192="","",INVENTARIO!AB1192)</f>
        <v/>
      </c>
      <c r="P1192">
        <f>IF(INVENTARIO!AC1192="","",INVENTARIO!AC1192)</f>
        <v/>
      </c>
      <c r="Q1192">
        <f>IF(AND(K1192="",N1192="",L1192=""),"",IF(AND((K1192="ALTA"),OR(LEFT(N1192,2)="L0",LEFT(N1192,2)="L1",L1192="No Iniciado")),"CRÍTICO - Incumplimiento Normativo SEPS",IF(AND(OR(LEFT(N1192,2)="L4",LEFT(N1192,2)="L5"),AND(P1192&lt;&gt;"",P1192&lt;&gt;"N/A")),"CONFORME - Control Efectivo ISO 27001","OBSERVACIÓN - Revisar Controles")))</f>
        <v/>
      </c>
    </row>
    <row r="1193">
      <c r="A1193">
        <f>IF(INVENTARIO!A1193="","",INVENTARIO!A1193)</f>
        <v/>
      </c>
      <c r="B1193">
        <f>IF(INVENTARIO!E1193="","",INVENTARIO!E1193)</f>
        <v/>
      </c>
      <c r="C1193">
        <f>IF(INVENTARIO!F1193="","",INVENTARIO!F1193)</f>
        <v/>
      </c>
      <c r="D1193">
        <f>IF(INVENTARIO!H1193="","",INVENTARIO!H1193)</f>
        <v/>
      </c>
      <c r="E1193">
        <f>IF(INVENTARIO!I1193="","",INVENTARIO!I1193)</f>
        <v/>
      </c>
      <c r="F1193">
        <f>IF(INVENTARIO!N1193="","",INVENTARIO!N1193)</f>
        <v/>
      </c>
      <c r="G1193">
        <f>IF(INVENTARIO!P1193="","",INVENTARIO!P1193)</f>
        <v/>
      </c>
      <c r="H1193">
        <f>IF(INVENTARIO!Q1193="","",INVENTARIO!Q1193)</f>
        <v/>
      </c>
      <c r="I1193">
        <f>IF(INVENTARIO!R1193="","",INVENTARIO!R1193)</f>
        <v/>
      </c>
      <c r="J1193">
        <f>IF(G1193="PUBLICA(1)",1,IF(G1193="USO INTERNO(2)",2,IF(G1193="RESTRINGIDO(3)",3,0)))+IF(H1193="BAJA(1)",1,IF(H1193="MEDIA(2)",2,IF(H1193="ALTA(3)",3,0)))+IF(I1193="BAJA(1)",1,IF(I1193="MEDIA(2)",2,IF(I1193="ALTA(3)",3,0)))</f>
        <v/>
      </c>
      <c r="K1193">
        <f>IF(J1193="", "", IF(J1193&gt;=8,"ALTA",IF(J1193&gt;=6,"MEDIA","BAJA")))</f>
        <v/>
      </c>
      <c r="L1193">
        <f>IF(INVENTARIO!Y1193="","",INVENTARIO!Y1193)</f>
        <v/>
      </c>
      <c r="M1193">
        <f>IF(INVENTARIO!Z1193="","",INVENTARIO!Z1193)</f>
        <v/>
      </c>
      <c r="N1193">
        <f>IF(INVENTARIO!AA1193="","",INVENTARIO!AA1193)</f>
        <v/>
      </c>
      <c r="O1193">
        <f>IF(INVENTARIO!AB1193="","",INVENTARIO!AB1193)</f>
        <v/>
      </c>
      <c r="P1193">
        <f>IF(INVENTARIO!AC1193="","",INVENTARIO!AC1193)</f>
        <v/>
      </c>
      <c r="Q1193">
        <f>IF(AND(K1193="",N1193="",L1193=""),"",IF(AND((K1193="ALTA"),OR(LEFT(N1193,2)="L0",LEFT(N1193,2)="L1",L1193="No Iniciado")),"CRÍTICO - Incumplimiento Normativo SEPS",IF(AND(OR(LEFT(N1193,2)="L4",LEFT(N1193,2)="L5"),AND(P1193&lt;&gt;"",P1193&lt;&gt;"N/A")),"CONFORME - Control Efectivo ISO 27001","OBSERVACIÓN - Revisar Controles")))</f>
        <v/>
      </c>
    </row>
    <row r="1194">
      <c r="A1194">
        <f>IF(INVENTARIO!A1194="","",INVENTARIO!A1194)</f>
        <v/>
      </c>
      <c r="B1194">
        <f>IF(INVENTARIO!E1194="","",INVENTARIO!E1194)</f>
        <v/>
      </c>
      <c r="C1194">
        <f>IF(INVENTARIO!F1194="","",INVENTARIO!F1194)</f>
        <v/>
      </c>
      <c r="D1194">
        <f>IF(INVENTARIO!H1194="","",INVENTARIO!H1194)</f>
        <v/>
      </c>
      <c r="E1194">
        <f>IF(INVENTARIO!I1194="","",INVENTARIO!I1194)</f>
        <v/>
      </c>
      <c r="F1194">
        <f>IF(INVENTARIO!N1194="","",INVENTARIO!N1194)</f>
        <v/>
      </c>
      <c r="G1194">
        <f>IF(INVENTARIO!P1194="","",INVENTARIO!P1194)</f>
        <v/>
      </c>
      <c r="H1194">
        <f>IF(INVENTARIO!Q1194="","",INVENTARIO!Q1194)</f>
        <v/>
      </c>
      <c r="I1194">
        <f>IF(INVENTARIO!R1194="","",INVENTARIO!R1194)</f>
        <v/>
      </c>
      <c r="J1194">
        <f>IF(G1194="PUBLICA(1)",1,IF(G1194="USO INTERNO(2)",2,IF(G1194="RESTRINGIDO(3)",3,0)))+IF(H1194="BAJA(1)",1,IF(H1194="MEDIA(2)",2,IF(H1194="ALTA(3)",3,0)))+IF(I1194="BAJA(1)",1,IF(I1194="MEDIA(2)",2,IF(I1194="ALTA(3)",3,0)))</f>
        <v/>
      </c>
      <c r="K1194">
        <f>IF(J1194="", "", IF(J1194&gt;=8,"ALTA",IF(J1194&gt;=6,"MEDIA","BAJA")))</f>
        <v/>
      </c>
      <c r="L1194">
        <f>IF(INVENTARIO!Y1194="","",INVENTARIO!Y1194)</f>
        <v/>
      </c>
      <c r="M1194">
        <f>IF(INVENTARIO!Z1194="","",INVENTARIO!Z1194)</f>
        <v/>
      </c>
      <c r="N1194">
        <f>IF(INVENTARIO!AA1194="","",INVENTARIO!AA1194)</f>
        <v/>
      </c>
      <c r="O1194">
        <f>IF(INVENTARIO!AB1194="","",INVENTARIO!AB1194)</f>
        <v/>
      </c>
      <c r="P1194">
        <f>IF(INVENTARIO!AC1194="","",INVENTARIO!AC1194)</f>
        <v/>
      </c>
      <c r="Q1194">
        <f>IF(AND(K1194="",N1194="",L1194=""),"",IF(AND((K1194="ALTA"),OR(LEFT(N1194,2)="L0",LEFT(N1194,2)="L1",L1194="No Iniciado")),"CRÍTICO - Incumplimiento Normativo SEPS",IF(AND(OR(LEFT(N1194,2)="L4",LEFT(N1194,2)="L5"),AND(P1194&lt;&gt;"",P1194&lt;&gt;"N/A")),"CONFORME - Control Efectivo ISO 27001","OBSERVACIÓN - Revisar Controles")))</f>
        <v/>
      </c>
    </row>
    <row r="1195">
      <c r="A1195">
        <f>IF(INVENTARIO!A1195="","",INVENTARIO!A1195)</f>
        <v/>
      </c>
      <c r="B1195">
        <f>IF(INVENTARIO!E1195="","",INVENTARIO!E1195)</f>
        <v/>
      </c>
      <c r="C1195">
        <f>IF(INVENTARIO!F1195="","",INVENTARIO!F1195)</f>
        <v/>
      </c>
      <c r="D1195">
        <f>IF(INVENTARIO!H1195="","",INVENTARIO!H1195)</f>
        <v/>
      </c>
      <c r="E1195">
        <f>IF(INVENTARIO!I1195="","",INVENTARIO!I1195)</f>
        <v/>
      </c>
      <c r="F1195">
        <f>IF(INVENTARIO!N1195="","",INVENTARIO!N1195)</f>
        <v/>
      </c>
      <c r="G1195">
        <f>IF(INVENTARIO!P1195="","",INVENTARIO!P1195)</f>
        <v/>
      </c>
      <c r="H1195">
        <f>IF(INVENTARIO!Q1195="","",INVENTARIO!Q1195)</f>
        <v/>
      </c>
      <c r="I1195">
        <f>IF(INVENTARIO!R1195="","",INVENTARIO!R1195)</f>
        <v/>
      </c>
      <c r="J1195">
        <f>IF(G1195="PUBLICA(1)",1,IF(G1195="USO INTERNO(2)",2,IF(G1195="RESTRINGIDO(3)",3,0)))+IF(H1195="BAJA(1)",1,IF(H1195="MEDIA(2)",2,IF(H1195="ALTA(3)",3,0)))+IF(I1195="BAJA(1)",1,IF(I1195="MEDIA(2)",2,IF(I1195="ALTA(3)",3,0)))</f>
        <v/>
      </c>
      <c r="K1195">
        <f>IF(J1195="", "", IF(J1195&gt;=8,"ALTA",IF(J1195&gt;=6,"MEDIA","BAJA")))</f>
        <v/>
      </c>
      <c r="L1195">
        <f>IF(INVENTARIO!Y1195="","",INVENTARIO!Y1195)</f>
        <v/>
      </c>
      <c r="M1195">
        <f>IF(INVENTARIO!Z1195="","",INVENTARIO!Z1195)</f>
        <v/>
      </c>
      <c r="N1195">
        <f>IF(INVENTARIO!AA1195="","",INVENTARIO!AA1195)</f>
        <v/>
      </c>
      <c r="O1195">
        <f>IF(INVENTARIO!AB1195="","",INVENTARIO!AB1195)</f>
        <v/>
      </c>
      <c r="P1195">
        <f>IF(INVENTARIO!AC1195="","",INVENTARIO!AC1195)</f>
        <v/>
      </c>
      <c r="Q1195">
        <f>IF(AND(K1195="",N1195="",L1195=""),"",IF(AND((K1195="ALTA"),OR(LEFT(N1195,2)="L0",LEFT(N1195,2)="L1",L1195="No Iniciado")),"CRÍTICO - Incumplimiento Normativo SEPS",IF(AND(OR(LEFT(N1195,2)="L4",LEFT(N1195,2)="L5"),AND(P1195&lt;&gt;"",P1195&lt;&gt;"N/A")),"CONFORME - Control Efectivo ISO 27001","OBSERVACIÓN - Revisar Controles")))</f>
        <v/>
      </c>
    </row>
    <row r="1196">
      <c r="A1196">
        <f>IF(INVENTARIO!A1196="","",INVENTARIO!A1196)</f>
        <v/>
      </c>
      <c r="B1196">
        <f>IF(INVENTARIO!E1196="","",INVENTARIO!E1196)</f>
        <v/>
      </c>
      <c r="C1196">
        <f>IF(INVENTARIO!F1196="","",INVENTARIO!F1196)</f>
        <v/>
      </c>
      <c r="D1196">
        <f>IF(INVENTARIO!H1196="","",INVENTARIO!H1196)</f>
        <v/>
      </c>
      <c r="E1196">
        <f>IF(INVENTARIO!I1196="","",INVENTARIO!I1196)</f>
        <v/>
      </c>
      <c r="F1196">
        <f>IF(INVENTARIO!N1196="","",INVENTARIO!N1196)</f>
        <v/>
      </c>
      <c r="G1196">
        <f>IF(INVENTARIO!P1196="","",INVENTARIO!P1196)</f>
        <v/>
      </c>
      <c r="H1196">
        <f>IF(INVENTARIO!Q1196="","",INVENTARIO!Q1196)</f>
        <v/>
      </c>
      <c r="I1196">
        <f>IF(INVENTARIO!R1196="","",INVENTARIO!R1196)</f>
        <v/>
      </c>
      <c r="J1196">
        <f>IF(G1196="PUBLICA(1)",1,IF(G1196="USO INTERNO(2)",2,IF(G1196="RESTRINGIDO(3)",3,0)))+IF(H1196="BAJA(1)",1,IF(H1196="MEDIA(2)",2,IF(H1196="ALTA(3)",3,0)))+IF(I1196="BAJA(1)",1,IF(I1196="MEDIA(2)",2,IF(I1196="ALTA(3)",3,0)))</f>
        <v/>
      </c>
      <c r="K1196">
        <f>IF(J1196="", "", IF(J1196&gt;=8,"ALTA",IF(J1196&gt;=6,"MEDIA","BAJA")))</f>
        <v/>
      </c>
      <c r="L1196">
        <f>IF(INVENTARIO!Y1196="","",INVENTARIO!Y1196)</f>
        <v/>
      </c>
      <c r="M1196">
        <f>IF(INVENTARIO!Z1196="","",INVENTARIO!Z1196)</f>
        <v/>
      </c>
      <c r="N1196">
        <f>IF(INVENTARIO!AA1196="","",INVENTARIO!AA1196)</f>
        <v/>
      </c>
      <c r="O1196">
        <f>IF(INVENTARIO!AB1196="","",INVENTARIO!AB1196)</f>
        <v/>
      </c>
      <c r="P1196">
        <f>IF(INVENTARIO!AC1196="","",INVENTARIO!AC1196)</f>
        <v/>
      </c>
      <c r="Q1196">
        <f>IF(AND(K1196="",N1196="",L1196=""),"",IF(AND((K1196="ALTA"),OR(LEFT(N1196,2)="L0",LEFT(N1196,2)="L1",L1196="No Iniciado")),"CRÍTICO - Incumplimiento Normativo SEPS",IF(AND(OR(LEFT(N1196,2)="L4",LEFT(N1196,2)="L5"),AND(P1196&lt;&gt;"",P1196&lt;&gt;"N/A")),"CONFORME - Control Efectivo ISO 27001","OBSERVACIÓN - Revisar Controles")))</f>
        <v/>
      </c>
    </row>
    <row r="1197">
      <c r="A1197">
        <f>IF(INVENTARIO!A1197="","",INVENTARIO!A1197)</f>
        <v/>
      </c>
      <c r="B1197">
        <f>IF(INVENTARIO!E1197="","",INVENTARIO!E1197)</f>
        <v/>
      </c>
      <c r="C1197">
        <f>IF(INVENTARIO!F1197="","",INVENTARIO!F1197)</f>
        <v/>
      </c>
      <c r="D1197">
        <f>IF(INVENTARIO!H1197="","",INVENTARIO!H1197)</f>
        <v/>
      </c>
      <c r="E1197">
        <f>IF(INVENTARIO!I1197="","",INVENTARIO!I1197)</f>
        <v/>
      </c>
      <c r="F1197">
        <f>IF(INVENTARIO!N1197="","",INVENTARIO!N1197)</f>
        <v/>
      </c>
      <c r="G1197">
        <f>IF(INVENTARIO!P1197="","",INVENTARIO!P1197)</f>
        <v/>
      </c>
      <c r="H1197">
        <f>IF(INVENTARIO!Q1197="","",INVENTARIO!Q1197)</f>
        <v/>
      </c>
      <c r="I1197">
        <f>IF(INVENTARIO!R1197="","",INVENTARIO!R1197)</f>
        <v/>
      </c>
      <c r="J1197">
        <f>IF(G1197="PUBLICA(1)",1,IF(G1197="USO INTERNO(2)",2,IF(G1197="RESTRINGIDO(3)",3,0)))+IF(H1197="BAJA(1)",1,IF(H1197="MEDIA(2)",2,IF(H1197="ALTA(3)",3,0)))+IF(I1197="BAJA(1)",1,IF(I1197="MEDIA(2)",2,IF(I1197="ALTA(3)",3,0)))</f>
        <v/>
      </c>
      <c r="K1197">
        <f>IF(J1197="", "", IF(J1197&gt;=8,"ALTA",IF(J1197&gt;=6,"MEDIA","BAJA")))</f>
        <v/>
      </c>
      <c r="L1197">
        <f>IF(INVENTARIO!Y1197="","",INVENTARIO!Y1197)</f>
        <v/>
      </c>
      <c r="M1197">
        <f>IF(INVENTARIO!Z1197="","",INVENTARIO!Z1197)</f>
        <v/>
      </c>
      <c r="N1197">
        <f>IF(INVENTARIO!AA1197="","",INVENTARIO!AA1197)</f>
        <v/>
      </c>
      <c r="O1197">
        <f>IF(INVENTARIO!AB1197="","",INVENTARIO!AB1197)</f>
        <v/>
      </c>
      <c r="P1197">
        <f>IF(INVENTARIO!AC1197="","",INVENTARIO!AC1197)</f>
        <v/>
      </c>
      <c r="Q1197">
        <f>IF(AND(K1197="",N1197="",L1197=""),"",IF(AND((K1197="ALTA"),OR(LEFT(N1197,2)="L0",LEFT(N1197,2)="L1",L1197="No Iniciado")),"CRÍTICO - Incumplimiento Normativo SEPS",IF(AND(OR(LEFT(N1197,2)="L4",LEFT(N1197,2)="L5"),AND(P1197&lt;&gt;"",P1197&lt;&gt;"N/A")),"CONFORME - Control Efectivo ISO 27001","OBSERVACIÓN - Revisar Controles")))</f>
        <v/>
      </c>
    </row>
    <row r="1198">
      <c r="A1198">
        <f>IF(INVENTARIO!A1198="","",INVENTARIO!A1198)</f>
        <v/>
      </c>
      <c r="B1198">
        <f>IF(INVENTARIO!E1198="","",INVENTARIO!E1198)</f>
        <v/>
      </c>
      <c r="C1198">
        <f>IF(INVENTARIO!F1198="","",INVENTARIO!F1198)</f>
        <v/>
      </c>
      <c r="D1198">
        <f>IF(INVENTARIO!H1198="","",INVENTARIO!H1198)</f>
        <v/>
      </c>
      <c r="E1198">
        <f>IF(INVENTARIO!I1198="","",INVENTARIO!I1198)</f>
        <v/>
      </c>
      <c r="F1198">
        <f>IF(INVENTARIO!N1198="","",INVENTARIO!N1198)</f>
        <v/>
      </c>
      <c r="G1198">
        <f>IF(INVENTARIO!P1198="","",INVENTARIO!P1198)</f>
        <v/>
      </c>
      <c r="H1198">
        <f>IF(INVENTARIO!Q1198="","",INVENTARIO!Q1198)</f>
        <v/>
      </c>
      <c r="I1198">
        <f>IF(INVENTARIO!R1198="","",INVENTARIO!R1198)</f>
        <v/>
      </c>
      <c r="J1198">
        <f>IF(G1198="PUBLICA(1)",1,IF(G1198="USO INTERNO(2)",2,IF(G1198="RESTRINGIDO(3)",3,0)))+IF(H1198="BAJA(1)",1,IF(H1198="MEDIA(2)",2,IF(H1198="ALTA(3)",3,0)))+IF(I1198="BAJA(1)",1,IF(I1198="MEDIA(2)",2,IF(I1198="ALTA(3)",3,0)))</f>
        <v/>
      </c>
      <c r="K1198">
        <f>IF(J1198="", "", IF(J1198&gt;=8,"ALTA",IF(J1198&gt;=6,"MEDIA","BAJA")))</f>
        <v/>
      </c>
      <c r="L1198">
        <f>IF(INVENTARIO!Y1198="","",INVENTARIO!Y1198)</f>
        <v/>
      </c>
      <c r="M1198">
        <f>IF(INVENTARIO!Z1198="","",INVENTARIO!Z1198)</f>
        <v/>
      </c>
      <c r="N1198">
        <f>IF(INVENTARIO!AA1198="","",INVENTARIO!AA1198)</f>
        <v/>
      </c>
      <c r="O1198">
        <f>IF(INVENTARIO!AB1198="","",INVENTARIO!AB1198)</f>
        <v/>
      </c>
      <c r="P1198">
        <f>IF(INVENTARIO!AC1198="","",INVENTARIO!AC1198)</f>
        <v/>
      </c>
      <c r="Q1198">
        <f>IF(AND(K1198="",N1198="",L1198=""),"",IF(AND((K1198="ALTA"),OR(LEFT(N1198,2)="L0",LEFT(N1198,2)="L1",L1198="No Iniciado")),"CRÍTICO - Incumplimiento Normativo SEPS",IF(AND(OR(LEFT(N1198,2)="L4",LEFT(N1198,2)="L5"),AND(P1198&lt;&gt;"",P1198&lt;&gt;"N/A")),"CONFORME - Control Efectivo ISO 27001","OBSERVACIÓN - Revisar Controles")))</f>
        <v/>
      </c>
    </row>
    <row r="1199">
      <c r="A1199">
        <f>IF(INVENTARIO!A1199="","",INVENTARIO!A1199)</f>
        <v/>
      </c>
      <c r="B1199">
        <f>IF(INVENTARIO!E1199="","",INVENTARIO!E1199)</f>
        <v/>
      </c>
      <c r="C1199">
        <f>IF(INVENTARIO!F1199="","",INVENTARIO!F1199)</f>
        <v/>
      </c>
      <c r="D1199">
        <f>IF(INVENTARIO!H1199="","",INVENTARIO!H1199)</f>
        <v/>
      </c>
      <c r="E1199">
        <f>IF(INVENTARIO!I1199="","",INVENTARIO!I1199)</f>
        <v/>
      </c>
      <c r="F1199">
        <f>IF(INVENTARIO!N1199="","",INVENTARIO!N1199)</f>
        <v/>
      </c>
      <c r="G1199">
        <f>IF(INVENTARIO!P1199="","",INVENTARIO!P1199)</f>
        <v/>
      </c>
      <c r="H1199">
        <f>IF(INVENTARIO!Q1199="","",INVENTARIO!Q1199)</f>
        <v/>
      </c>
      <c r="I1199">
        <f>IF(INVENTARIO!R1199="","",INVENTARIO!R1199)</f>
        <v/>
      </c>
      <c r="J1199">
        <f>IF(G1199="PUBLICA(1)",1,IF(G1199="USO INTERNO(2)",2,IF(G1199="RESTRINGIDO(3)",3,0)))+IF(H1199="BAJA(1)",1,IF(H1199="MEDIA(2)",2,IF(H1199="ALTA(3)",3,0)))+IF(I1199="BAJA(1)",1,IF(I1199="MEDIA(2)",2,IF(I1199="ALTA(3)",3,0)))</f>
        <v/>
      </c>
      <c r="K1199">
        <f>IF(J1199="", "", IF(J1199&gt;=8,"ALTA",IF(J1199&gt;=6,"MEDIA","BAJA")))</f>
        <v/>
      </c>
      <c r="L1199">
        <f>IF(INVENTARIO!Y1199="","",INVENTARIO!Y1199)</f>
        <v/>
      </c>
      <c r="M1199">
        <f>IF(INVENTARIO!Z1199="","",INVENTARIO!Z1199)</f>
        <v/>
      </c>
      <c r="N1199">
        <f>IF(INVENTARIO!AA1199="","",INVENTARIO!AA1199)</f>
        <v/>
      </c>
      <c r="O1199">
        <f>IF(INVENTARIO!AB1199="","",INVENTARIO!AB1199)</f>
        <v/>
      </c>
      <c r="P1199">
        <f>IF(INVENTARIO!AC1199="","",INVENTARIO!AC1199)</f>
        <v/>
      </c>
      <c r="Q1199">
        <f>IF(AND(K1199="",N1199="",L1199=""),"",IF(AND((K1199="ALTA"),OR(LEFT(N1199,2)="L0",LEFT(N1199,2)="L1",L1199="No Iniciado")),"CRÍTICO - Incumplimiento Normativo SEPS",IF(AND(OR(LEFT(N1199,2)="L4",LEFT(N1199,2)="L5"),AND(P1199&lt;&gt;"",P1199&lt;&gt;"N/A")),"CONFORME - Control Efectivo ISO 27001","OBSERVACIÓN - Revisar Controles")))</f>
        <v/>
      </c>
    </row>
    <row r="1200">
      <c r="A1200">
        <f>IF(INVENTARIO!A1200="","",INVENTARIO!A1200)</f>
        <v/>
      </c>
      <c r="B1200">
        <f>IF(INVENTARIO!E1200="","",INVENTARIO!E1200)</f>
        <v/>
      </c>
      <c r="C1200">
        <f>IF(INVENTARIO!F1200="","",INVENTARIO!F1200)</f>
        <v/>
      </c>
      <c r="D1200">
        <f>IF(INVENTARIO!H1200="","",INVENTARIO!H1200)</f>
        <v/>
      </c>
      <c r="E1200">
        <f>IF(INVENTARIO!I1200="","",INVENTARIO!I1200)</f>
        <v/>
      </c>
      <c r="F1200">
        <f>IF(INVENTARIO!N1200="","",INVENTARIO!N1200)</f>
        <v/>
      </c>
      <c r="G1200">
        <f>IF(INVENTARIO!P1200="","",INVENTARIO!P1200)</f>
        <v/>
      </c>
      <c r="H1200">
        <f>IF(INVENTARIO!Q1200="","",INVENTARIO!Q1200)</f>
        <v/>
      </c>
      <c r="I1200">
        <f>IF(INVENTARIO!R1200="","",INVENTARIO!R1200)</f>
        <v/>
      </c>
      <c r="J1200">
        <f>IF(G1200="PUBLICA(1)",1,IF(G1200="USO INTERNO(2)",2,IF(G1200="RESTRINGIDO(3)",3,0)))+IF(H1200="BAJA(1)",1,IF(H1200="MEDIA(2)",2,IF(H1200="ALTA(3)",3,0)))+IF(I1200="BAJA(1)",1,IF(I1200="MEDIA(2)",2,IF(I1200="ALTA(3)",3,0)))</f>
        <v/>
      </c>
      <c r="K1200">
        <f>IF(J1200="", "", IF(J1200&gt;=8,"ALTA",IF(J1200&gt;=6,"MEDIA","BAJA")))</f>
        <v/>
      </c>
      <c r="L1200">
        <f>IF(INVENTARIO!Y1200="","",INVENTARIO!Y1200)</f>
        <v/>
      </c>
      <c r="M1200">
        <f>IF(INVENTARIO!Z1200="","",INVENTARIO!Z1200)</f>
        <v/>
      </c>
      <c r="N1200">
        <f>IF(INVENTARIO!AA1200="","",INVENTARIO!AA1200)</f>
        <v/>
      </c>
      <c r="O1200">
        <f>IF(INVENTARIO!AB1200="","",INVENTARIO!AB1200)</f>
        <v/>
      </c>
      <c r="P1200">
        <f>IF(INVENTARIO!AC1200="","",INVENTARIO!AC1200)</f>
        <v/>
      </c>
      <c r="Q1200">
        <f>IF(AND(K1200="",N1200="",L1200=""),"",IF(AND((K1200="ALTA"),OR(LEFT(N1200,2)="L0",LEFT(N1200,2)="L1",L1200="No Iniciado")),"CRÍTICO - Incumplimiento Normativo SEPS",IF(AND(OR(LEFT(N1200,2)="L4",LEFT(N1200,2)="L5"),AND(P1200&lt;&gt;"",P1200&lt;&gt;"N/A")),"CONFORME - Control Efectivo ISO 27001","OBSERVACIÓN - Revisar Controles")))</f>
        <v/>
      </c>
    </row>
    <row r="1201">
      <c r="A1201">
        <f>IF(INVENTARIO!A1201="","",INVENTARIO!A1201)</f>
        <v/>
      </c>
      <c r="B1201">
        <f>IF(INVENTARIO!E1201="","",INVENTARIO!E1201)</f>
        <v/>
      </c>
      <c r="C1201">
        <f>IF(INVENTARIO!F1201="","",INVENTARIO!F1201)</f>
        <v/>
      </c>
      <c r="D1201">
        <f>IF(INVENTARIO!H1201="","",INVENTARIO!H1201)</f>
        <v/>
      </c>
      <c r="E1201">
        <f>IF(INVENTARIO!I1201="","",INVENTARIO!I1201)</f>
        <v/>
      </c>
      <c r="F1201">
        <f>IF(INVENTARIO!N1201="","",INVENTARIO!N1201)</f>
        <v/>
      </c>
      <c r="G1201">
        <f>IF(INVENTARIO!P1201="","",INVENTARIO!P1201)</f>
        <v/>
      </c>
      <c r="H1201">
        <f>IF(INVENTARIO!Q1201="","",INVENTARIO!Q1201)</f>
        <v/>
      </c>
      <c r="I1201">
        <f>IF(INVENTARIO!R1201="","",INVENTARIO!R1201)</f>
        <v/>
      </c>
      <c r="J1201">
        <f>IF(G1201="PUBLICA(1)",1,IF(G1201="USO INTERNO(2)",2,IF(G1201="RESTRINGIDO(3)",3,0)))+IF(H1201="BAJA(1)",1,IF(H1201="MEDIA(2)",2,IF(H1201="ALTA(3)",3,0)))+IF(I1201="BAJA(1)",1,IF(I1201="MEDIA(2)",2,IF(I1201="ALTA(3)",3,0)))</f>
        <v/>
      </c>
      <c r="K1201">
        <f>IF(J1201="", "", IF(J1201&gt;=8,"ALTA",IF(J1201&gt;=6,"MEDIA","BAJA")))</f>
        <v/>
      </c>
      <c r="L1201">
        <f>IF(INVENTARIO!Y1201="","",INVENTARIO!Y1201)</f>
        <v/>
      </c>
      <c r="M1201">
        <f>IF(INVENTARIO!Z1201="","",INVENTARIO!Z1201)</f>
        <v/>
      </c>
      <c r="N1201">
        <f>IF(INVENTARIO!AA1201="","",INVENTARIO!AA1201)</f>
        <v/>
      </c>
      <c r="O1201">
        <f>IF(INVENTARIO!AB1201="","",INVENTARIO!AB1201)</f>
        <v/>
      </c>
      <c r="P1201">
        <f>IF(INVENTARIO!AC1201="","",INVENTARIO!AC1201)</f>
        <v/>
      </c>
      <c r="Q1201">
        <f>IF(AND(K1201="",N1201="",L1201=""),"",IF(AND((K1201="ALTA"),OR(LEFT(N1201,2)="L0",LEFT(N1201,2)="L1",L1201="No Iniciado")),"CRÍTICO - Incumplimiento Normativo SEPS",IF(AND(OR(LEFT(N1201,2)="L4",LEFT(N1201,2)="L5"),AND(P1201&lt;&gt;"",P1201&lt;&gt;"N/A")),"CONFORME - Control Efectivo ISO 27001","OBSERVACIÓN - Revisar Controles")))</f>
        <v/>
      </c>
    </row>
    <row r="1202">
      <c r="A1202">
        <f>IF(INVENTARIO!A1202="","",INVENTARIO!A1202)</f>
        <v/>
      </c>
      <c r="B1202">
        <f>IF(INVENTARIO!E1202="","",INVENTARIO!E1202)</f>
        <v/>
      </c>
      <c r="C1202">
        <f>IF(INVENTARIO!F1202="","",INVENTARIO!F1202)</f>
        <v/>
      </c>
      <c r="D1202">
        <f>IF(INVENTARIO!H1202="","",INVENTARIO!H1202)</f>
        <v/>
      </c>
      <c r="E1202">
        <f>IF(INVENTARIO!I1202="","",INVENTARIO!I1202)</f>
        <v/>
      </c>
      <c r="F1202">
        <f>IF(INVENTARIO!N1202="","",INVENTARIO!N1202)</f>
        <v/>
      </c>
      <c r="G1202">
        <f>IF(INVENTARIO!P1202="","",INVENTARIO!P1202)</f>
        <v/>
      </c>
      <c r="H1202">
        <f>IF(INVENTARIO!Q1202="","",INVENTARIO!Q1202)</f>
        <v/>
      </c>
      <c r="I1202">
        <f>IF(INVENTARIO!R1202="","",INVENTARIO!R1202)</f>
        <v/>
      </c>
      <c r="J1202">
        <f>IF(G1202="PUBLICA(1)",1,IF(G1202="USO INTERNO(2)",2,IF(G1202="RESTRINGIDO(3)",3,0)))+IF(H1202="BAJA(1)",1,IF(H1202="MEDIA(2)",2,IF(H1202="ALTA(3)",3,0)))+IF(I1202="BAJA(1)",1,IF(I1202="MEDIA(2)",2,IF(I1202="ALTA(3)",3,0)))</f>
        <v/>
      </c>
      <c r="K1202">
        <f>IF(J1202="", "", IF(J1202&gt;=8,"ALTA",IF(J1202&gt;=6,"MEDIA","BAJA")))</f>
        <v/>
      </c>
      <c r="L1202">
        <f>IF(INVENTARIO!Y1202="","",INVENTARIO!Y1202)</f>
        <v/>
      </c>
      <c r="M1202">
        <f>IF(INVENTARIO!Z1202="","",INVENTARIO!Z1202)</f>
        <v/>
      </c>
      <c r="N1202">
        <f>IF(INVENTARIO!AA1202="","",INVENTARIO!AA1202)</f>
        <v/>
      </c>
      <c r="O1202">
        <f>IF(INVENTARIO!AB1202="","",INVENTARIO!AB1202)</f>
        <v/>
      </c>
      <c r="P1202">
        <f>IF(INVENTARIO!AC1202="","",INVENTARIO!AC1202)</f>
        <v/>
      </c>
      <c r="Q1202">
        <f>IF(AND(K1202="",N1202="",L1202=""),"",IF(AND((K1202="ALTA"),OR(LEFT(N1202,2)="L0",LEFT(N1202,2)="L1",L1202="No Iniciado")),"CRÍTICO - Incumplimiento Normativo SEPS",IF(AND(OR(LEFT(N1202,2)="L4",LEFT(N1202,2)="L5"),AND(P1202&lt;&gt;"",P1202&lt;&gt;"N/A")),"CONFORME - Control Efectivo ISO 27001","OBSERVACIÓN - Revisar Controles")))</f>
        <v/>
      </c>
    </row>
    <row r="1203">
      <c r="A1203">
        <f>IF(INVENTARIO!A1203="","",INVENTARIO!A1203)</f>
        <v/>
      </c>
      <c r="B1203">
        <f>IF(INVENTARIO!E1203="","",INVENTARIO!E1203)</f>
        <v/>
      </c>
      <c r="C1203">
        <f>IF(INVENTARIO!F1203="","",INVENTARIO!F1203)</f>
        <v/>
      </c>
      <c r="D1203">
        <f>IF(INVENTARIO!H1203="","",INVENTARIO!H1203)</f>
        <v/>
      </c>
      <c r="E1203">
        <f>IF(INVENTARIO!I1203="","",INVENTARIO!I1203)</f>
        <v/>
      </c>
      <c r="F1203">
        <f>IF(INVENTARIO!N1203="","",INVENTARIO!N1203)</f>
        <v/>
      </c>
      <c r="G1203">
        <f>IF(INVENTARIO!P1203="","",INVENTARIO!P1203)</f>
        <v/>
      </c>
      <c r="H1203">
        <f>IF(INVENTARIO!Q1203="","",INVENTARIO!Q1203)</f>
        <v/>
      </c>
      <c r="I1203">
        <f>IF(INVENTARIO!R1203="","",INVENTARIO!R1203)</f>
        <v/>
      </c>
      <c r="J1203">
        <f>IF(G1203="PUBLICA(1)",1,IF(G1203="USO INTERNO(2)",2,IF(G1203="RESTRINGIDO(3)",3,0)))+IF(H1203="BAJA(1)",1,IF(H1203="MEDIA(2)",2,IF(H1203="ALTA(3)",3,0)))+IF(I1203="BAJA(1)",1,IF(I1203="MEDIA(2)",2,IF(I1203="ALTA(3)",3,0)))</f>
        <v/>
      </c>
      <c r="K1203">
        <f>IF(J1203="", "", IF(J1203&gt;=8,"ALTA",IF(J1203&gt;=6,"MEDIA","BAJA")))</f>
        <v/>
      </c>
      <c r="L1203">
        <f>IF(INVENTARIO!Y1203="","",INVENTARIO!Y1203)</f>
        <v/>
      </c>
      <c r="M1203">
        <f>IF(INVENTARIO!Z1203="","",INVENTARIO!Z1203)</f>
        <v/>
      </c>
      <c r="N1203">
        <f>IF(INVENTARIO!AA1203="","",INVENTARIO!AA1203)</f>
        <v/>
      </c>
      <c r="O1203">
        <f>IF(INVENTARIO!AB1203="","",INVENTARIO!AB1203)</f>
        <v/>
      </c>
      <c r="P1203">
        <f>IF(INVENTARIO!AC1203="","",INVENTARIO!AC1203)</f>
        <v/>
      </c>
      <c r="Q1203">
        <f>IF(AND(K1203="",N1203="",L1203=""),"",IF(AND((K1203="ALTA"),OR(LEFT(N1203,2)="L0",LEFT(N1203,2)="L1",L1203="No Iniciado")),"CRÍTICO - Incumplimiento Normativo SEPS",IF(AND(OR(LEFT(N1203,2)="L4",LEFT(N1203,2)="L5"),AND(P1203&lt;&gt;"",P1203&lt;&gt;"N/A")),"CONFORME - Control Efectivo ISO 27001","OBSERVACIÓN - Revisar Controles")))</f>
        <v/>
      </c>
    </row>
    <row r="1204">
      <c r="A1204">
        <f>IF(INVENTARIO!A1204="","",INVENTARIO!A1204)</f>
        <v/>
      </c>
      <c r="B1204">
        <f>IF(INVENTARIO!E1204="","",INVENTARIO!E1204)</f>
        <v/>
      </c>
      <c r="C1204">
        <f>IF(INVENTARIO!F1204="","",INVENTARIO!F1204)</f>
        <v/>
      </c>
      <c r="D1204">
        <f>IF(INVENTARIO!H1204="","",INVENTARIO!H1204)</f>
        <v/>
      </c>
      <c r="E1204">
        <f>IF(INVENTARIO!I1204="","",INVENTARIO!I1204)</f>
        <v/>
      </c>
      <c r="F1204">
        <f>IF(INVENTARIO!N1204="","",INVENTARIO!N1204)</f>
        <v/>
      </c>
      <c r="G1204">
        <f>IF(INVENTARIO!P1204="","",INVENTARIO!P1204)</f>
        <v/>
      </c>
      <c r="H1204">
        <f>IF(INVENTARIO!Q1204="","",INVENTARIO!Q1204)</f>
        <v/>
      </c>
      <c r="I1204">
        <f>IF(INVENTARIO!R1204="","",INVENTARIO!R1204)</f>
        <v/>
      </c>
      <c r="J1204">
        <f>IF(G1204="PUBLICA(1)",1,IF(G1204="USO INTERNO(2)",2,IF(G1204="RESTRINGIDO(3)",3,0)))+IF(H1204="BAJA(1)",1,IF(H1204="MEDIA(2)",2,IF(H1204="ALTA(3)",3,0)))+IF(I1204="BAJA(1)",1,IF(I1204="MEDIA(2)",2,IF(I1204="ALTA(3)",3,0)))</f>
        <v/>
      </c>
      <c r="K1204">
        <f>IF(J1204="", "", IF(J1204&gt;=8,"ALTA",IF(J1204&gt;=6,"MEDIA","BAJA")))</f>
        <v/>
      </c>
      <c r="L1204">
        <f>IF(INVENTARIO!Y1204="","",INVENTARIO!Y1204)</f>
        <v/>
      </c>
      <c r="M1204">
        <f>IF(INVENTARIO!Z1204="","",INVENTARIO!Z1204)</f>
        <v/>
      </c>
      <c r="N1204">
        <f>IF(INVENTARIO!AA1204="","",INVENTARIO!AA1204)</f>
        <v/>
      </c>
      <c r="O1204">
        <f>IF(INVENTARIO!AB1204="","",INVENTARIO!AB1204)</f>
        <v/>
      </c>
      <c r="P1204">
        <f>IF(INVENTARIO!AC1204="","",INVENTARIO!AC1204)</f>
        <v/>
      </c>
      <c r="Q1204">
        <f>IF(AND(K1204="",N1204="",L1204=""),"",IF(AND((K1204="ALTA"),OR(LEFT(N1204,2)="L0",LEFT(N1204,2)="L1",L1204="No Iniciado")),"CRÍTICO - Incumplimiento Normativo SEPS",IF(AND(OR(LEFT(N1204,2)="L4",LEFT(N1204,2)="L5"),AND(P1204&lt;&gt;"",P1204&lt;&gt;"N/A")),"CONFORME - Control Efectivo ISO 27001","OBSERVACIÓN - Revisar Controles")))</f>
        <v/>
      </c>
    </row>
    <row r="1205">
      <c r="A1205">
        <f>IF(INVENTARIO!A1205="","",INVENTARIO!A1205)</f>
        <v/>
      </c>
      <c r="B1205">
        <f>IF(INVENTARIO!E1205="","",INVENTARIO!E1205)</f>
        <v/>
      </c>
      <c r="C1205">
        <f>IF(INVENTARIO!F1205="","",INVENTARIO!F1205)</f>
        <v/>
      </c>
      <c r="D1205">
        <f>IF(INVENTARIO!H1205="","",INVENTARIO!H1205)</f>
        <v/>
      </c>
      <c r="E1205">
        <f>IF(INVENTARIO!I1205="","",INVENTARIO!I1205)</f>
        <v/>
      </c>
      <c r="F1205">
        <f>IF(INVENTARIO!N1205="","",INVENTARIO!N1205)</f>
        <v/>
      </c>
      <c r="G1205">
        <f>IF(INVENTARIO!P1205="","",INVENTARIO!P1205)</f>
        <v/>
      </c>
      <c r="H1205">
        <f>IF(INVENTARIO!Q1205="","",INVENTARIO!Q1205)</f>
        <v/>
      </c>
      <c r="I1205">
        <f>IF(INVENTARIO!R1205="","",INVENTARIO!R1205)</f>
        <v/>
      </c>
      <c r="J1205">
        <f>IF(G1205="PUBLICA(1)",1,IF(G1205="USO INTERNO(2)",2,IF(G1205="RESTRINGIDO(3)",3,0)))+IF(H1205="BAJA(1)",1,IF(H1205="MEDIA(2)",2,IF(H1205="ALTA(3)",3,0)))+IF(I1205="BAJA(1)",1,IF(I1205="MEDIA(2)",2,IF(I1205="ALTA(3)",3,0)))</f>
        <v/>
      </c>
      <c r="K1205">
        <f>IF(J1205="", "", IF(J1205&gt;=8,"ALTA",IF(J1205&gt;=6,"MEDIA","BAJA")))</f>
        <v/>
      </c>
      <c r="L1205">
        <f>IF(INVENTARIO!Y1205="","",INVENTARIO!Y1205)</f>
        <v/>
      </c>
      <c r="M1205">
        <f>IF(INVENTARIO!Z1205="","",INVENTARIO!Z1205)</f>
        <v/>
      </c>
      <c r="N1205">
        <f>IF(INVENTARIO!AA1205="","",INVENTARIO!AA1205)</f>
        <v/>
      </c>
      <c r="O1205">
        <f>IF(INVENTARIO!AB1205="","",INVENTARIO!AB1205)</f>
        <v/>
      </c>
      <c r="P1205">
        <f>IF(INVENTARIO!AC1205="","",INVENTARIO!AC1205)</f>
        <v/>
      </c>
      <c r="Q1205">
        <f>IF(AND(K1205="",N1205="",L1205=""),"",IF(AND((K1205="ALTA"),OR(LEFT(N1205,2)="L0",LEFT(N1205,2)="L1",L1205="No Iniciado")),"CRÍTICO - Incumplimiento Normativo SEPS",IF(AND(OR(LEFT(N1205,2)="L4",LEFT(N1205,2)="L5"),AND(P1205&lt;&gt;"",P1205&lt;&gt;"N/A")),"CONFORME - Control Efectivo ISO 27001","OBSERVACIÓN - Revisar Controles")))</f>
        <v/>
      </c>
    </row>
    <row r="1206">
      <c r="A1206">
        <f>IF(INVENTARIO!A1206="","",INVENTARIO!A1206)</f>
        <v/>
      </c>
      <c r="B1206">
        <f>IF(INVENTARIO!E1206="","",INVENTARIO!E1206)</f>
        <v/>
      </c>
      <c r="C1206">
        <f>IF(INVENTARIO!F1206="","",INVENTARIO!F1206)</f>
        <v/>
      </c>
      <c r="D1206">
        <f>IF(INVENTARIO!H1206="","",INVENTARIO!H1206)</f>
        <v/>
      </c>
      <c r="E1206">
        <f>IF(INVENTARIO!I1206="","",INVENTARIO!I1206)</f>
        <v/>
      </c>
      <c r="F1206">
        <f>IF(INVENTARIO!N1206="","",INVENTARIO!N1206)</f>
        <v/>
      </c>
      <c r="G1206">
        <f>IF(INVENTARIO!P1206="","",INVENTARIO!P1206)</f>
        <v/>
      </c>
      <c r="H1206">
        <f>IF(INVENTARIO!Q1206="","",INVENTARIO!Q1206)</f>
        <v/>
      </c>
      <c r="I1206">
        <f>IF(INVENTARIO!R1206="","",INVENTARIO!R1206)</f>
        <v/>
      </c>
      <c r="J1206">
        <f>IF(G1206="PUBLICA(1)",1,IF(G1206="USO INTERNO(2)",2,IF(G1206="RESTRINGIDO(3)",3,0)))+IF(H1206="BAJA(1)",1,IF(H1206="MEDIA(2)",2,IF(H1206="ALTA(3)",3,0)))+IF(I1206="BAJA(1)",1,IF(I1206="MEDIA(2)",2,IF(I1206="ALTA(3)",3,0)))</f>
        <v/>
      </c>
      <c r="K1206">
        <f>IF(J1206="", "", IF(J1206&gt;=8,"ALTA",IF(J1206&gt;=6,"MEDIA","BAJA")))</f>
        <v/>
      </c>
      <c r="L1206">
        <f>IF(INVENTARIO!Y1206="","",INVENTARIO!Y1206)</f>
        <v/>
      </c>
      <c r="M1206">
        <f>IF(INVENTARIO!Z1206="","",INVENTARIO!Z1206)</f>
        <v/>
      </c>
      <c r="N1206">
        <f>IF(INVENTARIO!AA1206="","",INVENTARIO!AA1206)</f>
        <v/>
      </c>
      <c r="O1206">
        <f>IF(INVENTARIO!AB1206="","",INVENTARIO!AB1206)</f>
        <v/>
      </c>
      <c r="P1206">
        <f>IF(INVENTARIO!AC1206="","",INVENTARIO!AC1206)</f>
        <v/>
      </c>
      <c r="Q1206">
        <f>IF(AND(K1206="",N1206="",L1206=""),"",IF(AND((K1206="ALTA"),OR(LEFT(N1206,2)="L0",LEFT(N1206,2)="L1",L1206="No Iniciado")),"CRÍTICO - Incumplimiento Normativo SEPS",IF(AND(OR(LEFT(N1206,2)="L4",LEFT(N1206,2)="L5"),AND(P1206&lt;&gt;"",P1206&lt;&gt;"N/A")),"CONFORME - Control Efectivo ISO 27001","OBSERVACIÓN - Revisar Controles")))</f>
        <v/>
      </c>
    </row>
    <row r="1207">
      <c r="A1207">
        <f>IF(INVENTARIO!A1207="","",INVENTARIO!A1207)</f>
        <v/>
      </c>
      <c r="B1207">
        <f>IF(INVENTARIO!E1207="","",INVENTARIO!E1207)</f>
        <v/>
      </c>
      <c r="C1207">
        <f>IF(INVENTARIO!F1207="","",INVENTARIO!F1207)</f>
        <v/>
      </c>
      <c r="D1207">
        <f>IF(INVENTARIO!H1207="","",INVENTARIO!H1207)</f>
        <v/>
      </c>
      <c r="E1207">
        <f>IF(INVENTARIO!I1207="","",INVENTARIO!I1207)</f>
        <v/>
      </c>
      <c r="F1207">
        <f>IF(INVENTARIO!N1207="","",INVENTARIO!N1207)</f>
        <v/>
      </c>
      <c r="G1207">
        <f>IF(INVENTARIO!P1207="","",INVENTARIO!P1207)</f>
        <v/>
      </c>
      <c r="H1207">
        <f>IF(INVENTARIO!Q1207="","",INVENTARIO!Q1207)</f>
        <v/>
      </c>
      <c r="I1207">
        <f>IF(INVENTARIO!R1207="","",INVENTARIO!R1207)</f>
        <v/>
      </c>
      <c r="J1207">
        <f>IF(G1207="PUBLICA(1)",1,IF(G1207="USO INTERNO(2)",2,IF(G1207="RESTRINGIDO(3)",3,0)))+IF(H1207="BAJA(1)",1,IF(H1207="MEDIA(2)",2,IF(H1207="ALTA(3)",3,0)))+IF(I1207="BAJA(1)",1,IF(I1207="MEDIA(2)",2,IF(I1207="ALTA(3)",3,0)))</f>
        <v/>
      </c>
      <c r="K1207">
        <f>IF(J1207="", "", IF(J1207&gt;=8,"ALTA",IF(J1207&gt;=6,"MEDIA","BAJA")))</f>
        <v/>
      </c>
      <c r="L1207">
        <f>IF(INVENTARIO!Y1207="","",INVENTARIO!Y1207)</f>
        <v/>
      </c>
      <c r="M1207">
        <f>IF(INVENTARIO!Z1207="","",INVENTARIO!Z1207)</f>
        <v/>
      </c>
      <c r="N1207">
        <f>IF(INVENTARIO!AA1207="","",INVENTARIO!AA1207)</f>
        <v/>
      </c>
      <c r="O1207">
        <f>IF(INVENTARIO!AB1207="","",INVENTARIO!AB1207)</f>
        <v/>
      </c>
      <c r="P1207">
        <f>IF(INVENTARIO!AC1207="","",INVENTARIO!AC1207)</f>
        <v/>
      </c>
      <c r="Q1207">
        <f>IF(AND(K1207="",N1207="",L1207=""),"",IF(AND((K1207="ALTA"),OR(LEFT(N1207,2)="L0",LEFT(N1207,2)="L1",L1207="No Iniciado")),"CRÍTICO - Incumplimiento Normativo SEPS",IF(AND(OR(LEFT(N1207,2)="L4",LEFT(N1207,2)="L5"),AND(P1207&lt;&gt;"",P1207&lt;&gt;"N/A")),"CONFORME - Control Efectivo ISO 27001","OBSERVACIÓN - Revisar Controles")))</f>
        <v/>
      </c>
    </row>
    <row r="1208">
      <c r="A1208">
        <f>IF(INVENTARIO!A1208="","",INVENTARIO!A1208)</f>
        <v/>
      </c>
      <c r="B1208">
        <f>IF(INVENTARIO!E1208="","",INVENTARIO!E1208)</f>
        <v/>
      </c>
      <c r="C1208">
        <f>IF(INVENTARIO!F1208="","",INVENTARIO!F1208)</f>
        <v/>
      </c>
      <c r="D1208">
        <f>IF(INVENTARIO!H1208="","",INVENTARIO!H1208)</f>
        <v/>
      </c>
      <c r="E1208">
        <f>IF(INVENTARIO!I1208="","",INVENTARIO!I1208)</f>
        <v/>
      </c>
      <c r="F1208">
        <f>IF(INVENTARIO!N1208="","",INVENTARIO!N1208)</f>
        <v/>
      </c>
      <c r="G1208">
        <f>IF(INVENTARIO!P1208="","",INVENTARIO!P1208)</f>
        <v/>
      </c>
      <c r="H1208">
        <f>IF(INVENTARIO!Q1208="","",INVENTARIO!Q1208)</f>
        <v/>
      </c>
      <c r="I1208">
        <f>IF(INVENTARIO!R1208="","",INVENTARIO!R1208)</f>
        <v/>
      </c>
      <c r="J1208">
        <f>IF(G1208="PUBLICA(1)",1,IF(G1208="USO INTERNO(2)",2,IF(G1208="RESTRINGIDO(3)",3,0)))+IF(H1208="BAJA(1)",1,IF(H1208="MEDIA(2)",2,IF(H1208="ALTA(3)",3,0)))+IF(I1208="BAJA(1)",1,IF(I1208="MEDIA(2)",2,IF(I1208="ALTA(3)",3,0)))</f>
        <v/>
      </c>
      <c r="K1208">
        <f>IF(J1208="", "", IF(J1208&gt;=8,"ALTA",IF(J1208&gt;=6,"MEDIA","BAJA")))</f>
        <v/>
      </c>
      <c r="L1208">
        <f>IF(INVENTARIO!Y1208="","",INVENTARIO!Y1208)</f>
        <v/>
      </c>
      <c r="M1208">
        <f>IF(INVENTARIO!Z1208="","",INVENTARIO!Z1208)</f>
        <v/>
      </c>
      <c r="N1208">
        <f>IF(INVENTARIO!AA1208="","",INVENTARIO!AA1208)</f>
        <v/>
      </c>
      <c r="O1208">
        <f>IF(INVENTARIO!AB1208="","",INVENTARIO!AB1208)</f>
        <v/>
      </c>
      <c r="P1208">
        <f>IF(INVENTARIO!AC1208="","",INVENTARIO!AC1208)</f>
        <v/>
      </c>
      <c r="Q1208">
        <f>IF(AND(K1208="",N1208="",L1208=""),"",IF(AND((K1208="ALTA"),OR(LEFT(N1208,2)="L0",LEFT(N1208,2)="L1",L1208="No Iniciado")),"CRÍTICO - Incumplimiento Normativo SEPS",IF(AND(OR(LEFT(N1208,2)="L4",LEFT(N1208,2)="L5"),AND(P1208&lt;&gt;"",P1208&lt;&gt;"N/A")),"CONFORME - Control Efectivo ISO 27001","OBSERVACIÓN - Revisar Controles")))</f>
        <v/>
      </c>
    </row>
    <row r="1209">
      <c r="A1209">
        <f>IF(INVENTARIO!A1209="","",INVENTARIO!A1209)</f>
        <v/>
      </c>
      <c r="B1209">
        <f>IF(INVENTARIO!E1209="","",INVENTARIO!E1209)</f>
        <v/>
      </c>
      <c r="C1209">
        <f>IF(INVENTARIO!F1209="","",INVENTARIO!F1209)</f>
        <v/>
      </c>
      <c r="D1209">
        <f>IF(INVENTARIO!H1209="","",INVENTARIO!H1209)</f>
        <v/>
      </c>
      <c r="E1209">
        <f>IF(INVENTARIO!I1209="","",INVENTARIO!I1209)</f>
        <v/>
      </c>
      <c r="F1209">
        <f>IF(INVENTARIO!N1209="","",INVENTARIO!N1209)</f>
        <v/>
      </c>
      <c r="G1209">
        <f>IF(INVENTARIO!P1209="","",INVENTARIO!P1209)</f>
        <v/>
      </c>
      <c r="H1209">
        <f>IF(INVENTARIO!Q1209="","",INVENTARIO!Q1209)</f>
        <v/>
      </c>
      <c r="I1209">
        <f>IF(INVENTARIO!R1209="","",INVENTARIO!R1209)</f>
        <v/>
      </c>
      <c r="J1209">
        <f>IF(G1209="PUBLICA(1)",1,IF(G1209="USO INTERNO(2)",2,IF(G1209="RESTRINGIDO(3)",3,0)))+IF(H1209="BAJA(1)",1,IF(H1209="MEDIA(2)",2,IF(H1209="ALTA(3)",3,0)))+IF(I1209="BAJA(1)",1,IF(I1209="MEDIA(2)",2,IF(I1209="ALTA(3)",3,0)))</f>
        <v/>
      </c>
      <c r="K1209">
        <f>IF(J1209="", "", IF(J1209&gt;=8,"ALTA",IF(J1209&gt;=6,"MEDIA","BAJA")))</f>
        <v/>
      </c>
      <c r="L1209">
        <f>IF(INVENTARIO!Y1209="","",INVENTARIO!Y1209)</f>
        <v/>
      </c>
      <c r="M1209">
        <f>IF(INVENTARIO!Z1209="","",INVENTARIO!Z1209)</f>
        <v/>
      </c>
      <c r="N1209">
        <f>IF(INVENTARIO!AA1209="","",INVENTARIO!AA1209)</f>
        <v/>
      </c>
      <c r="O1209">
        <f>IF(INVENTARIO!AB1209="","",INVENTARIO!AB1209)</f>
        <v/>
      </c>
      <c r="P1209">
        <f>IF(INVENTARIO!AC1209="","",INVENTARIO!AC1209)</f>
        <v/>
      </c>
      <c r="Q1209">
        <f>IF(AND(K1209="",N1209="",L1209=""),"",IF(AND((K1209="ALTA"),OR(LEFT(N1209,2)="L0",LEFT(N1209,2)="L1",L1209="No Iniciado")),"CRÍTICO - Incumplimiento Normativo SEPS",IF(AND(OR(LEFT(N1209,2)="L4",LEFT(N1209,2)="L5"),AND(P1209&lt;&gt;"",P1209&lt;&gt;"N/A")),"CONFORME - Control Efectivo ISO 27001","OBSERVACIÓN - Revisar Controles")))</f>
        <v/>
      </c>
    </row>
    <row r="1210">
      <c r="A1210">
        <f>IF(INVENTARIO!A1210="","",INVENTARIO!A1210)</f>
        <v/>
      </c>
      <c r="B1210">
        <f>IF(INVENTARIO!E1210="","",INVENTARIO!E1210)</f>
        <v/>
      </c>
      <c r="C1210">
        <f>IF(INVENTARIO!F1210="","",INVENTARIO!F1210)</f>
        <v/>
      </c>
      <c r="D1210">
        <f>IF(INVENTARIO!H1210="","",INVENTARIO!H1210)</f>
        <v/>
      </c>
      <c r="E1210">
        <f>IF(INVENTARIO!I1210="","",INVENTARIO!I1210)</f>
        <v/>
      </c>
      <c r="F1210">
        <f>IF(INVENTARIO!N1210="","",INVENTARIO!N1210)</f>
        <v/>
      </c>
      <c r="G1210">
        <f>IF(INVENTARIO!P1210="","",INVENTARIO!P1210)</f>
        <v/>
      </c>
      <c r="H1210">
        <f>IF(INVENTARIO!Q1210="","",INVENTARIO!Q1210)</f>
        <v/>
      </c>
      <c r="I1210">
        <f>IF(INVENTARIO!R1210="","",INVENTARIO!R1210)</f>
        <v/>
      </c>
      <c r="J1210">
        <f>IF(G1210="PUBLICA(1)",1,IF(G1210="USO INTERNO(2)",2,IF(G1210="RESTRINGIDO(3)",3,0)))+IF(H1210="BAJA(1)",1,IF(H1210="MEDIA(2)",2,IF(H1210="ALTA(3)",3,0)))+IF(I1210="BAJA(1)",1,IF(I1210="MEDIA(2)",2,IF(I1210="ALTA(3)",3,0)))</f>
        <v/>
      </c>
      <c r="K1210">
        <f>IF(J1210="", "", IF(J1210&gt;=8,"ALTA",IF(J1210&gt;=6,"MEDIA","BAJA")))</f>
        <v/>
      </c>
      <c r="L1210">
        <f>IF(INVENTARIO!Y1210="","",INVENTARIO!Y1210)</f>
        <v/>
      </c>
      <c r="M1210">
        <f>IF(INVENTARIO!Z1210="","",INVENTARIO!Z1210)</f>
        <v/>
      </c>
      <c r="N1210">
        <f>IF(INVENTARIO!AA1210="","",INVENTARIO!AA1210)</f>
        <v/>
      </c>
      <c r="O1210">
        <f>IF(INVENTARIO!AB1210="","",INVENTARIO!AB1210)</f>
        <v/>
      </c>
      <c r="P1210">
        <f>IF(INVENTARIO!AC1210="","",INVENTARIO!AC1210)</f>
        <v/>
      </c>
      <c r="Q1210">
        <f>IF(AND(K1210="",N1210="",L1210=""),"",IF(AND((K1210="ALTA"),OR(LEFT(N1210,2)="L0",LEFT(N1210,2)="L1",L1210="No Iniciado")),"CRÍTICO - Incumplimiento Normativo SEPS",IF(AND(OR(LEFT(N1210,2)="L4",LEFT(N1210,2)="L5"),AND(P1210&lt;&gt;"",P1210&lt;&gt;"N/A")),"CONFORME - Control Efectivo ISO 27001","OBSERVACIÓN - Revisar Controles")))</f>
        <v/>
      </c>
    </row>
    <row r="1211">
      <c r="A1211">
        <f>IF(INVENTARIO!A1211="","",INVENTARIO!A1211)</f>
        <v/>
      </c>
      <c r="B1211">
        <f>IF(INVENTARIO!E1211="","",INVENTARIO!E1211)</f>
        <v/>
      </c>
      <c r="C1211">
        <f>IF(INVENTARIO!F1211="","",INVENTARIO!F1211)</f>
        <v/>
      </c>
      <c r="D1211">
        <f>IF(INVENTARIO!H1211="","",INVENTARIO!H1211)</f>
        <v/>
      </c>
      <c r="E1211">
        <f>IF(INVENTARIO!I1211="","",INVENTARIO!I1211)</f>
        <v/>
      </c>
      <c r="F1211">
        <f>IF(INVENTARIO!N1211="","",INVENTARIO!N1211)</f>
        <v/>
      </c>
      <c r="G1211">
        <f>IF(INVENTARIO!P1211="","",INVENTARIO!P1211)</f>
        <v/>
      </c>
      <c r="H1211">
        <f>IF(INVENTARIO!Q1211="","",INVENTARIO!Q1211)</f>
        <v/>
      </c>
      <c r="I1211">
        <f>IF(INVENTARIO!R1211="","",INVENTARIO!R1211)</f>
        <v/>
      </c>
      <c r="J1211">
        <f>IF(G1211="PUBLICA(1)",1,IF(G1211="USO INTERNO(2)",2,IF(G1211="RESTRINGIDO(3)",3,0)))+IF(H1211="BAJA(1)",1,IF(H1211="MEDIA(2)",2,IF(H1211="ALTA(3)",3,0)))+IF(I1211="BAJA(1)",1,IF(I1211="MEDIA(2)",2,IF(I1211="ALTA(3)",3,0)))</f>
        <v/>
      </c>
      <c r="K1211">
        <f>IF(J1211="", "", IF(J1211&gt;=8,"ALTA",IF(J1211&gt;=6,"MEDIA","BAJA")))</f>
        <v/>
      </c>
      <c r="L1211">
        <f>IF(INVENTARIO!Y1211="","",INVENTARIO!Y1211)</f>
        <v/>
      </c>
      <c r="M1211">
        <f>IF(INVENTARIO!Z1211="","",INVENTARIO!Z1211)</f>
        <v/>
      </c>
      <c r="N1211">
        <f>IF(INVENTARIO!AA1211="","",INVENTARIO!AA1211)</f>
        <v/>
      </c>
      <c r="O1211">
        <f>IF(INVENTARIO!AB1211="","",INVENTARIO!AB1211)</f>
        <v/>
      </c>
      <c r="P1211">
        <f>IF(INVENTARIO!AC1211="","",INVENTARIO!AC1211)</f>
        <v/>
      </c>
      <c r="Q1211">
        <f>IF(AND(K1211="",N1211="",L1211=""),"",IF(AND((K1211="ALTA"),OR(LEFT(N1211,2)="L0",LEFT(N1211,2)="L1",L1211="No Iniciado")),"CRÍTICO - Incumplimiento Normativo SEPS",IF(AND(OR(LEFT(N1211,2)="L4",LEFT(N1211,2)="L5"),AND(P1211&lt;&gt;"",P1211&lt;&gt;"N/A")),"CONFORME - Control Efectivo ISO 27001","OBSERVACIÓN - Revisar Controles")))</f>
        <v/>
      </c>
    </row>
    <row r="1212">
      <c r="A1212">
        <f>IF(INVENTARIO!A1212="","",INVENTARIO!A1212)</f>
        <v/>
      </c>
      <c r="B1212">
        <f>IF(INVENTARIO!E1212="","",INVENTARIO!E1212)</f>
        <v/>
      </c>
      <c r="C1212">
        <f>IF(INVENTARIO!F1212="","",INVENTARIO!F1212)</f>
        <v/>
      </c>
      <c r="D1212">
        <f>IF(INVENTARIO!H1212="","",INVENTARIO!H1212)</f>
        <v/>
      </c>
      <c r="E1212">
        <f>IF(INVENTARIO!I1212="","",INVENTARIO!I1212)</f>
        <v/>
      </c>
      <c r="F1212">
        <f>IF(INVENTARIO!N1212="","",INVENTARIO!N1212)</f>
        <v/>
      </c>
      <c r="G1212">
        <f>IF(INVENTARIO!P1212="","",INVENTARIO!P1212)</f>
        <v/>
      </c>
      <c r="H1212">
        <f>IF(INVENTARIO!Q1212="","",INVENTARIO!Q1212)</f>
        <v/>
      </c>
      <c r="I1212">
        <f>IF(INVENTARIO!R1212="","",INVENTARIO!R1212)</f>
        <v/>
      </c>
      <c r="J1212">
        <f>IF(G1212="PUBLICA(1)",1,IF(G1212="USO INTERNO(2)",2,IF(G1212="RESTRINGIDO(3)",3,0)))+IF(H1212="BAJA(1)",1,IF(H1212="MEDIA(2)",2,IF(H1212="ALTA(3)",3,0)))+IF(I1212="BAJA(1)",1,IF(I1212="MEDIA(2)",2,IF(I1212="ALTA(3)",3,0)))</f>
        <v/>
      </c>
      <c r="K1212">
        <f>IF(J1212="", "", IF(J1212&gt;=8,"ALTA",IF(J1212&gt;=6,"MEDIA","BAJA")))</f>
        <v/>
      </c>
      <c r="L1212">
        <f>IF(INVENTARIO!Y1212="","",INVENTARIO!Y1212)</f>
        <v/>
      </c>
      <c r="M1212">
        <f>IF(INVENTARIO!Z1212="","",INVENTARIO!Z1212)</f>
        <v/>
      </c>
      <c r="N1212">
        <f>IF(INVENTARIO!AA1212="","",INVENTARIO!AA1212)</f>
        <v/>
      </c>
      <c r="O1212">
        <f>IF(INVENTARIO!AB1212="","",INVENTARIO!AB1212)</f>
        <v/>
      </c>
      <c r="P1212">
        <f>IF(INVENTARIO!AC1212="","",INVENTARIO!AC1212)</f>
        <v/>
      </c>
      <c r="Q1212">
        <f>IF(AND(K1212="",N1212="",L1212=""),"",IF(AND((K1212="ALTA"),OR(LEFT(N1212,2)="L0",LEFT(N1212,2)="L1",L1212="No Iniciado")),"CRÍTICO - Incumplimiento Normativo SEPS",IF(AND(OR(LEFT(N1212,2)="L4",LEFT(N1212,2)="L5"),AND(P1212&lt;&gt;"",P1212&lt;&gt;"N/A")),"CONFORME - Control Efectivo ISO 27001","OBSERVACIÓN - Revisar Controles")))</f>
        <v/>
      </c>
    </row>
    <row r="1213">
      <c r="A1213">
        <f>IF(INVENTARIO!A1213="","",INVENTARIO!A1213)</f>
        <v/>
      </c>
      <c r="B1213">
        <f>IF(INVENTARIO!E1213="","",INVENTARIO!E1213)</f>
        <v/>
      </c>
      <c r="C1213">
        <f>IF(INVENTARIO!F1213="","",INVENTARIO!F1213)</f>
        <v/>
      </c>
      <c r="D1213">
        <f>IF(INVENTARIO!H1213="","",INVENTARIO!H1213)</f>
        <v/>
      </c>
      <c r="E1213">
        <f>IF(INVENTARIO!I1213="","",INVENTARIO!I1213)</f>
        <v/>
      </c>
      <c r="F1213">
        <f>IF(INVENTARIO!N1213="","",INVENTARIO!N1213)</f>
        <v/>
      </c>
      <c r="G1213">
        <f>IF(INVENTARIO!P1213="","",INVENTARIO!P1213)</f>
        <v/>
      </c>
      <c r="H1213">
        <f>IF(INVENTARIO!Q1213="","",INVENTARIO!Q1213)</f>
        <v/>
      </c>
      <c r="I1213">
        <f>IF(INVENTARIO!R1213="","",INVENTARIO!R1213)</f>
        <v/>
      </c>
      <c r="J1213">
        <f>IF(G1213="PUBLICA(1)",1,IF(G1213="USO INTERNO(2)",2,IF(G1213="RESTRINGIDO(3)",3,0)))+IF(H1213="BAJA(1)",1,IF(H1213="MEDIA(2)",2,IF(H1213="ALTA(3)",3,0)))+IF(I1213="BAJA(1)",1,IF(I1213="MEDIA(2)",2,IF(I1213="ALTA(3)",3,0)))</f>
        <v/>
      </c>
      <c r="K1213">
        <f>IF(J1213="", "", IF(J1213&gt;=8,"ALTA",IF(J1213&gt;=6,"MEDIA","BAJA")))</f>
        <v/>
      </c>
      <c r="L1213">
        <f>IF(INVENTARIO!Y1213="","",INVENTARIO!Y1213)</f>
        <v/>
      </c>
      <c r="M1213">
        <f>IF(INVENTARIO!Z1213="","",INVENTARIO!Z1213)</f>
        <v/>
      </c>
      <c r="N1213">
        <f>IF(INVENTARIO!AA1213="","",INVENTARIO!AA1213)</f>
        <v/>
      </c>
      <c r="O1213">
        <f>IF(INVENTARIO!AB1213="","",INVENTARIO!AB1213)</f>
        <v/>
      </c>
      <c r="P1213">
        <f>IF(INVENTARIO!AC1213="","",INVENTARIO!AC1213)</f>
        <v/>
      </c>
      <c r="Q1213">
        <f>IF(AND(K1213="",N1213="",L1213=""),"",IF(AND((K1213="ALTA"),OR(LEFT(N1213,2)="L0",LEFT(N1213,2)="L1",L1213="No Iniciado")),"CRÍTICO - Incumplimiento Normativo SEPS",IF(AND(OR(LEFT(N1213,2)="L4",LEFT(N1213,2)="L5"),AND(P1213&lt;&gt;"",P1213&lt;&gt;"N/A")),"CONFORME - Control Efectivo ISO 27001","OBSERVACIÓN - Revisar Controles")))</f>
        <v/>
      </c>
    </row>
    <row r="1214">
      <c r="A1214">
        <f>IF(INVENTARIO!A1214="","",INVENTARIO!A1214)</f>
        <v/>
      </c>
      <c r="B1214">
        <f>IF(INVENTARIO!E1214="","",INVENTARIO!E1214)</f>
        <v/>
      </c>
      <c r="C1214">
        <f>IF(INVENTARIO!F1214="","",INVENTARIO!F1214)</f>
        <v/>
      </c>
      <c r="D1214">
        <f>IF(INVENTARIO!H1214="","",INVENTARIO!H1214)</f>
        <v/>
      </c>
      <c r="E1214">
        <f>IF(INVENTARIO!I1214="","",INVENTARIO!I1214)</f>
        <v/>
      </c>
      <c r="F1214">
        <f>IF(INVENTARIO!N1214="","",INVENTARIO!N1214)</f>
        <v/>
      </c>
      <c r="G1214">
        <f>IF(INVENTARIO!P1214="","",INVENTARIO!P1214)</f>
        <v/>
      </c>
      <c r="H1214">
        <f>IF(INVENTARIO!Q1214="","",INVENTARIO!Q1214)</f>
        <v/>
      </c>
      <c r="I1214">
        <f>IF(INVENTARIO!R1214="","",INVENTARIO!R1214)</f>
        <v/>
      </c>
      <c r="J1214">
        <f>IF(G1214="PUBLICA(1)",1,IF(G1214="USO INTERNO(2)",2,IF(G1214="RESTRINGIDO(3)",3,0)))+IF(H1214="BAJA(1)",1,IF(H1214="MEDIA(2)",2,IF(H1214="ALTA(3)",3,0)))+IF(I1214="BAJA(1)",1,IF(I1214="MEDIA(2)",2,IF(I1214="ALTA(3)",3,0)))</f>
        <v/>
      </c>
      <c r="K1214">
        <f>IF(J1214="", "", IF(J1214&gt;=8,"ALTA",IF(J1214&gt;=6,"MEDIA","BAJA")))</f>
        <v/>
      </c>
      <c r="L1214">
        <f>IF(INVENTARIO!Y1214="","",INVENTARIO!Y1214)</f>
        <v/>
      </c>
      <c r="M1214">
        <f>IF(INVENTARIO!Z1214="","",INVENTARIO!Z1214)</f>
        <v/>
      </c>
      <c r="N1214">
        <f>IF(INVENTARIO!AA1214="","",INVENTARIO!AA1214)</f>
        <v/>
      </c>
      <c r="O1214">
        <f>IF(INVENTARIO!AB1214="","",INVENTARIO!AB1214)</f>
        <v/>
      </c>
      <c r="P1214">
        <f>IF(INVENTARIO!AC1214="","",INVENTARIO!AC1214)</f>
        <v/>
      </c>
      <c r="Q1214">
        <f>IF(AND(K1214="",N1214="",L1214=""),"",IF(AND((K1214="ALTA"),OR(LEFT(N1214,2)="L0",LEFT(N1214,2)="L1",L1214="No Iniciado")),"CRÍTICO - Incumplimiento Normativo SEPS",IF(AND(OR(LEFT(N1214,2)="L4",LEFT(N1214,2)="L5"),AND(P1214&lt;&gt;"",P1214&lt;&gt;"N/A")),"CONFORME - Control Efectivo ISO 27001","OBSERVACIÓN - Revisar Controles")))</f>
        <v/>
      </c>
    </row>
    <row r="1215">
      <c r="A1215">
        <f>IF(INVENTARIO!A1215="","",INVENTARIO!A1215)</f>
        <v/>
      </c>
      <c r="B1215">
        <f>IF(INVENTARIO!E1215="","",INVENTARIO!E1215)</f>
        <v/>
      </c>
      <c r="C1215">
        <f>IF(INVENTARIO!F1215="","",INVENTARIO!F1215)</f>
        <v/>
      </c>
      <c r="D1215">
        <f>IF(INVENTARIO!H1215="","",INVENTARIO!H1215)</f>
        <v/>
      </c>
      <c r="E1215">
        <f>IF(INVENTARIO!I1215="","",INVENTARIO!I1215)</f>
        <v/>
      </c>
      <c r="F1215">
        <f>IF(INVENTARIO!N1215="","",INVENTARIO!N1215)</f>
        <v/>
      </c>
      <c r="G1215">
        <f>IF(INVENTARIO!P1215="","",INVENTARIO!P1215)</f>
        <v/>
      </c>
      <c r="H1215">
        <f>IF(INVENTARIO!Q1215="","",INVENTARIO!Q1215)</f>
        <v/>
      </c>
      <c r="I1215">
        <f>IF(INVENTARIO!R1215="","",INVENTARIO!R1215)</f>
        <v/>
      </c>
      <c r="J1215">
        <f>IF(G1215="PUBLICA(1)",1,IF(G1215="USO INTERNO(2)",2,IF(G1215="RESTRINGIDO(3)",3,0)))+IF(H1215="BAJA(1)",1,IF(H1215="MEDIA(2)",2,IF(H1215="ALTA(3)",3,0)))+IF(I1215="BAJA(1)",1,IF(I1215="MEDIA(2)",2,IF(I1215="ALTA(3)",3,0)))</f>
        <v/>
      </c>
      <c r="K1215">
        <f>IF(J1215="", "", IF(J1215&gt;=8,"ALTA",IF(J1215&gt;=6,"MEDIA","BAJA")))</f>
        <v/>
      </c>
      <c r="L1215">
        <f>IF(INVENTARIO!Y1215="","",INVENTARIO!Y1215)</f>
        <v/>
      </c>
      <c r="M1215">
        <f>IF(INVENTARIO!Z1215="","",INVENTARIO!Z1215)</f>
        <v/>
      </c>
      <c r="N1215">
        <f>IF(INVENTARIO!AA1215="","",INVENTARIO!AA1215)</f>
        <v/>
      </c>
      <c r="O1215">
        <f>IF(INVENTARIO!AB1215="","",INVENTARIO!AB1215)</f>
        <v/>
      </c>
      <c r="P1215">
        <f>IF(INVENTARIO!AC1215="","",INVENTARIO!AC1215)</f>
        <v/>
      </c>
      <c r="Q1215">
        <f>IF(AND(K1215="",N1215="",L1215=""),"",IF(AND((K1215="ALTA"),OR(LEFT(N1215,2)="L0",LEFT(N1215,2)="L1",L1215="No Iniciado")),"CRÍTICO - Incumplimiento Normativo SEPS",IF(AND(OR(LEFT(N1215,2)="L4",LEFT(N1215,2)="L5"),AND(P1215&lt;&gt;"",P1215&lt;&gt;"N/A")),"CONFORME - Control Efectivo ISO 27001","OBSERVACIÓN - Revisar Controles")))</f>
        <v/>
      </c>
    </row>
    <row r="1216">
      <c r="A1216">
        <f>IF(INVENTARIO!A1216="","",INVENTARIO!A1216)</f>
        <v/>
      </c>
      <c r="B1216">
        <f>IF(INVENTARIO!E1216="","",INVENTARIO!E1216)</f>
        <v/>
      </c>
      <c r="C1216">
        <f>IF(INVENTARIO!F1216="","",INVENTARIO!F1216)</f>
        <v/>
      </c>
      <c r="D1216">
        <f>IF(INVENTARIO!H1216="","",INVENTARIO!H1216)</f>
        <v/>
      </c>
      <c r="E1216">
        <f>IF(INVENTARIO!I1216="","",INVENTARIO!I1216)</f>
        <v/>
      </c>
      <c r="F1216">
        <f>IF(INVENTARIO!N1216="","",INVENTARIO!N1216)</f>
        <v/>
      </c>
      <c r="G1216">
        <f>IF(INVENTARIO!P1216="","",INVENTARIO!P1216)</f>
        <v/>
      </c>
      <c r="H1216">
        <f>IF(INVENTARIO!Q1216="","",INVENTARIO!Q1216)</f>
        <v/>
      </c>
      <c r="I1216">
        <f>IF(INVENTARIO!R1216="","",INVENTARIO!R1216)</f>
        <v/>
      </c>
      <c r="J1216">
        <f>IF(G1216="PUBLICA(1)",1,IF(G1216="USO INTERNO(2)",2,IF(G1216="RESTRINGIDO(3)",3,0)))+IF(H1216="BAJA(1)",1,IF(H1216="MEDIA(2)",2,IF(H1216="ALTA(3)",3,0)))+IF(I1216="BAJA(1)",1,IF(I1216="MEDIA(2)",2,IF(I1216="ALTA(3)",3,0)))</f>
        <v/>
      </c>
      <c r="K1216">
        <f>IF(J1216="", "", IF(J1216&gt;=8,"ALTA",IF(J1216&gt;=6,"MEDIA","BAJA")))</f>
        <v/>
      </c>
      <c r="L1216">
        <f>IF(INVENTARIO!Y1216="","",INVENTARIO!Y1216)</f>
        <v/>
      </c>
      <c r="M1216">
        <f>IF(INVENTARIO!Z1216="","",INVENTARIO!Z1216)</f>
        <v/>
      </c>
      <c r="N1216">
        <f>IF(INVENTARIO!AA1216="","",INVENTARIO!AA1216)</f>
        <v/>
      </c>
      <c r="O1216">
        <f>IF(INVENTARIO!AB1216="","",INVENTARIO!AB1216)</f>
        <v/>
      </c>
      <c r="P1216">
        <f>IF(INVENTARIO!AC1216="","",INVENTARIO!AC1216)</f>
        <v/>
      </c>
      <c r="Q1216">
        <f>IF(AND(K1216="",N1216="",L1216=""),"",IF(AND((K1216="ALTA"),OR(LEFT(N1216,2)="L0",LEFT(N1216,2)="L1",L1216="No Iniciado")),"CRÍTICO - Incumplimiento Normativo SEPS",IF(AND(OR(LEFT(N1216,2)="L4",LEFT(N1216,2)="L5"),AND(P1216&lt;&gt;"",P1216&lt;&gt;"N/A")),"CONFORME - Control Efectivo ISO 27001","OBSERVACIÓN - Revisar Controles")))</f>
        <v/>
      </c>
    </row>
    <row r="1217">
      <c r="A1217">
        <f>IF(INVENTARIO!A1217="","",INVENTARIO!A1217)</f>
        <v/>
      </c>
      <c r="B1217">
        <f>IF(INVENTARIO!E1217="","",INVENTARIO!E1217)</f>
        <v/>
      </c>
      <c r="C1217">
        <f>IF(INVENTARIO!F1217="","",INVENTARIO!F1217)</f>
        <v/>
      </c>
      <c r="D1217">
        <f>IF(INVENTARIO!H1217="","",INVENTARIO!H1217)</f>
        <v/>
      </c>
      <c r="E1217">
        <f>IF(INVENTARIO!I1217="","",INVENTARIO!I1217)</f>
        <v/>
      </c>
      <c r="F1217">
        <f>IF(INVENTARIO!N1217="","",INVENTARIO!N1217)</f>
        <v/>
      </c>
      <c r="G1217">
        <f>IF(INVENTARIO!P1217="","",INVENTARIO!P1217)</f>
        <v/>
      </c>
      <c r="H1217">
        <f>IF(INVENTARIO!Q1217="","",INVENTARIO!Q1217)</f>
        <v/>
      </c>
      <c r="I1217">
        <f>IF(INVENTARIO!R1217="","",INVENTARIO!R1217)</f>
        <v/>
      </c>
      <c r="J1217">
        <f>IF(G1217="PUBLICA(1)",1,IF(G1217="USO INTERNO(2)",2,IF(G1217="RESTRINGIDO(3)",3,0)))+IF(H1217="BAJA(1)",1,IF(H1217="MEDIA(2)",2,IF(H1217="ALTA(3)",3,0)))+IF(I1217="BAJA(1)",1,IF(I1217="MEDIA(2)",2,IF(I1217="ALTA(3)",3,0)))</f>
        <v/>
      </c>
      <c r="K1217">
        <f>IF(J1217="", "", IF(J1217&gt;=8,"ALTA",IF(J1217&gt;=6,"MEDIA","BAJA")))</f>
        <v/>
      </c>
      <c r="L1217">
        <f>IF(INVENTARIO!Y1217="","",INVENTARIO!Y1217)</f>
        <v/>
      </c>
      <c r="M1217">
        <f>IF(INVENTARIO!Z1217="","",INVENTARIO!Z1217)</f>
        <v/>
      </c>
      <c r="N1217">
        <f>IF(INVENTARIO!AA1217="","",INVENTARIO!AA1217)</f>
        <v/>
      </c>
      <c r="O1217">
        <f>IF(INVENTARIO!AB1217="","",INVENTARIO!AB1217)</f>
        <v/>
      </c>
      <c r="P1217">
        <f>IF(INVENTARIO!AC1217="","",INVENTARIO!AC1217)</f>
        <v/>
      </c>
      <c r="Q1217">
        <f>IF(AND(K1217="",N1217="",L1217=""),"",IF(AND((K1217="ALTA"),OR(LEFT(N1217,2)="L0",LEFT(N1217,2)="L1",L1217="No Iniciado")),"CRÍTICO - Incumplimiento Normativo SEPS",IF(AND(OR(LEFT(N1217,2)="L4",LEFT(N1217,2)="L5"),AND(P1217&lt;&gt;"",P1217&lt;&gt;"N/A")),"CONFORME - Control Efectivo ISO 27001","OBSERVACIÓN - Revisar Controles")))</f>
        <v/>
      </c>
    </row>
    <row r="1218">
      <c r="A1218">
        <f>IF(INVENTARIO!A1218="","",INVENTARIO!A1218)</f>
        <v/>
      </c>
      <c r="B1218">
        <f>IF(INVENTARIO!E1218="","",INVENTARIO!E1218)</f>
        <v/>
      </c>
      <c r="C1218">
        <f>IF(INVENTARIO!F1218="","",INVENTARIO!F1218)</f>
        <v/>
      </c>
      <c r="D1218">
        <f>IF(INVENTARIO!H1218="","",INVENTARIO!H1218)</f>
        <v/>
      </c>
      <c r="E1218">
        <f>IF(INVENTARIO!I1218="","",INVENTARIO!I1218)</f>
        <v/>
      </c>
      <c r="F1218">
        <f>IF(INVENTARIO!N1218="","",INVENTARIO!N1218)</f>
        <v/>
      </c>
      <c r="G1218">
        <f>IF(INVENTARIO!P1218="","",INVENTARIO!P1218)</f>
        <v/>
      </c>
      <c r="H1218">
        <f>IF(INVENTARIO!Q1218="","",INVENTARIO!Q1218)</f>
        <v/>
      </c>
      <c r="I1218">
        <f>IF(INVENTARIO!R1218="","",INVENTARIO!R1218)</f>
        <v/>
      </c>
      <c r="J1218">
        <f>IF(G1218="PUBLICA(1)",1,IF(G1218="USO INTERNO(2)",2,IF(G1218="RESTRINGIDO(3)",3,0)))+IF(H1218="BAJA(1)",1,IF(H1218="MEDIA(2)",2,IF(H1218="ALTA(3)",3,0)))+IF(I1218="BAJA(1)",1,IF(I1218="MEDIA(2)",2,IF(I1218="ALTA(3)",3,0)))</f>
        <v/>
      </c>
      <c r="K1218">
        <f>IF(J1218="", "", IF(J1218&gt;=8,"ALTA",IF(J1218&gt;=6,"MEDIA","BAJA")))</f>
        <v/>
      </c>
      <c r="L1218">
        <f>IF(INVENTARIO!Y1218="","",INVENTARIO!Y1218)</f>
        <v/>
      </c>
      <c r="M1218">
        <f>IF(INVENTARIO!Z1218="","",INVENTARIO!Z1218)</f>
        <v/>
      </c>
      <c r="N1218">
        <f>IF(INVENTARIO!AA1218="","",INVENTARIO!AA1218)</f>
        <v/>
      </c>
      <c r="O1218">
        <f>IF(INVENTARIO!AB1218="","",INVENTARIO!AB1218)</f>
        <v/>
      </c>
      <c r="P1218">
        <f>IF(INVENTARIO!AC1218="","",INVENTARIO!AC1218)</f>
        <v/>
      </c>
      <c r="Q1218">
        <f>IF(AND(K1218="",N1218="",L1218=""),"",IF(AND((K1218="ALTA"),OR(LEFT(N1218,2)="L0",LEFT(N1218,2)="L1",L1218="No Iniciado")),"CRÍTICO - Incumplimiento Normativo SEPS",IF(AND(OR(LEFT(N1218,2)="L4",LEFT(N1218,2)="L5"),AND(P1218&lt;&gt;"",P1218&lt;&gt;"N/A")),"CONFORME - Control Efectivo ISO 27001","OBSERVACIÓN - Revisar Controles")))</f>
        <v/>
      </c>
    </row>
    <row r="1219">
      <c r="A1219">
        <f>IF(INVENTARIO!A1219="","",INVENTARIO!A1219)</f>
        <v/>
      </c>
      <c r="B1219">
        <f>IF(INVENTARIO!E1219="","",INVENTARIO!E1219)</f>
        <v/>
      </c>
      <c r="C1219">
        <f>IF(INVENTARIO!F1219="","",INVENTARIO!F1219)</f>
        <v/>
      </c>
      <c r="D1219">
        <f>IF(INVENTARIO!H1219="","",INVENTARIO!H1219)</f>
        <v/>
      </c>
      <c r="E1219">
        <f>IF(INVENTARIO!I1219="","",INVENTARIO!I1219)</f>
        <v/>
      </c>
      <c r="F1219">
        <f>IF(INVENTARIO!N1219="","",INVENTARIO!N1219)</f>
        <v/>
      </c>
      <c r="G1219">
        <f>IF(INVENTARIO!P1219="","",INVENTARIO!P1219)</f>
        <v/>
      </c>
      <c r="H1219">
        <f>IF(INVENTARIO!Q1219="","",INVENTARIO!Q1219)</f>
        <v/>
      </c>
      <c r="I1219">
        <f>IF(INVENTARIO!R1219="","",INVENTARIO!R1219)</f>
        <v/>
      </c>
      <c r="J1219">
        <f>IF(G1219="PUBLICA(1)",1,IF(G1219="USO INTERNO(2)",2,IF(G1219="RESTRINGIDO(3)",3,0)))+IF(H1219="BAJA(1)",1,IF(H1219="MEDIA(2)",2,IF(H1219="ALTA(3)",3,0)))+IF(I1219="BAJA(1)",1,IF(I1219="MEDIA(2)",2,IF(I1219="ALTA(3)",3,0)))</f>
        <v/>
      </c>
      <c r="K1219">
        <f>IF(J1219="", "", IF(J1219&gt;=8,"ALTA",IF(J1219&gt;=6,"MEDIA","BAJA")))</f>
        <v/>
      </c>
      <c r="L1219">
        <f>IF(INVENTARIO!Y1219="","",INVENTARIO!Y1219)</f>
        <v/>
      </c>
      <c r="M1219">
        <f>IF(INVENTARIO!Z1219="","",INVENTARIO!Z1219)</f>
        <v/>
      </c>
      <c r="N1219">
        <f>IF(INVENTARIO!AA1219="","",INVENTARIO!AA1219)</f>
        <v/>
      </c>
      <c r="O1219">
        <f>IF(INVENTARIO!AB1219="","",INVENTARIO!AB1219)</f>
        <v/>
      </c>
      <c r="P1219">
        <f>IF(INVENTARIO!AC1219="","",INVENTARIO!AC1219)</f>
        <v/>
      </c>
      <c r="Q1219">
        <f>IF(AND(K1219="",N1219="",L1219=""),"",IF(AND((K1219="ALTA"),OR(LEFT(N1219,2)="L0",LEFT(N1219,2)="L1",L1219="No Iniciado")),"CRÍTICO - Incumplimiento Normativo SEPS",IF(AND(OR(LEFT(N1219,2)="L4",LEFT(N1219,2)="L5"),AND(P1219&lt;&gt;"",P1219&lt;&gt;"N/A")),"CONFORME - Control Efectivo ISO 27001","OBSERVACIÓN - Revisar Controles")))</f>
        <v/>
      </c>
    </row>
    <row r="1220">
      <c r="A1220">
        <f>IF(INVENTARIO!A1220="","",INVENTARIO!A1220)</f>
        <v/>
      </c>
      <c r="B1220">
        <f>IF(INVENTARIO!E1220="","",INVENTARIO!E1220)</f>
        <v/>
      </c>
      <c r="C1220">
        <f>IF(INVENTARIO!F1220="","",INVENTARIO!F1220)</f>
        <v/>
      </c>
      <c r="D1220">
        <f>IF(INVENTARIO!H1220="","",INVENTARIO!H1220)</f>
        <v/>
      </c>
      <c r="E1220">
        <f>IF(INVENTARIO!I1220="","",INVENTARIO!I1220)</f>
        <v/>
      </c>
      <c r="F1220">
        <f>IF(INVENTARIO!N1220="","",INVENTARIO!N1220)</f>
        <v/>
      </c>
      <c r="G1220">
        <f>IF(INVENTARIO!P1220="","",INVENTARIO!P1220)</f>
        <v/>
      </c>
      <c r="H1220">
        <f>IF(INVENTARIO!Q1220="","",INVENTARIO!Q1220)</f>
        <v/>
      </c>
      <c r="I1220">
        <f>IF(INVENTARIO!R1220="","",INVENTARIO!R1220)</f>
        <v/>
      </c>
      <c r="J1220">
        <f>IF(G1220="PUBLICA(1)",1,IF(G1220="USO INTERNO(2)",2,IF(G1220="RESTRINGIDO(3)",3,0)))+IF(H1220="BAJA(1)",1,IF(H1220="MEDIA(2)",2,IF(H1220="ALTA(3)",3,0)))+IF(I1220="BAJA(1)",1,IF(I1220="MEDIA(2)",2,IF(I1220="ALTA(3)",3,0)))</f>
        <v/>
      </c>
      <c r="K1220">
        <f>IF(J1220="", "", IF(J1220&gt;=8,"ALTA",IF(J1220&gt;=6,"MEDIA","BAJA")))</f>
        <v/>
      </c>
      <c r="L1220">
        <f>IF(INVENTARIO!Y1220="","",INVENTARIO!Y1220)</f>
        <v/>
      </c>
      <c r="M1220">
        <f>IF(INVENTARIO!Z1220="","",INVENTARIO!Z1220)</f>
        <v/>
      </c>
      <c r="N1220">
        <f>IF(INVENTARIO!AA1220="","",INVENTARIO!AA1220)</f>
        <v/>
      </c>
      <c r="O1220">
        <f>IF(INVENTARIO!AB1220="","",INVENTARIO!AB1220)</f>
        <v/>
      </c>
      <c r="P1220">
        <f>IF(INVENTARIO!AC1220="","",INVENTARIO!AC1220)</f>
        <v/>
      </c>
      <c r="Q1220">
        <f>IF(AND(K1220="",N1220="",L1220=""),"",IF(AND((K1220="ALTA"),OR(LEFT(N1220,2)="L0",LEFT(N1220,2)="L1",L1220="No Iniciado")),"CRÍTICO - Incumplimiento Normativo SEPS",IF(AND(OR(LEFT(N1220,2)="L4",LEFT(N1220,2)="L5"),AND(P1220&lt;&gt;"",P1220&lt;&gt;"N/A")),"CONFORME - Control Efectivo ISO 27001","OBSERVACIÓN - Revisar Controles")))</f>
        <v/>
      </c>
    </row>
    <row r="1221">
      <c r="A1221">
        <f>IF(INVENTARIO!A1221="","",INVENTARIO!A1221)</f>
        <v/>
      </c>
      <c r="B1221">
        <f>IF(INVENTARIO!E1221="","",INVENTARIO!E1221)</f>
        <v/>
      </c>
      <c r="C1221">
        <f>IF(INVENTARIO!F1221="","",INVENTARIO!F1221)</f>
        <v/>
      </c>
      <c r="D1221">
        <f>IF(INVENTARIO!H1221="","",INVENTARIO!H1221)</f>
        <v/>
      </c>
      <c r="E1221">
        <f>IF(INVENTARIO!I1221="","",INVENTARIO!I1221)</f>
        <v/>
      </c>
      <c r="F1221">
        <f>IF(INVENTARIO!N1221="","",INVENTARIO!N1221)</f>
        <v/>
      </c>
      <c r="G1221">
        <f>IF(INVENTARIO!P1221="","",INVENTARIO!P1221)</f>
        <v/>
      </c>
      <c r="H1221">
        <f>IF(INVENTARIO!Q1221="","",INVENTARIO!Q1221)</f>
        <v/>
      </c>
      <c r="I1221">
        <f>IF(INVENTARIO!R1221="","",INVENTARIO!R1221)</f>
        <v/>
      </c>
      <c r="J1221">
        <f>IF(G1221="PUBLICA(1)",1,IF(G1221="USO INTERNO(2)",2,IF(G1221="RESTRINGIDO(3)",3,0)))+IF(H1221="BAJA(1)",1,IF(H1221="MEDIA(2)",2,IF(H1221="ALTA(3)",3,0)))+IF(I1221="BAJA(1)",1,IF(I1221="MEDIA(2)",2,IF(I1221="ALTA(3)",3,0)))</f>
        <v/>
      </c>
      <c r="K1221">
        <f>IF(J1221="", "", IF(J1221&gt;=8,"ALTA",IF(J1221&gt;=6,"MEDIA","BAJA")))</f>
        <v/>
      </c>
      <c r="L1221">
        <f>IF(INVENTARIO!Y1221="","",INVENTARIO!Y1221)</f>
        <v/>
      </c>
      <c r="M1221">
        <f>IF(INVENTARIO!Z1221="","",INVENTARIO!Z1221)</f>
        <v/>
      </c>
      <c r="N1221">
        <f>IF(INVENTARIO!AA1221="","",INVENTARIO!AA1221)</f>
        <v/>
      </c>
      <c r="O1221">
        <f>IF(INVENTARIO!AB1221="","",INVENTARIO!AB1221)</f>
        <v/>
      </c>
      <c r="P1221">
        <f>IF(INVENTARIO!AC1221="","",INVENTARIO!AC1221)</f>
        <v/>
      </c>
      <c r="Q1221">
        <f>IF(AND(K1221="",N1221="",L1221=""),"",IF(AND((K1221="ALTA"),OR(LEFT(N1221,2)="L0",LEFT(N1221,2)="L1",L1221="No Iniciado")),"CRÍTICO - Incumplimiento Normativo SEPS",IF(AND(OR(LEFT(N1221,2)="L4",LEFT(N1221,2)="L5"),AND(P1221&lt;&gt;"",P1221&lt;&gt;"N/A")),"CONFORME - Control Efectivo ISO 27001","OBSERVACIÓN - Revisar Controles")))</f>
        <v/>
      </c>
    </row>
    <row r="1222">
      <c r="A1222">
        <f>IF(INVENTARIO!A1222="","",INVENTARIO!A1222)</f>
        <v/>
      </c>
      <c r="B1222">
        <f>IF(INVENTARIO!E1222="","",INVENTARIO!E1222)</f>
        <v/>
      </c>
      <c r="C1222">
        <f>IF(INVENTARIO!F1222="","",INVENTARIO!F1222)</f>
        <v/>
      </c>
      <c r="D1222">
        <f>IF(INVENTARIO!H1222="","",INVENTARIO!H1222)</f>
        <v/>
      </c>
      <c r="E1222">
        <f>IF(INVENTARIO!I1222="","",INVENTARIO!I1222)</f>
        <v/>
      </c>
      <c r="F1222">
        <f>IF(INVENTARIO!N1222="","",INVENTARIO!N1222)</f>
        <v/>
      </c>
      <c r="G1222">
        <f>IF(INVENTARIO!P1222="","",INVENTARIO!P1222)</f>
        <v/>
      </c>
      <c r="H1222">
        <f>IF(INVENTARIO!Q1222="","",INVENTARIO!Q1222)</f>
        <v/>
      </c>
      <c r="I1222">
        <f>IF(INVENTARIO!R1222="","",INVENTARIO!R1222)</f>
        <v/>
      </c>
      <c r="J1222">
        <f>IF(G1222="PUBLICA(1)",1,IF(G1222="USO INTERNO(2)",2,IF(G1222="RESTRINGIDO(3)",3,0)))+IF(H1222="BAJA(1)",1,IF(H1222="MEDIA(2)",2,IF(H1222="ALTA(3)",3,0)))+IF(I1222="BAJA(1)",1,IF(I1222="MEDIA(2)",2,IF(I1222="ALTA(3)",3,0)))</f>
        <v/>
      </c>
      <c r="K1222">
        <f>IF(J1222="", "", IF(J1222&gt;=8,"ALTA",IF(J1222&gt;=6,"MEDIA","BAJA")))</f>
        <v/>
      </c>
      <c r="L1222">
        <f>IF(INVENTARIO!Y1222="","",INVENTARIO!Y1222)</f>
        <v/>
      </c>
      <c r="M1222">
        <f>IF(INVENTARIO!Z1222="","",INVENTARIO!Z1222)</f>
        <v/>
      </c>
      <c r="N1222">
        <f>IF(INVENTARIO!AA1222="","",INVENTARIO!AA1222)</f>
        <v/>
      </c>
      <c r="O1222">
        <f>IF(INVENTARIO!AB1222="","",INVENTARIO!AB1222)</f>
        <v/>
      </c>
      <c r="P1222">
        <f>IF(INVENTARIO!AC1222="","",INVENTARIO!AC1222)</f>
        <v/>
      </c>
      <c r="Q1222">
        <f>IF(AND(K1222="",N1222="",L1222=""),"",IF(AND((K1222="ALTA"),OR(LEFT(N1222,2)="L0",LEFT(N1222,2)="L1",L1222="No Iniciado")),"CRÍTICO - Incumplimiento Normativo SEPS",IF(AND(OR(LEFT(N1222,2)="L4",LEFT(N1222,2)="L5"),AND(P1222&lt;&gt;"",P1222&lt;&gt;"N/A")),"CONFORME - Control Efectivo ISO 27001","OBSERVACIÓN - Revisar Controles")))</f>
        <v/>
      </c>
    </row>
    <row r="1223">
      <c r="A1223">
        <f>IF(INVENTARIO!A1223="","",INVENTARIO!A1223)</f>
        <v/>
      </c>
      <c r="B1223">
        <f>IF(INVENTARIO!E1223="","",INVENTARIO!E1223)</f>
        <v/>
      </c>
      <c r="C1223">
        <f>IF(INVENTARIO!F1223="","",INVENTARIO!F1223)</f>
        <v/>
      </c>
      <c r="D1223">
        <f>IF(INVENTARIO!H1223="","",INVENTARIO!H1223)</f>
        <v/>
      </c>
      <c r="E1223">
        <f>IF(INVENTARIO!I1223="","",INVENTARIO!I1223)</f>
        <v/>
      </c>
      <c r="F1223">
        <f>IF(INVENTARIO!N1223="","",INVENTARIO!N1223)</f>
        <v/>
      </c>
      <c r="G1223">
        <f>IF(INVENTARIO!P1223="","",INVENTARIO!P1223)</f>
        <v/>
      </c>
      <c r="H1223">
        <f>IF(INVENTARIO!Q1223="","",INVENTARIO!Q1223)</f>
        <v/>
      </c>
      <c r="I1223">
        <f>IF(INVENTARIO!R1223="","",INVENTARIO!R1223)</f>
        <v/>
      </c>
      <c r="J1223">
        <f>IF(G1223="PUBLICA(1)",1,IF(G1223="USO INTERNO(2)",2,IF(G1223="RESTRINGIDO(3)",3,0)))+IF(H1223="BAJA(1)",1,IF(H1223="MEDIA(2)",2,IF(H1223="ALTA(3)",3,0)))+IF(I1223="BAJA(1)",1,IF(I1223="MEDIA(2)",2,IF(I1223="ALTA(3)",3,0)))</f>
        <v/>
      </c>
      <c r="K1223">
        <f>IF(J1223="", "", IF(J1223&gt;=8,"ALTA",IF(J1223&gt;=6,"MEDIA","BAJA")))</f>
        <v/>
      </c>
      <c r="L1223">
        <f>IF(INVENTARIO!Y1223="","",INVENTARIO!Y1223)</f>
        <v/>
      </c>
      <c r="M1223">
        <f>IF(INVENTARIO!Z1223="","",INVENTARIO!Z1223)</f>
        <v/>
      </c>
      <c r="N1223">
        <f>IF(INVENTARIO!AA1223="","",INVENTARIO!AA1223)</f>
        <v/>
      </c>
      <c r="O1223">
        <f>IF(INVENTARIO!AB1223="","",INVENTARIO!AB1223)</f>
        <v/>
      </c>
      <c r="P1223">
        <f>IF(INVENTARIO!AC1223="","",INVENTARIO!AC1223)</f>
        <v/>
      </c>
      <c r="Q1223">
        <f>IF(AND(K1223="",N1223="",L1223=""),"",IF(AND((K1223="ALTA"),OR(LEFT(N1223,2)="L0",LEFT(N1223,2)="L1",L1223="No Iniciado")),"CRÍTICO - Incumplimiento Normativo SEPS",IF(AND(OR(LEFT(N1223,2)="L4",LEFT(N1223,2)="L5"),AND(P1223&lt;&gt;"",P1223&lt;&gt;"N/A")),"CONFORME - Control Efectivo ISO 27001","OBSERVACIÓN - Revisar Controles")))</f>
        <v/>
      </c>
    </row>
    <row r="1224">
      <c r="A1224">
        <f>IF(INVENTARIO!A1224="","",INVENTARIO!A1224)</f>
        <v/>
      </c>
      <c r="B1224">
        <f>IF(INVENTARIO!E1224="","",INVENTARIO!E1224)</f>
        <v/>
      </c>
      <c r="C1224">
        <f>IF(INVENTARIO!F1224="","",INVENTARIO!F1224)</f>
        <v/>
      </c>
      <c r="D1224">
        <f>IF(INVENTARIO!H1224="","",INVENTARIO!H1224)</f>
        <v/>
      </c>
      <c r="E1224">
        <f>IF(INVENTARIO!I1224="","",INVENTARIO!I1224)</f>
        <v/>
      </c>
      <c r="F1224">
        <f>IF(INVENTARIO!N1224="","",INVENTARIO!N1224)</f>
        <v/>
      </c>
      <c r="G1224">
        <f>IF(INVENTARIO!P1224="","",INVENTARIO!P1224)</f>
        <v/>
      </c>
      <c r="H1224">
        <f>IF(INVENTARIO!Q1224="","",INVENTARIO!Q1224)</f>
        <v/>
      </c>
      <c r="I1224">
        <f>IF(INVENTARIO!R1224="","",INVENTARIO!R1224)</f>
        <v/>
      </c>
      <c r="J1224">
        <f>IF(G1224="PUBLICA(1)",1,IF(G1224="USO INTERNO(2)",2,IF(G1224="RESTRINGIDO(3)",3,0)))+IF(H1224="BAJA(1)",1,IF(H1224="MEDIA(2)",2,IF(H1224="ALTA(3)",3,0)))+IF(I1224="BAJA(1)",1,IF(I1224="MEDIA(2)",2,IF(I1224="ALTA(3)",3,0)))</f>
        <v/>
      </c>
      <c r="K1224">
        <f>IF(J1224="", "", IF(J1224&gt;=8,"ALTA",IF(J1224&gt;=6,"MEDIA","BAJA")))</f>
        <v/>
      </c>
      <c r="L1224">
        <f>IF(INVENTARIO!Y1224="","",INVENTARIO!Y1224)</f>
        <v/>
      </c>
      <c r="M1224">
        <f>IF(INVENTARIO!Z1224="","",INVENTARIO!Z1224)</f>
        <v/>
      </c>
      <c r="N1224">
        <f>IF(INVENTARIO!AA1224="","",INVENTARIO!AA1224)</f>
        <v/>
      </c>
      <c r="O1224">
        <f>IF(INVENTARIO!AB1224="","",INVENTARIO!AB1224)</f>
        <v/>
      </c>
      <c r="P1224">
        <f>IF(INVENTARIO!AC1224="","",INVENTARIO!AC1224)</f>
        <v/>
      </c>
      <c r="Q1224">
        <f>IF(AND(K1224="",N1224="",L1224=""),"",IF(AND((K1224="ALTA"),OR(LEFT(N1224,2)="L0",LEFT(N1224,2)="L1",L1224="No Iniciado")),"CRÍTICO - Incumplimiento Normativo SEPS",IF(AND(OR(LEFT(N1224,2)="L4",LEFT(N1224,2)="L5"),AND(P1224&lt;&gt;"",P1224&lt;&gt;"N/A")),"CONFORME - Control Efectivo ISO 27001","OBSERVACIÓN - Revisar Controles")))</f>
        <v/>
      </c>
    </row>
    <row r="1225">
      <c r="A1225">
        <f>IF(INVENTARIO!A1225="","",INVENTARIO!A1225)</f>
        <v/>
      </c>
      <c r="B1225">
        <f>IF(INVENTARIO!E1225="","",INVENTARIO!E1225)</f>
        <v/>
      </c>
      <c r="C1225">
        <f>IF(INVENTARIO!F1225="","",INVENTARIO!F1225)</f>
        <v/>
      </c>
      <c r="D1225">
        <f>IF(INVENTARIO!H1225="","",INVENTARIO!H1225)</f>
        <v/>
      </c>
      <c r="E1225">
        <f>IF(INVENTARIO!I1225="","",INVENTARIO!I1225)</f>
        <v/>
      </c>
      <c r="F1225">
        <f>IF(INVENTARIO!N1225="","",INVENTARIO!N1225)</f>
        <v/>
      </c>
      <c r="G1225">
        <f>IF(INVENTARIO!P1225="","",INVENTARIO!P1225)</f>
        <v/>
      </c>
      <c r="H1225">
        <f>IF(INVENTARIO!Q1225="","",INVENTARIO!Q1225)</f>
        <v/>
      </c>
      <c r="I1225">
        <f>IF(INVENTARIO!R1225="","",INVENTARIO!R1225)</f>
        <v/>
      </c>
      <c r="J1225">
        <f>IF(G1225="PUBLICA(1)",1,IF(G1225="USO INTERNO(2)",2,IF(G1225="RESTRINGIDO(3)",3,0)))+IF(H1225="BAJA(1)",1,IF(H1225="MEDIA(2)",2,IF(H1225="ALTA(3)",3,0)))+IF(I1225="BAJA(1)",1,IF(I1225="MEDIA(2)",2,IF(I1225="ALTA(3)",3,0)))</f>
        <v/>
      </c>
      <c r="K1225">
        <f>IF(J1225="", "", IF(J1225&gt;=8,"ALTA",IF(J1225&gt;=6,"MEDIA","BAJA")))</f>
        <v/>
      </c>
      <c r="L1225">
        <f>IF(INVENTARIO!Y1225="","",INVENTARIO!Y1225)</f>
        <v/>
      </c>
      <c r="M1225">
        <f>IF(INVENTARIO!Z1225="","",INVENTARIO!Z1225)</f>
        <v/>
      </c>
      <c r="N1225">
        <f>IF(INVENTARIO!AA1225="","",INVENTARIO!AA1225)</f>
        <v/>
      </c>
      <c r="O1225">
        <f>IF(INVENTARIO!AB1225="","",INVENTARIO!AB1225)</f>
        <v/>
      </c>
      <c r="P1225">
        <f>IF(INVENTARIO!AC1225="","",INVENTARIO!AC1225)</f>
        <v/>
      </c>
      <c r="Q1225">
        <f>IF(AND(K1225="",N1225="",L1225=""),"",IF(AND((K1225="ALTA"),OR(LEFT(N1225,2)="L0",LEFT(N1225,2)="L1",L1225="No Iniciado")),"CRÍTICO - Incumplimiento Normativo SEPS",IF(AND(OR(LEFT(N1225,2)="L4",LEFT(N1225,2)="L5"),AND(P1225&lt;&gt;"",P1225&lt;&gt;"N/A")),"CONFORME - Control Efectivo ISO 27001","OBSERVACIÓN - Revisar Controles")))</f>
        <v/>
      </c>
    </row>
    <row r="1226">
      <c r="A1226">
        <f>IF(INVENTARIO!A1226="","",INVENTARIO!A1226)</f>
        <v/>
      </c>
      <c r="B1226">
        <f>IF(INVENTARIO!E1226="","",INVENTARIO!E1226)</f>
        <v/>
      </c>
      <c r="C1226">
        <f>IF(INVENTARIO!F1226="","",INVENTARIO!F1226)</f>
        <v/>
      </c>
      <c r="D1226">
        <f>IF(INVENTARIO!H1226="","",INVENTARIO!H1226)</f>
        <v/>
      </c>
      <c r="E1226">
        <f>IF(INVENTARIO!I1226="","",INVENTARIO!I1226)</f>
        <v/>
      </c>
      <c r="F1226">
        <f>IF(INVENTARIO!N1226="","",INVENTARIO!N1226)</f>
        <v/>
      </c>
      <c r="G1226">
        <f>IF(INVENTARIO!P1226="","",INVENTARIO!P1226)</f>
        <v/>
      </c>
      <c r="H1226">
        <f>IF(INVENTARIO!Q1226="","",INVENTARIO!Q1226)</f>
        <v/>
      </c>
      <c r="I1226">
        <f>IF(INVENTARIO!R1226="","",INVENTARIO!R1226)</f>
        <v/>
      </c>
      <c r="J1226">
        <f>IF(G1226="PUBLICA(1)",1,IF(G1226="USO INTERNO(2)",2,IF(G1226="RESTRINGIDO(3)",3,0)))+IF(H1226="BAJA(1)",1,IF(H1226="MEDIA(2)",2,IF(H1226="ALTA(3)",3,0)))+IF(I1226="BAJA(1)",1,IF(I1226="MEDIA(2)",2,IF(I1226="ALTA(3)",3,0)))</f>
        <v/>
      </c>
      <c r="K1226">
        <f>IF(J1226="", "", IF(J1226&gt;=8,"ALTA",IF(J1226&gt;=6,"MEDIA","BAJA")))</f>
        <v/>
      </c>
      <c r="L1226">
        <f>IF(INVENTARIO!Y1226="","",INVENTARIO!Y1226)</f>
        <v/>
      </c>
      <c r="M1226">
        <f>IF(INVENTARIO!Z1226="","",INVENTARIO!Z1226)</f>
        <v/>
      </c>
      <c r="N1226">
        <f>IF(INVENTARIO!AA1226="","",INVENTARIO!AA1226)</f>
        <v/>
      </c>
      <c r="O1226">
        <f>IF(INVENTARIO!AB1226="","",INVENTARIO!AB1226)</f>
        <v/>
      </c>
      <c r="P1226">
        <f>IF(INVENTARIO!AC1226="","",INVENTARIO!AC1226)</f>
        <v/>
      </c>
      <c r="Q1226">
        <f>IF(AND(K1226="",N1226="",L1226=""),"",IF(AND((K1226="ALTA"),OR(LEFT(N1226,2)="L0",LEFT(N1226,2)="L1",L1226="No Iniciado")),"CRÍTICO - Incumplimiento Normativo SEPS",IF(AND(OR(LEFT(N1226,2)="L4",LEFT(N1226,2)="L5"),AND(P1226&lt;&gt;"",P1226&lt;&gt;"N/A")),"CONFORME - Control Efectivo ISO 27001","OBSERVACIÓN - Revisar Controles")))</f>
        <v/>
      </c>
    </row>
    <row r="1227">
      <c r="A1227">
        <f>IF(INVENTARIO!A1227="","",INVENTARIO!A1227)</f>
        <v/>
      </c>
      <c r="B1227">
        <f>IF(INVENTARIO!E1227="","",INVENTARIO!E1227)</f>
        <v/>
      </c>
      <c r="C1227">
        <f>IF(INVENTARIO!F1227="","",INVENTARIO!F1227)</f>
        <v/>
      </c>
      <c r="D1227">
        <f>IF(INVENTARIO!H1227="","",INVENTARIO!H1227)</f>
        <v/>
      </c>
      <c r="E1227">
        <f>IF(INVENTARIO!I1227="","",INVENTARIO!I1227)</f>
        <v/>
      </c>
      <c r="F1227">
        <f>IF(INVENTARIO!N1227="","",INVENTARIO!N1227)</f>
        <v/>
      </c>
      <c r="G1227">
        <f>IF(INVENTARIO!P1227="","",INVENTARIO!P1227)</f>
        <v/>
      </c>
      <c r="H1227">
        <f>IF(INVENTARIO!Q1227="","",INVENTARIO!Q1227)</f>
        <v/>
      </c>
      <c r="I1227">
        <f>IF(INVENTARIO!R1227="","",INVENTARIO!R1227)</f>
        <v/>
      </c>
      <c r="J1227">
        <f>IF(G1227="PUBLICA(1)",1,IF(G1227="USO INTERNO(2)",2,IF(G1227="RESTRINGIDO(3)",3,0)))+IF(H1227="BAJA(1)",1,IF(H1227="MEDIA(2)",2,IF(H1227="ALTA(3)",3,0)))+IF(I1227="BAJA(1)",1,IF(I1227="MEDIA(2)",2,IF(I1227="ALTA(3)",3,0)))</f>
        <v/>
      </c>
      <c r="K1227">
        <f>IF(J1227="", "", IF(J1227&gt;=8,"ALTA",IF(J1227&gt;=6,"MEDIA","BAJA")))</f>
        <v/>
      </c>
      <c r="L1227">
        <f>IF(INVENTARIO!Y1227="","",INVENTARIO!Y1227)</f>
        <v/>
      </c>
      <c r="M1227">
        <f>IF(INVENTARIO!Z1227="","",INVENTARIO!Z1227)</f>
        <v/>
      </c>
      <c r="N1227">
        <f>IF(INVENTARIO!AA1227="","",INVENTARIO!AA1227)</f>
        <v/>
      </c>
      <c r="O1227">
        <f>IF(INVENTARIO!AB1227="","",INVENTARIO!AB1227)</f>
        <v/>
      </c>
      <c r="P1227">
        <f>IF(INVENTARIO!AC1227="","",INVENTARIO!AC1227)</f>
        <v/>
      </c>
      <c r="Q1227">
        <f>IF(AND(K1227="",N1227="",L1227=""),"",IF(AND((K1227="ALTA"),OR(LEFT(N1227,2)="L0",LEFT(N1227,2)="L1",L1227="No Iniciado")),"CRÍTICO - Incumplimiento Normativo SEPS",IF(AND(OR(LEFT(N1227,2)="L4",LEFT(N1227,2)="L5"),AND(P1227&lt;&gt;"",P1227&lt;&gt;"N/A")),"CONFORME - Control Efectivo ISO 27001","OBSERVACIÓN - Revisar Controles")))</f>
        <v/>
      </c>
    </row>
    <row r="1228">
      <c r="A1228">
        <f>IF(INVENTARIO!A1228="","",INVENTARIO!A1228)</f>
        <v/>
      </c>
      <c r="B1228">
        <f>IF(INVENTARIO!E1228="","",INVENTARIO!E1228)</f>
        <v/>
      </c>
      <c r="C1228">
        <f>IF(INVENTARIO!F1228="","",INVENTARIO!F1228)</f>
        <v/>
      </c>
      <c r="D1228">
        <f>IF(INVENTARIO!H1228="","",INVENTARIO!H1228)</f>
        <v/>
      </c>
      <c r="E1228">
        <f>IF(INVENTARIO!I1228="","",INVENTARIO!I1228)</f>
        <v/>
      </c>
      <c r="F1228">
        <f>IF(INVENTARIO!N1228="","",INVENTARIO!N1228)</f>
        <v/>
      </c>
      <c r="G1228">
        <f>IF(INVENTARIO!P1228="","",INVENTARIO!P1228)</f>
        <v/>
      </c>
      <c r="H1228">
        <f>IF(INVENTARIO!Q1228="","",INVENTARIO!Q1228)</f>
        <v/>
      </c>
      <c r="I1228">
        <f>IF(INVENTARIO!R1228="","",INVENTARIO!R1228)</f>
        <v/>
      </c>
      <c r="J1228">
        <f>IF(G1228="PUBLICA(1)",1,IF(G1228="USO INTERNO(2)",2,IF(G1228="RESTRINGIDO(3)",3,0)))+IF(H1228="BAJA(1)",1,IF(H1228="MEDIA(2)",2,IF(H1228="ALTA(3)",3,0)))+IF(I1228="BAJA(1)",1,IF(I1228="MEDIA(2)",2,IF(I1228="ALTA(3)",3,0)))</f>
        <v/>
      </c>
      <c r="K1228">
        <f>IF(J1228="", "", IF(J1228&gt;=8,"ALTA",IF(J1228&gt;=6,"MEDIA","BAJA")))</f>
        <v/>
      </c>
      <c r="L1228">
        <f>IF(INVENTARIO!Y1228="","",INVENTARIO!Y1228)</f>
        <v/>
      </c>
      <c r="M1228">
        <f>IF(INVENTARIO!Z1228="","",INVENTARIO!Z1228)</f>
        <v/>
      </c>
      <c r="N1228">
        <f>IF(INVENTARIO!AA1228="","",INVENTARIO!AA1228)</f>
        <v/>
      </c>
      <c r="O1228">
        <f>IF(INVENTARIO!AB1228="","",INVENTARIO!AB1228)</f>
        <v/>
      </c>
      <c r="P1228">
        <f>IF(INVENTARIO!AC1228="","",INVENTARIO!AC1228)</f>
        <v/>
      </c>
      <c r="Q1228">
        <f>IF(AND(K1228="",N1228="",L1228=""),"",IF(AND((K1228="ALTA"),OR(LEFT(N1228,2)="L0",LEFT(N1228,2)="L1",L1228="No Iniciado")),"CRÍTICO - Incumplimiento Normativo SEPS",IF(AND(OR(LEFT(N1228,2)="L4",LEFT(N1228,2)="L5"),AND(P1228&lt;&gt;"",P1228&lt;&gt;"N/A")),"CONFORME - Control Efectivo ISO 27001","OBSERVACIÓN - Revisar Controles")))</f>
        <v/>
      </c>
    </row>
    <row r="1229">
      <c r="A1229">
        <f>IF(INVENTARIO!A1229="","",INVENTARIO!A1229)</f>
        <v/>
      </c>
      <c r="B1229">
        <f>IF(INVENTARIO!E1229="","",INVENTARIO!E1229)</f>
        <v/>
      </c>
      <c r="C1229">
        <f>IF(INVENTARIO!F1229="","",INVENTARIO!F1229)</f>
        <v/>
      </c>
      <c r="D1229">
        <f>IF(INVENTARIO!H1229="","",INVENTARIO!H1229)</f>
        <v/>
      </c>
      <c r="E1229">
        <f>IF(INVENTARIO!I1229="","",INVENTARIO!I1229)</f>
        <v/>
      </c>
      <c r="F1229">
        <f>IF(INVENTARIO!N1229="","",INVENTARIO!N1229)</f>
        <v/>
      </c>
      <c r="G1229">
        <f>IF(INVENTARIO!P1229="","",INVENTARIO!P1229)</f>
        <v/>
      </c>
      <c r="H1229">
        <f>IF(INVENTARIO!Q1229="","",INVENTARIO!Q1229)</f>
        <v/>
      </c>
      <c r="I1229">
        <f>IF(INVENTARIO!R1229="","",INVENTARIO!R1229)</f>
        <v/>
      </c>
      <c r="J1229">
        <f>IF(G1229="PUBLICA(1)",1,IF(G1229="USO INTERNO(2)",2,IF(G1229="RESTRINGIDO(3)",3,0)))+IF(H1229="BAJA(1)",1,IF(H1229="MEDIA(2)",2,IF(H1229="ALTA(3)",3,0)))+IF(I1229="BAJA(1)",1,IF(I1229="MEDIA(2)",2,IF(I1229="ALTA(3)",3,0)))</f>
        <v/>
      </c>
      <c r="K1229">
        <f>IF(J1229="", "", IF(J1229&gt;=8,"ALTA",IF(J1229&gt;=6,"MEDIA","BAJA")))</f>
        <v/>
      </c>
      <c r="L1229">
        <f>IF(INVENTARIO!Y1229="","",INVENTARIO!Y1229)</f>
        <v/>
      </c>
      <c r="M1229">
        <f>IF(INVENTARIO!Z1229="","",INVENTARIO!Z1229)</f>
        <v/>
      </c>
      <c r="N1229">
        <f>IF(INVENTARIO!AA1229="","",INVENTARIO!AA1229)</f>
        <v/>
      </c>
      <c r="O1229">
        <f>IF(INVENTARIO!AB1229="","",INVENTARIO!AB1229)</f>
        <v/>
      </c>
      <c r="P1229">
        <f>IF(INVENTARIO!AC1229="","",INVENTARIO!AC1229)</f>
        <v/>
      </c>
      <c r="Q1229">
        <f>IF(AND(K1229="",N1229="",L1229=""),"",IF(AND((K1229="ALTA"),OR(LEFT(N1229,2)="L0",LEFT(N1229,2)="L1",L1229="No Iniciado")),"CRÍTICO - Incumplimiento Normativo SEPS",IF(AND(OR(LEFT(N1229,2)="L4",LEFT(N1229,2)="L5"),AND(P1229&lt;&gt;"",P1229&lt;&gt;"N/A")),"CONFORME - Control Efectivo ISO 27001","OBSERVACIÓN - Revisar Controles")))</f>
        <v/>
      </c>
    </row>
    <row r="1230">
      <c r="A1230">
        <f>IF(INVENTARIO!A1230="","",INVENTARIO!A1230)</f>
        <v/>
      </c>
      <c r="B1230">
        <f>IF(INVENTARIO!E1230="","",INVENTARIO!E1230)</f>
        <v/>
      </c>
      <c r="C1230">
        <f>IF(INVENTARIO!F1230="","",INVENTARIO!F1230)</f>
        <v/>
      </c>
      <c r="D1230">
        <f>IF(INVENTARIO!H1230="","",INVENTARIO!H1230)</f>
        <v/>
      </c>
      <c r="E1230">
        <f>IF(INVENTARIO!I1230="","",INVENTARIO!I1230)</f>
        <v/>
      </c>
      <c r="F1230">
        <f>IF(INVENTARIO!N1230="","",INVENTARIO!N1230)</f>
        <v/>
      </c>
      <c r="G1230">
        <f>IF(INVENTARIO!P1230="","",INVENTARIO!P1230)</f>
        <v/>
      </c>
      <c r="H1230">
        <f>IF(INVENTARIO!Q1230="","",INVENTARIO!Q1230)</f>
        <v/>
      </c>
      <c r="I1230">
        <f>IF(INVENTARIO!R1230="","",INVENTARIO!R1230)</f>
        <v/>
      </c>
      <c r="J1230">
        <f>IF(G1230="PUBLICA(1)",1,IF(G1230="USO INTERNO(2)",2,IF(G1230="RESTRINGIDO(3)",3,0)))+IF(H1230="BAJA(1)",1,IF(H1230="MEDIA(2)",2,IF(H1230="ALTA(3)",3,0)))+IF(I1230="BAJA(1)",1,IF(I1230="MEDIA(2)",2,IF(I1230="ALTA(3)",3,0)))</f>
        <v/>
      </c>
      <c r="K1230">
        <f>IF(J1230="", "", IF(J1230&gt;=8,"ALTA",IF(J1230&gt;=6,"MEDIA","BAJA")))</f>
        <v/>
      </c>
      <c r="L1230">
        <f>IF(INVENTARIO!Y1230="","",INVENTARIO!Y1230)</f>
        <v/>
      </c>
      <c r="M1230">
        <f>IF(INVENTARIO!Z1230="","",INVENTARIO!Z1230)</f>
        <v/>
      </c>
      <c r="N1230">
        <f>IF(INVENTARIO!AA1230="","",INVENTARIO!AA1230)</f>
        <v/>
      </c>
      <c r="O1230">
        <f>IF(INVENTARIO!AB1230="","",INVENTARIO!AB1230)</f>
        <v/>
      </c>
      <c r="P1230">
        <f>IF(INVENTARIO!AC1230="","",INVENTARIO!AC1230)</f>
        <v/>
      </c>
      <c r="Q1230">
        <f>IF(AND(K1230="",N1230="",L1230=""),"",IF(AND((K1230="ALTA"),OR(LEFT(N1230,2)="L0",LEFT(N1230,2)="L1",L1230="No Iniciado")),"CRÍTICO - Incumplimiento Normativo SEPS",IF(AND(OR(LEFT(N1230,2)="L4",LEFT(N1230,2)="L5"),AND(P1230&lt;&gt;"",P1230&lt;&gt;"N/A")),"CONFORME - Control Efectivo ISO 27001","OBSERVACIÓN - Revisar Controles")))</f>
        <v/>
      </c>
    </row>
    <row r="1231">
      <c r="A1231">
        <f>IF(INVENTARIO!A1231="","",INVENTARIO!A1231)</f>
        <v/>
      </c>
      <c r="B1231">
        <f>IF(INVENTARIO!E1231="","",INVENTARIO!E1231)</f>
        <v/>
      </c>
      <c r="C1231">
        <f>IF(INVENTARIO!F1231="","",INVENTARIO!F1231)</f>
        <v/>
      </c>
      <c r="D1231">
        <f>IF(INVENTARIO!H1231="","",INVENTARIO!H1231)</f>
        <v/>
      </c>
      <c r="E1231">
        <f>IF(INVENTARIO!I1231="","",INVENTARIO!I1231)</f>
        <v/>
      </c>
      <c r="F1231">
        <f>IF(INVENTARIO!N1231="","",INVENTARIO!N1231)</f>
        <v/>
      </c>
      <c r="G1231">
        <f>IF(INVENTARIO!P1231="","",INVENTARIO!P1231)</f>
        <v/>
      </c>
      <c r="H1231">
        <f>IF(INVENTARIO!Q1231="","",INVENTARIO!Q1231)</f>
        <v/>
      </c>
      <c r="I1231">
        <f>IF(INVENTARIO!R1231="","",INVENTARIO!R1231)</f>
        <v/>
      </c>
      <c r="J1231">
        <f>IF(G1231="PUBLICA(1)",1,IF(G1231="USO INTERNO(2)",2,IF(G1231="RESTRINGIDO(3)",3,0)))+IF(H1231="BAJA(1)",1,IF(H1231="MEDIA(2)",2,IF(H1231="ALTA(3)",3,0)))+IF(I1231="BAJA(1)",1,IF(I1231="MEDIA(2)",2,IF(I1231="ALTA(3)",3,0)))</f>
        <v/>
      </c>
      <c r="K1231">
        <f>IF(J1231="", "", IF(J1231&gt;=8,"ALTA",IF(J1231&gt;=6,"MEDIA","BAJA")))</f>
        <v/>
      </c>
      <c r="L1231">
        <f>IF(INVENTARIO!Y1231="","",INVENTARIO!Y1231)</f>
        <v/>
      </c>
      <c r="M1231">
        <f>IF(INVENTARIO!Z1231="","",INVENTARIO!Z1231)</f>
        <v/>
      </c>
      <c r="N1231">
        <f>IF(INVENTARIO!AA1231="","",INVENTARIO!AA1231)</f>
        <v/>
      </c>
      <c r="O1231">
        <f>IF(INVENTARIO!AB1231="","",INVENTARIO!AB1231)</f>
        <v/>
      </c>
      <c r="P1231">
        <f>IF(INVENTARIO!AC1231="","",INVENTARIO!AC1231)</f>
        <v/>
      </c>
      <c r="Q1231">
        <f>IF(AND(K1231="",N1231="",L1231=""),"",IF(AND((K1231="ALTA"),OR(LEFT(N1231,2)="L0",LEFT(N1231,2)="L1",L1231="No Iniciado")),"CRÍTICO - Incumplimiento Normativo SEPS",IF(AND(OR(LEFT(N1231,2)="L4",LEFT(N1231,2)="L5"),AND(P1231&lt;&gt;"",P1231&lt;&gt;"N/A")),"CONFORME - Control Efectivo ISO 27001","OBSERVACIÓN - Revisar Controles")))</f>
        <v/>
      </c>
    </row>
    <row r="1232">
      <c r="A1232">
        <f>IF(INVENTARIO!A1232="","",INVENTARIO!A1232)</f>
        <v/>
      </c>
      <c r="B1232">
        <f>IF(INVENTARIO!E1232="","",INVENTARIO!E1232)</f>
        <v/>
      </c>
      <c r="C1232">
        <f>IF(INVENTARIO!F1232="","",INVENTARIO!F1232)</f>
        <v/>
      </c>
      <c r="D1232">
        <f>IF(INVENTARIO!H1232="","",INVENTARIO!H1232)</f>
        <v/>
      </c>
      <c r="E1232">
        <f>IF(INVENTARIO!I1232="","",INVENTARIO!I1232)</f>
        <v/>
      </c>
      <c r="F1232">
        <f>IF(INVENTARIO!N1232="","",INVENTARIO!N1232)</f>
        <v/>
      </c>
      <c r="G1232">
        <f>IF(INVENTARIO!P1232="","",INVENTARIO!P1232)</f>
        <v/>
      </c>
      <c r="H1232">
        <f>IF(INVENTARIO!Q1232="","",INVENTARIO!Q1232)</f>
        <v/>
      </c>
      <c r="I1232">
        <f>IF(INVENTARIO!R1232="","",INVENTARIO!R1232)</f>
        <v/>
      </c>
      <c r="J1232">
        <f>IF(G1232="PUBLICA(1)",1,IF(G1232="USO INTERNO(2)",2,IF(G1232="RESTRINGIDO(3)",3,0)))+IF(H1232="BAJA(1)",1,IF(H1232="MEDIA(2)",2,IF(H1232="ALTA(3)",3,0)))+IF(I1232="BAJA(1)",1,IF(I1232="MEDIA(2)",2,IF(I1232="ALTA(3)",3,0)))</f>
        <v/>
      </c>
      <c r="K1232">
        <f>IF(J1232="", "", IF(J1232&gt;=8,"ALTA",IF(J1232&gt;=6,"MEDIA","BAJA")))</f>
        <v/>
      </c>
      <c r="L1232">
        <f>IF(INVENTARIO!Y1232="","",INVENTARIO!Y1232)</f>
        <v/>
      </c>
      <c r="M1232">
        <f>IF(INVENTARIO!Z1232="","",INVENTARIO!Z1232)</f>
        <v/>
      </c>
      <c r="N1232">
        <f>IF(INVENTARIO!AA1232="","",INVENTARIO!AA1232)</f>
        <v/>
      </c>
      <c r="O1232">
        <f>IF(INVENTARIO!AB1232="","",INVENTARIO!AB1232)</f>
        <v/>
      </c>
      <c r="P1232">
        <f>IF(INVENTARIO!AC1232="","",INVENTARIO!AC1232)</f>
        <v/>
      </c>
      <c r="Q1232">
        <f>IF(AND(K1232="",N1232="",L1232=""),"",IF(AND((K1232="ALTA"),OR(LEFT(N1232,2)="L0",LEFT(N1232,2)="L1",L1232="No Iniciado")),"CRÍTICO - Incumplimiento Normativo SEPS",IF(AND(OR(LEFT(N1232,2)="L4",LEFT(N1232,2)="L5"),AND(P1232&lt;&gt;"",P1232&lt;&gt;"N/A")),"CONFORME - Control Efectivo ISO 27001","OBSERVACIÓN - Revisar Controles")))</f>
        <v/>
      </c>
    </row>
    <row r="1233">
      <c r="A1233">
        <f>IF(INVENTARIO!A1233="","",INVENTARIO!A1233)</f>
        <v/>
      </c>
      <c r="B1233">
        <f>IF(INVENTARIO!E1233="","",INVENTARIO!E1233)</f>
        <v/>
      </c>
      <c r="C1233">
        <f>IF(INVENTARIO!F1233="","",INVENTARIO!F1233)</f>
        <v/>
      </c>
      <c r="D1233">
        <f>IF(INVENTARIO!H1233="","",INVENTARIO!H1233)</f>
        <v/>
      </c>
      <c r="E1233">
        <f>IF(INVENTARIO!I1233="","",INVENTARIO!I1233)</f>
        <v/>
      </c>
      <c r="F1233">
        <f>IF(INVENTARIO!N1233="","",INVENTARIO!N1233)</f>
        <v/>
      </c>
      <c r="G1233">
        <f>IF(INVENTARIO!P1233="","",INVENTARIO!P1233)</f>
        <v/>
      </c>
      <c r="H1233">
        <f>IF(INVENTARIO!Q1233="","",INVENTARIO!Q1233)</f>
        <v/>
      </c>
      <c r="I1233">
        <f>IF(INVENTARIO!R1233="","",INVENTARIO!R1233)</f>
        <v/>
      </c>
      <c r="J1233">
        <f>IF(G1233="PUBLICA(1)",1,IF(G1233="USO INTERNO(2)",2,IF(G1233="RESTRINGIDO(3)",3,0)))+IF(H1233="BAJA(1)",1,IF(H1233="MEDIA(2)",2,IF(H1233="ALTA(3)",3,0)))+IF(I1233="BAJA(1)",1,IF(I1233="MEDIA(2)",2,IF(I1233="ALTA(3)",3,0)))</f>
        <v/>
      </c>
      <c r="K1233">
        <f>IF(J1233="", "", IF(J1233&gt;=8,"ALTA",IF(J1233&gt;=6,"MEDIA","BAJA")))</f>
        <v/>
      </c>
      <c r="L1233">
        <f>IF(INVENTARIO!Y1233="","",INVENTARIO!Y1233)</f>
        <v/>
      </c>
      <c r="M1233">
        <f>IF(INVENTARIO!Z1233="","",INVENTARIO!Z1233)</f>
        <v/>
      </c>
      <c r="N1233">
        <f>IF(INVENTARIO!AA1233="","",INVENTARIO!AA1233)</f>
        <v/>
      </c>
      <c r="O1233">
        <f>IF(INVENTARIO!AB1233="","",INVENTARIO!AB1233)</f>
        <v/>
      </c>
      <c r="P1233">
        <f>IF(INVENTARIO!AC1233="","",INVENTARIO!AC1233)</f>
        <v/>
      </c>
      <c r="Q1233">
        <f>IF(AND(K1233="",N1233="",L1233=""),"",IF(AND((K1233="ALTA"),OR(LEFT(N1233,2)="L0",LEFT(N1233,2)="L1",L1233="No Iniciado")),"CRÍTICO - Incumplimiento Normativo SEPS",IF(AND(OR(LEFT(N1233,2)="L4",LEFT(N1233,2)="L5"),AND(P1233&lt;&gt;"",P1233&lt;&gt;"N/A")),"CONFORME - Control Efectivo ISO 27001","OBSERVACIÓN - Revisar Controles")))</f>
        <v/>
      </c>
    </row>
    <row r="1234">
      <c r="A1234">
        <f>IF(INVENTARIO!A1234="","",INVENTARIO!A1234)</f>
        <v/>
      </c>
      <c r="B1234">
        <f>IF(INVENTARIO!E1234="","",INVENTARIO!E1234)</f>
        <v/>
      </c>
      <c r="C1234">
        <f>IF(INVENTARIO!F1234="","",INVENTARIO!F1234)</f>
        <v/>
      </c>
      <c r="D1234">
        <f>IF(INVENTARIO!H1234="","",INVENTARIO!H1234)</f>
        <v/>
      </c>
      <c r="E1234">
        <f>IF(INVENTARIO!I1234="","",INVENTARIO!I1234)</f>
        <v/>
      </c>
      <c r="F1234">
        <f>IF(INVENTARIO!N1234="","",INVENTARIO!N1234)</f>
        <v/>
      </c>
      <c r="G1234">
        <f>IF(INVENTARIO!P1234="","",INVENTARIO!P1234)</f>
        <v/>
      </c>
      <c r="H1234">
        <f>IF(INVENTARIO!Q1234="","",INVENTARIO!Q1234)</f>
        <v/>
      </c>
      <c r="I1234">
        <f>IF(INVENTARIO!R1234="","",INVENTARIO!R1234)</f>
        <v/>
      </c>
      <c r="J1234">
        <f>IF(G1234="PUBLICA(1)",1,IF(G1234="USO INTERNO(2)",2,IF(G1234="RESTRINGIDO(3)",3,0)))+IF(H1234="BAJA(1)",1,IF(H1234="MEDIA(2)",2,IF(H1234="ALTA(3)",3,0)))+IF(I1234="BAJA(1)",1,IF(I1234="MEDIA(2)",2,IF(I1234="ALTA(3)",3,0)))</f>
        <v/>
      </c>
      <c r="K1234">
        <f>IF(J1234="", "", IF(J1234&gt;=8,"ALTA",IF(J1234&gt;=6,"MEDIA","BAJA")))</f>
        <v/>
      </c>
      <c r="L1234">
        <f>IF(INVENTARIO!Y1234="","",INVENTARIO!Y1234)</f>
        <v/>
      </c>
      <c r="M1234">
        <f>IF(INVENTARIO!Z1234="","",INVENTARIO!Z1234)</f>
        <v/>
      </c>
      <c r="N1234">
        <f>IF(INVENTARIO!AA1234="","",INVENTARIO!AA1234)</f>
        <v/>
      </c>
      <c r="O1234">
        <f>IF(INVENTARIO!AB1234="","",INVENTARIO!AB1234)</f>
        <v/>
      </c>
      <c r="P1234">
        <f>IF(INVENTARIO!AC1234="","",INVENTARIO!AC1234)</f>
        <v/>
      </c>
      <c r="Q1234">
        <f>IF(AND(K1234="",N1234="",L1234=""),"",IF(AND((K1234="ALTA"),OR(LEFT(N1234,2)="L0",LEFT(N1234,2)="L1",L1234="No Iniciado")),"CRÍTICO - Incumplimiento Normativo SEPS",IF(AND(OR(LEFT(N1234,2)="L4",LEFT(N1234,2)="L5"),AND(P1234&lt;&gt;"",P1234&lt;&gt;"N/A")),"CONFORME - Control Efectivo ISO 27001","OBSERVACIÓN - Revisar Controles")))</f>
        <v/>
      </c>
    </row>
    <row r="1235">
      <c r="A1235">
        <f>IF(INVENTARIO!A1235="","",INVENTARIO!A1235)</f>
        <v/>
      </c>
      <c r="B1235">
        <f>IF(INVENTARIO!E1235="","",INVENTARIO!E1235)</f>
        <v/>
      </c>
      <c r="C1235">
        <f>IF(INVENTARIO!F1235="","",INVENTARIO!F1235)</f>
        <v/>
      </c>
      <c r="D1235">
        <f>IF(INVENTARIO!H1235="","",INVENTARIO!H1235)</f>
        <v/>
      </c>
      <c r="E1235">
        <f>IF(INVENTARIO!I1235="","",INVENTARIO!I1235)</f>
        <v/>
      </c>
      <c r="F1235">
        <f>IF(INVENTARIO!N1235="","",INVENTARIO!N1235)</f>
        <v/>
      </c>
      <c r="G1235">
        <f>IF(INVENTARIO!P1235="","",INVENTARIO!P1235)</f>
        <v/>
      </c>
      <c r="H1235">
        <f>IF(INVENTARIO!Q1235="","",INVENTARIO!Q1235)</f>
        <v/>
      </c>
      <c r="I1235">
        <f>IF(INVENTARIO!R1235="","",INVENTARIO!R1235)</f>
        <v/>
      </c>
      <c r="J1235">
        <f>IF(G1235="PUBLICA(1)",1,IF(G1235="USO INTERNO(2)",2,IF(G1235="RESTRINGIDO(3)",3,0)))+IF(H1235="BAJA(1)",1,IF(H1235="MEDIA(2)",2,IF(H1235="ALTA(3)",3,0)))+IF(I1235="BAJA(1)",1,IF(I1235="MEDIA(2)",2,IF(I1235="ALTA(3)",3,0)))</f>
        <v/>
      </c>
      <c r="K1235">
        <f>IF(J1235="", "", IF(J1235&gt;=8,"ALTA",IF(J1235&gt;=6,"MEDIA","BAJA")))</f>
        <v/>
      </c>
      <c r="L1235">
        <f>IF(INVENTARIO!Y1235="","",INVENTARIO!Y1235)</f>
        <v/>
      </c>
      <c r="M1235">
        <f>IF(INVENTARIO!Z1235="","",INVENTARIO!Z1235)</f>
        <v/>
      </c>
      <c r="N1235">
        <f>IF(INVENTARIO!AA1235="","",INVENTARIO!AA1235)</f>
        <v/>
      </c>
      <c r="O1235">
        <f>IF(INVENTARIO!AB1235="","",INVENTARIO!AB1235)</f>
        <v/>
      </c>
      <c r="P1235">
        <f>IF(INVENTARIO!AC1235="","",INVENTARIO!AC1235)</f>
        <v/>
      </c>
      <c r="Q1235">
        <f>IF(AND(K1235="",N1235="",L1235=""),"",IF(AND((K1235="ALTA"),OR(LEFT(N1235,2)="L0",LEFT(N1235,2)="L1",L1235="No Iniciado")),"CRÍTICO - Incumplimiento Normativo SEPS",IF(AND(OR(LEFT(N1235,2)="L4",LEFT(N1235,2)="L5"),AND(P1235&lt;&gt;"",P1235&lt;&gt;"N/A")),"CONFORME - Control Efectivo ISO 27001","OBSERVACIÓN - Revisar Controles")))</f>
        <v/>
      </c>
    </row>
    <row r="1236">
      <c r="A1236">
        <f>IF(INVENTARIO!A1236="","",INVENTARIO!A1236)</f>
        <v/>
      </c>
      <c r="B1236">
        <f>IF(INVENTARIO!E1236="","",INVENTARIO!E1236)</f>
        <v/>
      </c>
      <c r="C1236">
        <f>IF(INVENTARIO!F1236="","",INVENTARIO!F1236)</f>
        <v/>
      </c>
      <c r="D1236">
        <f>IF(INVENTARIO!H1236="","",INVENTARIO!H1236)</f>
        <v/>
      </c>
      <c r="E1236">
        <f>IF(INVENTARIO!I1236="","",INVENTARIO!I1236)</f>
        <v/>
      </c>
      <c r="F1236">
        <f>IF(INVENTARIO!N1236="","",INVENTARIO!N1236)</f>
        <v/>
      </c>
      <c r="G1236">
        <f>IF(INVENTARIO!P1236="","",INVENTARIO!P1236)</f>
        <v/>
      </c>
      <c r="H1236">
        <f>IF(INVENTARIO!Q1236="","",INVENTARIO!Q1236)</f>
        <v/>
      </c>
      <c r="I1236">
        <f>IF(INVENTARIO!R1236="","",INVENTARIO!R1236)</f>
        <v/>
      </c>
      <c r="J1236">
        <f>IF(G1236="PUBLICA(1)",1,IF(G1236="USO INTERNO(2)",2,IF(G1236="RESTRINGIDO(3)",3,0)))+IF(H1236="BAJA(1)",1,IF(H1236="MEDIA(2)",2,IF(H1236="ALTA(3)",3,0)))+IF(I1236="BAJA(1)",1,IF(I1236="MEDIA(2)",2,IF(I1236="ALTA(3)",3,0)))</f>
        <v/>
      </c>
      <c r="K1236">
        <f>IF(J1236="", "", IF(J1236&gt;=8,"ALTA",IF(J1236&gt;=6,"MEDIA","BAJA")))</f>
        <v/>
      </c>
      <c r="L1236">
        <f>IF(INVENTARIO!Y1236="","",INVENTARIO!Y1236)</f>
        <v/>
      </c>
      <c r="M1236">
        <f>IF(INVENTARIO!Z1236="","",INVENTARIO!Z1236)</f>
        <v/>
      </c>
      <c r="N1236">
        <f>IF(INVENTARIO!AA1236="","",INVENTARIO!AA1236)</f>
        <v/>
      </c>
      <c r="O1236">
        <f>IF(INVENTARIO!AB1236="","",INVENTARIO!AB1236)</f>
        <v/>
      </c>
      <c r="P1236">
        <f>IF(INVENTARIO!AC1236="","",INVENTARIO!AC1236)</f>
        <v/>
      </c>
      <c r="Q1236">
        <f>IF(AND(K1236="",N1236="",L1236=""),"",IF(AND((K1236="ALTA"),OR(LEFT(N1236,2)="L0",LEFT(N1236,2)="L1",L1236="No Iniciado")),"CRÍTICO - Incumplimiento Normativo SEPS",IF(AND(OR(LEFT(N1236,2)="L4",LEFT(N1236,2)="L5"),AND(P1236&lt;&gt;"",P1236&lt;&gt;"N/A")),"CONFORME - Control Efectivo ISO 27001","OBSERVACIÓN - Revisar Controles")))</f>
        <v/>
      </c>
    </row>
    <row r="1237">
      <c r="A1237">
        <f>IF(INVENTARIO!A1237="","",INVENTARIO!A1237)</f>
        <v/>
      </c>
      <c r="B1237">
        <f>IF(INVENTARIO!E1237="","",INVENTARIO!E1237)</f>
        <v/>
      </c>
      <c r="C1237">
        <f>IF(INVENTARIO!F1237="","",INVENTARIO!F1237)</f>
        <v/>
      </c>
      <c r="D1237">
        <f>IF(INVENTARIO!H1237="","",INVENTARIO!H1237)</f>
        <v/>
      </c>
      <c r="E1237">
        <f>IF(INVENTARIO!I1237="","",INVENTARIO!I1237)</f>
        <v/>
      </c>
      <c r="F1237">
        <f>IF(INVENTARIO!N1237="","",INVENTARIO!N1237)</f>
        <v/>
      </c>
      <c r="G1237">
        <f>IF(INVENTARIO!P1237="","",INVENTARIO!P1237)</f>
        <v/>
      </c>
      <c r="H1237">
        <f>IF(INVENTARIO!Q1237="","",INVENTARIO!Q1237)</f>
        <v/>
      </c>
      <c r="I1237">
        <f>IF(INVENTARIO!R1237="","",INVENTARIO!R1237)</f>
        <v/>
      </c>
      <c r="J1237">
        <f>IF(G1237="PUBLICA(1)",1,IF(G1237="USO INTERNO(2)",2,IF(G1237="RESTRINGIDO(3)",3,0)))+IF(H1237="BAJA(1)",1,IF(H1237="MEDIA(2)",2,IF(H1237="ALTA(3)",3,0)))+IF(I1237="BAJA(1)",1,IF(I1237="MEDIA(2)",2,IF(I1237="ALTA(3)",3,0)))</f>
        <v/>
      </c>
      <c r="K1237">
        <f>IF(J1237="", "", IF(J1237&gt;=8,"ALTA",IF(J1237&gt;=6,"MEDIA","BAJA")))</f>
        <v/>
      </c>
      <c r="L1237">
        <f>IF(INVENTARIO!Y1237="","",INVENTARIO!Y1237)</f>
        <v/>
      </c>
      <c r="M1237">
        <f>IF(INVENTARIO!Z1237="","",INVENTARIO!Z1237)</f>
        <v/>
      </c>
      <c r="N1237">
        <f>IF(INVENTARIO!AA1237="","",INVENTARIO!AA1237)</f>
        <v/>
      </c>
      <c r="O1237">
        <f>IF(INVENTARIO!AB1237="","",INVENTARIO!AB1237)</f>
        <v/>
      </c>
      <c r="P1237">
        <f>IF(INVENTARIO!AC1237="","",INVENTARIO!AC1237)</f>
        <v/>
      </c>
      <c r="Q1237">
        <f>IF(AND(K1237="",N1237="",L1237=""),"",IF(AND((K1237="ALTA"),OR(LEFT(N1237,2)="L0",LEFT(N1237,2)="L1",L1237="No Iniciado")),"CRÍTICO - Incumplimiento Normativo SEPS",IF(AND(OR(LEFT(N1237,2)="L4",LEFT(N1237,2)="L5"),AND(P1237&lt;&gt;"",P1237&lt;&gt;"N/A")),"CONFORME - Control Efectivo ISO 27001","OBSERVACIÓN - Revisar Controles")))</f>
        <v/>
      </c>
    </row>
    <row r="1238">
      <c r="A1238">
        <f>IF(INVENTARIO!A1238="","",INVENTARIO!A1238)</f>
        <v/>
      </c>
      <c r="B1238">
        <f>IF(INVENTARIO!E1238="","",INVENTARIO!E1238)</f>
        <v/>
      </c>
      <c r="C1238">
        <f>IF(INVENTARIO!F1238="","",INVENTARIO!F1238)</f>
        <v/>
      </c>
      <c r="D1238">
        <f>IF(INVENTARIO!H1238="","",INVENTARIO!H1238)</f>
        <v/>
      </c>
      <c r="E1238">
        <f>IF(INVENTARIO!I1238="","",INVENTARIO!I1238)</f>
        <v/>
      </c>
      <c r="F1238">
        <f>IF(INVENTARIO!N1238="","",INVENTARIO!N1238)</f>
        <v/>
      </c>
      <c r="G1238">
        <f>IF(INVENTARIO!P1238="","",INVENTARIO!P1238)</f>
        <v/>
      </c>
      <c r="H1238">
        <f>IF(INVENTARIO!Q1238="","",INVENTARIO!Q1238)</f>
        <v/>
      </c>
      <c r="I1238">
        <f>IF(INVENTARIO!R1238="","",INVENTARIO!R1238)</f>
        <v/>
      </c>
      <c r="J1238">
        <f>IF(G1238="PUBLICA(1)",1,IF(G1238="USO INTERNO(2)",2,IF(G1238="RESTRINGIDO(3)",3,0)))+IF(H1238="BAJA(1)",1,IF(H1238="MEDIA(2)",2,IF(H1238="ALTA(3)",3,0)))+IF(I1238="BAJA(1)",1,IF(I1238="MEDIA(2)",2,IF(I1238="ALTA(3)",3,0)))</f>
        <v/>
      </c>
      <c r="K1238">
        <f>IF(J1238="", "", IF(J1238&gt;=8,"ALTA",IF(J1238&gt;=6,"MEDIA","BAJA")))</f>
        <v/>
      </c>
      <c r="L1238">
        <f>IF(INVENTARIO!Y1238="","",INVENTARIO!Y1238)</f>
        <v/>
      </c>
      <c r="M1238">
        <f>IF(INVENTARIO!Z1238="","",INVENTARIO!Z1238)</f>
        <v/>
      </c>
      <c r="N1238">
        <f>IF(INVENTARIO!AA1238="","",INVENTARIO!AA1238)</f>
        <v/>
      </c>
      <c r="O1238">
        <f>IF(INVENTARIO!AB1238="","",INVENTARIO!AB1238)</f>
        <v/>
      </c>
      <c r="P1238">
        <f>IF(INVENTARIO!AC1238="","",INVENTARIO!AC1238)</f>
        <v/>
      </c>
      <c r="Q1238">
        <f>IF(AND(K1238="",N1238="",L1238=""),"",IF(AND((K1238="ALTA"),OR(LEFT(N1238,2)="L0",LEFT(N1238,2)="L1",L1238="No Iniciado")),"CRÍTICO - Incumplimiento Normativo SEPS",IF(AND(OR(LEFT(N1238,2)="L4",LEFT(N1238,2)="L5"),AND(P1238&lt;&gt;"",P1238&lt;&gt;"N/A")),"CONFORME - Control Efectivo ISO 27001","OBSERVACIÓN - Revisar Controles")))</f>
        <v/>
      </c>
    </row>
    <row r="1239">
      <c r="A1239">
        <f>IF(INVENTARIO!A1239="","",INVENTARIO!A1239)</f>
        <v/>
      </c>
      <c r="B1239">
        <f>IF(INVENTARIO!E1239="","",INVENTARIO!E1239)</f>
        <v/>
      </c>
      <c r="C1239">
        <f>IF(INVENTARIO!F1239="","",INVENTARIO!F1239)</f>
        <v/>
      </c>
      <c r="D1239">
        <f>IF(INVENTARIO!H1239="","",INVENTARIO!H1239)</f>
        <v/>
      </c>
      <c r="E1239">
        <f>IF(INVENTARIO!I1239="","",INVENTARIO!I1239)</f>
        <v/>
      </c>
      <c r="F1239">
        <f>IF(INVENTARIO!N1239="","",INVENTARIO!N1239)</f>
        <v/>
      </c>
      <c r="G1239">
        <f>IF(INVENTARIO!P1239="","",INVENTARIO!P1239)</f>
        <v/>
      </c>
      <c r="H1239">
        <f>IF(INVENTARIO!Q1239="","",INVENTARIO!Q1239)</f>
        <v/>
      </c>
      <c r="I1239">
        <f>IF(INVENTARIO!R1239="","",INVENTARIO!R1239)</f>
        <v/>
      </c>
      <c r="J1239">
        <f>IF(G1239="PUBLICA(1)",1,IF(G1239="USO INTERNO(2)",2,IF(G1239="RESTRINGIDO(3)",3,0)))+IF(H1239="BAJA(1)",1,IF(H1239="MEDIA(2)",2,IF(H1239="ALTA(3)",3,0)))+IF(I1239="BAJA(1)",1,IF(I1239="MEDIA(2)",2,IF(I1239="ALTA(3)",3,0)))</f>
        <v/>
      </c>
      <c r="K1239">
        <f>IF(J1239="", "", IF(J1239&gt;=8,"ALTA",IF(J1239&gt;=6,"MEDIA","BAJA")))</f>
        <v/>
      </c>
      <c r="L1239">
        <f>IF(INVENTARIO!Y1239="","",INVENTARIO!Y1239)</f>
        <v/>
      </c>
      <c r="M1239">
        <f>IF(INVENTARIO!Z1239="","",INVENTARIO!Z1239)</f>
        <v/>
      </c>
      <c r="N1239">
        <f>IF(INVENTARIO!AA1239="","",INVENTARIO!AA1239)</f>
        <v/>
      </c>
      <c r="O1239">
        <f>IF(INVENTARIO!AB1239="","",INVENTARIO!AB1239)</f>
        <v/>
      </c>
      <c r="P1239">
        <f>IF(INVENTARIO!AC1239="","",INVENTARIO!AC1239)</f>
        <v/>
      </c>
      <c r="Q1239">
        <f>IF(AND(K1239="",N1239="",L1239=""),"",IF(AND((K1239="ALTA"),OR(LEFT(N1239,2)="L0",LEFT(N1239,2)="L1",L1239="No Iniciado")),"CRÍTICO - Incumplimiento Normativo SEPS",IF(AND(OR(LEFT(N1239,2)="L4",LEFT(N1239,2)="L5"),AND(P1239&lt;&gt;"",P1239&lt;&gt;"N/A")),"CONFORME - Control Efectivo ISO 27001","OBSERVACIÓN - Revisar Controles")))</f>
        <v/>
      </c>
    </row>
    <row r="1240">
      <c r="A1240">
        <f>IF(INVENTARIO!A1240="","",INVENTARIO!A1240)</f>
        <v/>
      </c>
      <c r="B1240">
        <f>IF(INVENTARIO!E1240="","",INVENTARIO!E1240)</f>
        <v/>
      </c>
      <c r="C1240">
        <f>IF(INVENTARIO!F1240="","",INVENTARIO!F1240)</f>
        <v/>
      </c>
      <c r="D1240">
        <f>IF(INVENTARIO!H1240="","",INVENTARIO!H1240)</f>
        <v/>
      </c>
      <c r="E1240">
        <f>IF(INVENTARIO!I1240="","",INVENTARIO!I1240)</f>
        <v/>
      </c>
      <c r="F1240">
        <f>IF(INVENTARIO!N1240="","",INVENTARIO!N1240)</f>
        <v/>
      </c>
      <c r="G1240">
        <f>IF(INVENTARIO!P1240="","",INVENTARIO!P1240)</f>
        <v/>
      </c>
      <c r="H1240">
        <f>IF(INVENTARIO!Q1240="","",INVENTARIO!Q1240)</f>
        <v/>
      </c>
      <c r="I1240">
        <f>IF(INVENTARIO!R1240="","",INVENTARIO!R1240)</f>
        <v/>
      </c>
      <c r="J1240">
        <f>IF(G1240="PUBLICA(1)",1,IF(G1240="USO INTERNO(2)",2,IF(G1240="RESTRINGIDO(3)",3,0)))+IF(H1240="BAJA(1)",1,IF(H1240="MEDIA(2)",2,IF(H1240="ALTA(3)",3,0)))+IF(I1240="BAJA(1)",1,IF(I1240="MEDIA(2)",2,IF(I1240="ALTA(3)",3,0)))</f>
        <v/>
      </c>
      <c r="K1240">
        <f>IF(J1240="", "", IF(J1240&gt;=8,"ALTA",IF(J1240&gt;=6,"MEDIA","BAJA")))</f>
        <v/>
      </c>
      <c r="L1240">
        <f>IF(INVENTARIO!Y1240="","",INVENTARIO!Y1240)</f>
        <v/>
      </c>
      <c r="M1240">
        <f>IF(INVENTARIO!Z1240="","",INVENTARIO!Z1240)</f>
        <v/>
      </c>
      <c r="N1240">
        <f>IF(INVENTARIO!AA1240="","",INVENTARIO!AA1240)</f>
        <v/>
      </c>
      <c r="O1240">
        <f>IF(INVENTARIO!AB1240="","",INVENTARIO!AB1240)</f>
        <v/>
      </c>
      <c r="P1240">
        <f>IF(INVENTARIO!AC1240="","",INVENTARIO!AC1240)</f>
        <v/>
      </c>
      <c r="Q1240">
        <f>IF(AND(K1240="",N1240="",L1240=""),"",IF(AND((K1240="ALTA"),OR(LEFT(N1240,2)="L0",LEFT(N1240,2)="L1",L1240="No Iniciado")),"CRÍTICO - Incumplimiento Normativo SEPS",IF(AND(OR(LEFT(N1240,2)="L4",LEFT(N1240,2)="L5"),AND(P1240&lt;&gt;"",P1240&lt;&gt;"N/A")),"CONFORME - Control Efectivo ISO 27001","OBSERVACIÓN - Revisar Controles")))</f>
        <v/>
      </c>
    </row>
    <row r="1241">
      <c r="A1241">
        <f>IF(INVENTARIO!A1241="","",INVENTARIO!A1241)</f>
        <v/>
      </c>
      <c r="B1241">
        <f>IF(INVENTARIO!E1241="","",INVENTARIO!E1241)</f>
        <v/>
      </c>
      <c r="C1241">
        <f>IF(INVENTARIO!F1241="","",INVENTARIO!F1241)</f>
        <v/>
      </c>
      <c r="D1241">
        <f>IF(INVENTARIO!H1241="","",INVENTARIO!H1241)</f>
        <v/>
      </c>
      <c r="E1241">
        <f>IF(INVENTARIO!I1241="","",INVENTARIO!I1241)</f>
        <v/>
      </c>
      <c r="F1241">
        <f>IF(INVENTARIO!N1241="","",INVENTARIO!N1241)</f>
        <v/>
      </c>
      <c r="G1241">
        <f>IF(INVENTARIO!P1241="","",INVENTARIO!P1241)</f>
        <v/>
      </c>
      <c r="H1241">
        <f>IF(INVENTARIO!Q1241="","",INVENTARIO!Q1241)</f>
        <v/>
      </c>
      <c r="I1241">
        <f>IF(INVENTARIO!R1241="","",INVENTARIO!R1241)</f>
        <v/>
      </c>
      <c r="J1241">
        <f>IF(G1241="PUBLICA(1)",1,IF(G1241="USO INTERNO(2)",2,IF(G1241="RESTRINGIDO(3)",3,0)))+IF(H1241="BAJA(1)",1,IF(H1241="MEDIA(2)",2,IF(H1241="ALTA(3)",3,0)))+IF(I1241="BAJA(1)",1,IF(I1241="MEDIA(2)",2,IF(I1241="ALTA(3)",3,0)))</f>
        <v/>
      </c>
      <c r="K1241">
        <f>IF(J1241="", "", IF(J1241&gt;=8,"ALTA",IF(J1241&gt;=6,"MEDIA","BAJA")))</f>
        <v/>
      </c>
      <c r="L1241">
        <f>IF(INVENTARIO!Y1241="","",INVENTARIO!Y1241)</f>
        <v/>
      </c>
      <c r="M1241">
        <f>IF(INVENTARIO!Z1241="","",INVENTARIO!Z1241)</f>
        <v/>
      </c>
      <c r="N1241">
        <f>IF(INVENTARIO!AA1241="","",INVENTARIO!AA1241)</f>
        <v/>
      </c>
      <c r="O1241">
        <f>IF(INVENTARIO!AB1241="","",INVENTARIO!AB1241)</f>
        <v/>
      </c>
      <c r="P1241">
        <f>IF(INVENTARIO!AC1241="","",INVENTARIO!AC1241)</f>
        <v/>
      </c>
      <c r="Q1241">
        <f>IF(AND(K1241="",N1241="",L1241=""),"",IF(AND((K1241="ALTA"),OR(LEFT(N1241,2)="L0",LEFT(N1241,2)="L1",L1241="No Iniciado")),"CRÍTICO - Incumplimiento Normativo SEPS",IF(AND(OR(LEFT(N1241,2)="L4",LEFT(N1241,2)="L5"),AND(P1241&lt;&gt;"",P1241&lt;&gt;"N/A")),"CONFORME - Control Efectivo ISO 27001","OBSERVACIÓN - Revisar Controles")))</f>
        <v/>
      </c>
    </row>
    <row r="1242">
      <c r="A1242">
        <f>IF(INVENTARIO!A1242="","",INVENTARIO!A1242)</f>
        <v/>
      </c>
      <c r="B1242">
        <f>IF(INVENTARIO!E1242="","",INVENTARIO!E1242)</f>
        <v/>
      </c>
      <c r="C1242">
        <f>IF(INVENTARIO!F1242="","",INVENTARIO!F1242)</f>
        <v/>
      </c>
      <c r="D1242">
        <f>IF(INVENTARIO!H1242="","",INVENTARIO!H1242)</f>
        <v/>
      </c>
      <c r="E1242">
        <f>IF(INVENTARIO!I1242="","",INVENTARIO!I1242)</f>
        <v/>
      </c>
      <c r="F1242">
        <f>IF(INVENTARIO!N1242="","",INVENTARIO!N1242)</f>
        <v/>
      </c>
      <c r="G1242">
        <f>IF(INVENTARIO!P1242="","",INVENTARIO!P1242)</f>
        <v/>
      </c>
      <c r="H1242">
        <f>IF(INVENTARIO!Q1242="","",INVENTARIO!Q1242)</f>
        <v/>
      </c>
      <c r="I1242">
        <f>IF(INVENTARIO!R1242="","",INVENTARIO!R1242)</f>
        <v/>
      </c>
      <c r="J1242">
        <f>IF(G1242="PUBLICA(1)",1,IF(G1242="USO INTERNO(2)",2,IF(G1242="RESTRINGIDO(3)",3,0)))+IF(H1242="BAJA(1)",1,IF(H1242="MEDIA(2)",2,IF(H1242="ALTA(3)",3,0)))+IF(I1242="BAJA(1)",1,IF(I1242="MEDIA(2)",2,IF(I1242="ALTA(3)",3,0)))</f>
        <v/>
      </c>
      <c r="K1242">
        <f>IF(J1242="", "", IF(J1242&gt;=8,"ALTA",IF(J1242&gt;=6,"MEDIA","BAJA")))</f>
        <v/>
      </c>
      <c r="L1242">
        <f>IF(INVENTARIO!Y1242="","",INVENTARIO!Y1242)</f>
        <v/>
      </c>
      <c r="M1242">
        <f>IF(INVENTARIO!Z1242="","",INVENTARIO!Z1242)</f>
        <v/>
      </c>
      <c r="N1242">
        <f>IF(INVENTARIO!AA1242="","",INVENTARIO!AA1242)</f>
        <v/>
      </c>
      <c r="O1242">
        <f>IF(INVENTARIO!AB1242="","",INVENTARIO!AB1242)</f>
        <v/>
      </c>
      <c r="P1242">
        <f>IF(INVENTARIO!AC1242="","",INVENTARIO!AC1242)</f>
        <v/>
      </c>
      <c r="Q1242">
        <f>IF(AND(K1242="",N1242="",L1242=""),"",IF(AND((K1242="ALTA"),OR(LEFT(N1242,2)="L0",LEFT(N1242,2)="L1",L1242="No Iniciado")),"CRÍTICO - Incumplimiento Normativo SEPS",IF(AND(OR(LEFT(N1242,2)="L4",LEFT(N1242,2)="L5"),AND(P1242&lt;&gt;"",P1242&lt;&gt;"N/A")),"CONFORME - Control Efectivo ISO 27001","OBSERVACIÓN - Revisar Controles")))</f>
        <v/>
      </c>
    </row>
    <row r="1243">
      <c r="A1243">
        <f>IF(INVENTARIO!A1243="","",INVENTARIO!A1243)</f>
        <v/>
      </c>
      <c r="B1243">
        <f>IF(INVENTARIO!E1243="","",INVENTARIO!E1243)</f>
        <v/>
      </c>
      <c r="C1243">
        <f>IF(INVENTARIO!F1243="","",INVENTARIO!F1243)</f>
        <v/>
      </c>
      <c r="D1243">
        <f>IF(INVENTARIO!H1243="","",INVENTARIO!H1243)</f>
        <v/>
      </c>
      <c r="E1243">
        <f>IF(INVENTARIO!I1243="","",INVENTARIO!I1243)</f>
        <v/>
      </c>
      <c r="F1243">
        <f>IF(INVENTARIO!N1243="","",INVENTARIO!N1243)</f>
        <v/>
      </c>
      <c r="G1243">
        <f>IF(INVENTARIO!P1243="","",INVENTARIO!P1243)</f>
        <v/>
      </c>
      <c r="H1243">
        <f>IF(INVENTARIO!Q1243="","",INVENTARIO!Q1243)</f>
        <v/>
      </c>
      <c r="I1243">
        <f>IF(INVENTARIO!R1243="","",INVENTARIO!R1243)</f>
        <v/>
      </c>
      <c r="J1243">
        <f>IF(G1243="PUBLICA(1)",1,IF(G1243="USO INTERNO(2)",2,IF(G1243="RESTRINGIDO(3)",3,0)))+IF(H1243="BAJA(1)",1,IF(H1243="MEDIA(2)",2,IF(H1243="ALTA(3)",3,0)))+IF(I1243="BAJA(1)",1,IF(I1243="MEDIA(2)",2,IF(I1243="ALTA(3)",3,0)))</f>
        <v/>
      </c>
      <c r="K1243">
        <f>IF(J1243="", "", IF(J1243&gt;=8,"ALTA",IF(J1243&gt;=6,"MEDIA","BAJA")))</f>
        <v/>
      </c>
      <c r="L1243">
        <f>IF(INVENTARIO!Y1243="","",INVENTARIO!Y1243)</f>
        <v/>
      </c>
      <c r="M1243">
        <f>IF(INVENTARIO!Z1243="","",INVENTARIO!Z1243)</f>
        <v/>
      </c>
      <c r="N1243">
        <f>IF(INVENTARIO!AA1243="","",INVENTARIO!AA1243)</f>
        <v/>
      </c>
      <c r="O1243">
        <f>IF(INVENTARIO!AB1243="","",INVENTARIO!AB1243)</f>
        <v/>
      </c>
      <c r="P1243">
        <f>IF(INVENTARIO!AC1243="","",INVENTARIO!AC1243)</f>
        <v/>
      </c>
      <c r="Q1243">
        <f>IF(AND(K1243="",N1243="",L1243=""),"",IF(AND((K1243="ALTA"),OR(LEFT(N1243,2)="L0",LEFT(N1243,2)="L1",L1243="No Iniciado")),"CRÍTICO - Incumplimiento Normativo SEPS",IF(AND(OR(LEFT(N1243,2)="L4",LEFT(N1243,2)="L5"),AND(P1243&lt;&gt;"",P1243&lt;&gt;"N/A")),"CONFORME - Control Efectivo ISO 27001","OBSERVACIÓN - Revisar Controles")))</f>
        <v/>
      </c>
    </row>
    <row r="1244">
      <c r="A1244">
        <f>IF(INVENTARIO!A1244="","",INVENTARIO!A1244)</f>
        <v/>
      </c>
      <c r="B1244">
        <f>IF(INVENTARIO!E1244="","",INVENTARIO!E1244)</f>
        <v/>
      </c>
      <c r="C1244">
        <f>IF(INVENTARIO!F1244="","",INVENTARIO!F1244)</f>
        <v/>
      </c>
      <c r="D1244">
        <f>IF(INVENTARIO!H1244="","",INVENTARIO!H1244)</f>
        <v/>
      </c>
      <c r="E1244">
        <f>IF(INVENTARIO!I1244="","",INVENTARIO!I1244)</f>
        <v/>
      </c>
      <c r="F1244">
        <f>IF(INVENTARIO!N1244="","",INVENTARIO!N1244)</f>
        <v/>
      </c>
      <c r="G1244">
        <f>IF(INVENTARIO!P1244="","",INVENTARIO!P1244)</f>
        <v/>
      </c>
      <c r="H1244">
        <f>IF(INVENTARIO!Q1244="","",INVENTARIO!Q1244)</f>
        <v/>
      </c>
      <c r="I1244">
        <f>IF(INVENTARIO!R1244="","",INVENTARIO!R1244)</f>
        <v/>
      </c>
      <c r="J1244">
        <f>IF(G1244="PUBLICA(1)",1,IF(G1244="USO INTERNO(2)",2,IF(G1244="RESTRINGIDO(3)",3,0)))+IF(H1244="BAJA(1)",1,IF(H1244="MEDIA(2)",2,IF(H1244="ALTA(3)",3,0)))+IF(I1244="BAJA(1)",1,IF(I1244="MEDIA(2)",2,IF(I1244="ALTA(3)",3,0)))</f>
        <v/>
      </c>
      <c r="K1244">
        <f>IF(J1244="", "", IF(J1244&gt;=8,"ALTA",IF(J1244&gt;=6,"MEDIA","BAJA")))</f>
        <v/>
      </c>
      <c r="L1244">
        <f>IF(INVENTARIO!Y1244="","",INVENTARIO!Y1244)</f>
        <v/>
      </c>
      <c r="M1244">
        <f>IF(INVENTARIO!Z1244="","",INVENTARIO!Z1244)</f>
        <v/>
      </c>
      <c r="N1244">
        <f>IF(INVENTARIO!AA1244="","",INVENTARIO!AA1244)</f>
        <v/>
      </c>
      <c r="O1244">
        <f>IF(INVENTARIO!AB1244="","",INVENTARIO!AB1244)</f>
        <v/>
      </c>
      <c r="P1244">
        <f>IF(INVENTARIO!AC1244="","",INVENTARIO!AC1244)</f>
        <v/>
      </c>
      <c r="Q1244">
        <f>IF(AND(K1244="",N1244="",L1244=""),"",IF(AND((K1244="ALTA"),OR(LEFT(N1244,2)="L0",LEFT(N1244,2)="L1",L1244="No Iniciado")),"CRÍTICO - Incumplimiento Normativo SEPS",IF(AND(OR(LEFT(N1244,2)="L4",LEFT(N1244,2)="L5"),AND(P1244&lt;&gt;"",P1244&lt;&gt;"N/A")),"CONFORME - Control Efectivo ISO 27001","OBSERVACIÓN - Revisar Controles")))</f>
        <v/>
      </c>
    </row>
    <row r="1245">
      <c r="A1245">
        <f>IF(INVENTARIO!A1245="","",INVENTARIO!A1245)</f>
        <v/>
      </c>
      <c r="B1245">
        <f>IF(INVENTARIO!E1245="","",INVENTARIO!E1245)</f>
        <v/>
      </c>
      <c r="C1245">
        <f>IF(INVENTARIO!F1245="","",INVENTARIO!F1245)</f>
        <v/>
      </c>
      <c r="D1245">
        <f>IF(INVENTARIO!H1245="","",INVENTARIO!H1245)</f>
        <v/>
      </c>
      <c r="E1245">
        <f>IF(INVENTARIO!I1245="","",INVENTARIO!I1245)</f>
        <v/>
      </c>
      <c r="F1245">
        <f>IF(INVENTARIO!N1245="","",INVENTARIO!N1245)</f>
        <v/>
      </c>
      <c r="G1245">
        <f>IF(INVENTARIO!P1245="","",INVENTARIO!P1245)</f>
        <v/>
      </c>
      <c r="H1245">
        <f>IF(INVENTARIO!Q1245="","",INVENTARIO!Q1245)</f>
        <v/>
      </c>
      <c r="I1245">
        <f>IF(INVENTARIO!R1245="","",INVENTARIO!R1245)</f>
        <v/>
      </c>
      <c r="J1245">
        <f>IF(G1245="PUBLICA(1)",1,IF(G1245="USO INTERNO(2)",2,IF(G1245="RESTRINGIDO(3)",3,0)))+IF(H1245="BAJA(1)",1,IF(H1245="MEDIA(2)",2,IF(H1245="ALTA(3)",3,0)))+IF(I1245="BAJA(1)",1,IF(I1245="MEDIA(2)",2,IF(I1245="ALTA(3)",3,0)))</f>
        <v/>
      </c>
      <c r="K1245">
        <f>IF(J1245="", "", IF(J1245&gt;=8,"ALTA",IF(J1245&gt;=6,"MEDIA","BAJA")))</f>
        <v/>
      </c>
      <c r="L1245">
        <f>IF(INVENTARIO!Y1245="","",INVENTARIO!Y1245)</f>
        <v/>
      </c>
      <c r="M1245">
        <f>IF(INVENTARIO!Z1245="","",INVENTARIO!Z1245)</f>
        <v/>
      </c>
      <c r="N1245">
        <f>IF(INVENTARIO!AA1245="","",INVENTARIO!AA1245)</f>
        <v/>
      </c>
      <c r="O1245">
        <f>IF(INVENTARIO!AB1245="","",INVENTARIO!AB1245)</f>
        <v/>
      </c>
      <c r="P1245">
        <f>IF(INVENTARIO!AC1245="","",INVENTARIO!AC1245)</f>
        <v/>
      </c>
      <c r="Q1245">
        <f>IF(AND(K1245="",N1245="",L1245=""),"",IF(AND((K1245="ALTA"),OR(LEFT(N1245,2)="L0",LEFT(N1245,2)="L1",L1245="No Iniciado")),"CRÍTICO - Incumplimiento Normativo SEPS",IF(AND(OR(LEFT(N1245,2)="L4",LEFT(N1245,2)="L5"),AND(P1245&lt;&gt;"",P1245&lt;&gt;"N/A")),"CONFORME - Control Efectivo ISO 27001","OBSERVACIÓN - Revisar Controles")))</f>
        <v/>
      </c>
    </row>
    <row r="1246">
      <c r="A1246">
        <f>IF(INVENTARIO!A1246="","",INVENTARIO!A1246)</f>
        <v/>
      </c>
      <c r="B1246">
        <f>IF(INVENTARIO!E1246="","",INVENTARIO!E1246)</f>
        <v/>
      </c>
      <c r="C1246">
        <f>IF(INVENTARIO!F1246="","",INVENTARIO!F1246)</f>
        <v/>
      </c>
      <c r="D1246">
        <f>IF(INVENTARIO!H1246="","",INVENTARIO!H1246)</f>
        <v/>
      </c>
      <c r="E1246">
        <f>IF(INVENTARIO!I1246="","",INVENTARIO!I1246)</f>
        <v/>
      </c>
      <c r="F1246">
        <f>IF(INVENTARIO!N1246="","",INVENTARIO!N1246)</f>
        <v/>
      </c>
      <c r="G1246">
        <f>IF(INVENTARIO!P1246="","",INVENTARIO!P1246)</f>
        <v/>
      </c>
      <c r="H1246">
        <f>IF(INVENTARIO!Q1246="","",INVENTARIO!Q1246)</f>
        <v/>
      </c>
      <c r="I1246">
        <f>IF(INVENTARIO!R1246="","",INVENTARIO!R1246)</f>
        <v/>
      </c>
      <c r="J1246">
        <f>IF(G1246="PUBLICA(1)",1,IF(G1246="USO INTERNO(2)",2,IF(G1246="RESTRINGIDO(3)",3,0)))+IF(H1246="BAJA(1)",1,IF(H1246="MEDIA(2)",2,IF(H1246="ALTA(3)",3,0)))+IF(I1246="BAJA(1)",1,IF(I1246="MEDIA(2)",2,IF(I1246="ALTA(3)",3,0)))</f>
        <v/>
      </c>
      <c r="K1246">
        <f>IF(J1246="", "", IF(J1246&gt;=8,"ALTA",IF(J1246&gt;=6,"MEDIA","BAJA")))</f>
        <v/>
      </c>
      <c r="L1246">
        <f>IF(INVENTARIO!Y1246="","",INVENTARIO!Y1246)</f>
        <v/>
      </c>
      <c r="M1246">
        <f>IF(INVENTARIO!Z1246="","",INVENTARIO!Z1246)</f>
        <v/>
      </c>
      <c r="N1246">
        <f>IF(INVENTARIO!AA1246="","",INVENTARIO!AA1246)</f>
        <v/>
      </c>
      <c r="O1246">
        <f>IF(INVENTARIO!AB1246="","",INVENTARIO!AB1246)</f>
        <v/>
      </c>
      <c r="P1246">
        <f>IF(INVENTARIO!AC1246="","",INVENTARIO!AC1246)</f>
        <v/>
      </c>
      <c r="Q1246">
        <f>IF(AND(K1246="",N1246="",L1246=""),"",IF(AND((K1246="ALTA"),OR(LEFT(N1246,2)="L0",LEFT(N1246,2)="L1",L1246="No Iniciado")),"CRÍTICO - Incumplimiento Normativo SEPS",IF(AND(OR(LEFT(N1246,2)="L4",LEFT(N1246,2)="L5"),AND(P1246&lt;&gt;"",P1246&lt;&gt;"N/A")),"CONFORME - Control Efectivo ISO 27001","OBSERVACIÓN - Revisar Controles")))</f>
        <v/>
      </c>
    </row>
    <row r="1247">
      <c r="A1247">
        <f>IF(INVENTARIO!A1247="","",INVENTARIO!A1247)</f>
        <v/>
      </c>
      <c r="B1247">
        <f>IF(INVENTARIO!E1247="","",INVENTARIO!E1247)</f>
        <v/>
      </c>
      <c r="C1247">
        <f>IF(INVENTARIO!F1247="","",INVENTARIO!F1247)</f>
        <v/>
      </c>
      <c r="D1247">
        <f>IF(INVENTARIO!H1247="","",INVENTARIO!H1247)</f>
        <v/>
      </c>
      <c r="E1247">
        <f>IF(INVENTARIO!I1247="","",INVENTARIO!I1247)</f>
        <v/>
      </c>
      <c r="F1247">
        <f>IF(INVENTARIO!N1247="","",INVENTARIO!N1247)</f>
        <v/>
      </c>
      <c r="G1247">
        <f>IF(INVENTARIO!P1247="","",INVENTARIO!P1247)</f>
        <v/>
      </c>
      <c r="H1247">
        <f>IF(INVENTARIO!Q1247="","",INVENTARIO!Q1247)</f>
        <v/>
      </c>
      <c r="I1247">
        <f>IF(INVENTARIO!R1247="","",INVENTARIO!R1247)</f>
        <v/>
      </c>
      <c r="J1247">
        <f>IF(G1247="PUBLICA(1)",1,IF(G1247="USO INTERNO(2)",2,IF(G1247="RESTRINGIDO(3)",3,0)))+IF(H1247="BAJA(1)",1,IF(H1247="MEDIA(2)",2,IF(H1247="ALTA(3)",3,0)))+IF(I1247="BAJA(1)",1,IF(I1247="MEDIA(2)",2,IF(I1247="ALTA(3)",3,0)))</f>
        <v/>
      </c>
      <c r="K1247">
        <f>IF(J1247="", "", IF(J1247&gt;=8,"ALTA",IF(J1247&gt;=6,"MEDIA","BAJA")))</f>
        <v/>
      </c>
      <c r="L1247">
        <f>IF(INVENTARIO!Y1247="","",INVENTARIO!Y1247)</f>
        <v/>
      </c>
      <c r="M1247">
        <f>IF(INVENTARIO!Z1247="","",INVENTARIO!Z1247)</f>
        <v/>
      </c>
      <c r="N1247">
        <f>IF(INVENTARIO!AA1247="","",INVENTARIO!AA1247)</f>
        <v/>
      </c>
      <c r="O1247">
        <f>IF(INVENTARIO!AB1247="","",INVENTARIO!AB1247)</f>
        <v/>
      </c>
      <c r="P1247">
        <f>IF(INVENTARIO!AC1247="","",INVENTARIO!AC1247)</f>
        <v/>
      </c>
      <c r="Q1247">
        <f>IF(AND(K1247="",N1247="",L1247=""),"",IF(AND((K1247="ALTA"),OR(LEFT(N1247,2)="L0",LEFT(N1247,2)="L1",L1247="No Iniciado")),"CRÍTICO - Incumplimiento Normativo SEPS",IF(AND(OR(LEFT(N1247,2)="L4",LEFT(N1247,2)="L5"),AND(P1247&lt;&gt;"",P1247&lt;&gt;"N/A")),"CONFORME - Control Efectivo ISO 27001","OBSERVACIÓN - Revisar Controles")))</f>
        <v/>
      </c>
    </row>
    <row r="1248">
      <c r="A1248">
        <f>IF(INVENTARIO!A1248="","",INVENTARIO!A1248)</f>
        <v/>
      </c>
      <c r="B1248">
        <f>IF(INVENTARIO!E1248="","",INVENTARIO!E1248)</f>
        <v/>
      </c>
      <c r="C1248">
        <f>IF(INVENTARIO!F1248="","",INVENTARIO!F1248)</f>
        <v/>
      </c>
      <c r="D1248">
        <f>IF(INVENTARIO!H1248="","",INVENTARIO!H1248)</f>
        <v/>
      </c>
      <c r="E1248">
        <f>IF(INVENTARIO!I1248="","",INVENTARIO!I1248)</f>
        <v/>
      </c>
      <c r="F1248">
        <f>IF(INVENTARIO!N1248="","",INVENTARIO!N1248)</f>
        <v/>
      </c>
      <c r="G1248">
        <f>IF(INVENTARIO!P1248="","",INVENTARIO!P1248)</f>
        <v/>
      </c>
      <c r="H1248">
        <f>IF(INVENTARIO!Q1248="","",INVENTARIO!Q1248)</f>
        <v/>
      </c>
      <c r="I1248">
        <f>IF(INVENTARIO!R1248="","",INVENTARIO!R1248)</f>
        <v/>
      </c>
      <c r="J1248">
        <f>IF(G1248="PUBLICA(1)",1,IF(G1248="USO INTERNO(2)",2,IF(G1248="RESTRINGIDO(3)",3,0)))+IF(H1248="BAJA(1)",1,IF(H1248="MEDIA(2)",2,IF(H1248="ALTA(3)",3,0)))+IF(I1248="BAJA(1)",1,IF(I1248="MEDIA(2)",2,IF(I1248="ALTA(3)",3,0)))</f>
        <v/>
      </c>
      <c r="K1248">
        <f>IF(J1248="", "", IF(J1248&gt;=8,"ALTA",IF(J1248&gt;=6,"MEDIA","BAJA")))</f>
        <v/>
      </c>
      <c r="L1248">
        <f>IF(INVENTARIO!Y1248="","",INVENTARIO!Y1248)</f>
        <v/>
      </c>
      <c r="M1248">
        <f>IF(INVENTARIO!Z1248="","",INVENTARIO!Z1248)</f>
        <v/>
      </c>
      <c r="N1248">
        <f>IF(INVENTARIO!AA1248="","",INVENTARIO!AA1248)</f>
        <v/>
      </c>
      <c r="O1248">
        <f>IF(INVENTARIO!AB1248="","",INVENTARIO!AB1248)</f>
        <v/>
      </c>
      <c r="P1248">
        <f>IF(INVENTARIO!AC1248="","",INVENTARIO!AC1248)</f>
        <v/>
      </c>
      <c r="Q1248">
        <f>IF(AND(K1248="",N1248="",L1248=""),"",IF(AND((K1248="ALTA"),OR(LEFT(N1248,2)="L0",LEFT(N1248,2)="L1",L1248="No Iniciado")),"CRÍTICO - Incumplimiento Normativo SEPS",IF(AND(OR(LEFT(N1248,2)="L4",LEFT(N1248,2)="L5"),AND(P1248&lt;&gt;"",P1248&lt;&gt;"N/A")),"CONFORME - Control Efectivo ISO 27001","OBSERVACIÓN - Revisar Controles")))</f>
        <v/>
      </c>
    </row>
    <row r="1249">
      <c r="A1249">
        <f>IF(INVENTARIO!A1249="","",INVENTARIO!A1249)</f>
        <v/>
      </c>
      <c r="B1249">
        <f>IF(INVENTARIO!E1249="","",INVENTARIO!E1249)</f>
        <v/>
      </c>
      <c r="C1249">
        <f>IF(INVENTARIO!F1249="","",INVENTARIO!F1249)</f>
        <v/>
      </c>
      <c r="D1249">
        <f>IF(INVENTARIO!H1249="","",INVENTARIO!H1249)</f>
        <v/>
      </c>
      <c r="E1249">
        <f>IF(INVENTARIO!I1249="","",INVENTARIO!I1249)</f>
        <v/>
      </c>
      <c r="F1249">
        <f>IF(INVENTARIO!N1249="","",INVENTARIO!N1249)</f>
        <v/>
      </c>
      <c r="G1249">
        <f>IF(INVENTARIO!P1249="","",INVENTARIO!P1249)</f>
        <v/>
      </c>
      <c r="H1249">
        <f>IF(INVENTARIO!Q1249="","",INVENTARIO!Q1249)</f>
        <v/>
      </c>
      <c r="I1249">
        <f>IF(INVENTARIO!R1249="","",INVENTARIO!R1249)</f>
        <v/>
      </c>
      <c r="J1249">
        <f>IF(G1249="PUBLICA(1)",1,IF(G1249="USO INTERNO(2)",2,IF(G1249="RESTRINGIDO(3)",3,0)))+IF(H1249="BAJA(1)",1,IF(H1249="MEDIA(2)",2,IF(H1249="ALTA(3)",3,0)))+IF(I1249="BAJA(1)",1,IF(I1249="MEDIA(2)",2,IF(I1249="ALTA(3)",3,0)))</f>
        <v/>
      </c>
      <c r="K1249">
        <f>IF(J1249="", "", IF(J1249&gt;=8,"ALTA",IF(J1249&gt;=6,"MEDIA","BAJA")))</f>
        <v/>
      </c>
      <c r="L1249">
        <f>IF(INVENTARIO!Y1249="","",INVENTARIO!Y1249)</f>
        <v/>
      </c>
      <c r="M1249">
        <f>IF(INVENTARIO!Z1249="","",INVENTARIO!Z1249)</f>
        <v/>
      </c>
      <c r="N1249">
        <f>IF(INVENTARIO!AA1249="","",INVENTARIO!AA1249)</f>
        <v/>
      </c>
      <c r="O1249">
        <f>IF(INVENTARIO!AB1249="","",INVENTARIO!AB1249)</f>
        <v/>
      </c>
      <c r="P1249">
        <f>IF(INVENTARIO!AC1249="","",INVENTARIO!AC1249)</f>
        <v/>
      </c>
      <c r="Q1249">
        <f>IF(AND(K1249="",N1249="",L1249=""),"",IF(AND((K1249="ALTA"),OR(LEFT(N1249,2)="L0",LEFT(N1249,2)="L1",L1249="No Iniciado")),"CRÍTICO - Incumplimiento Normativo SEPS",IF(AND(OR(LEFT(N1249,2)="L4",LEFT(N1249,2)="L5"),AND(P1249&lt;&gt;"",P1249&lt;&gt;"N/A")),"CONFORME - Control Efectivo ISO 27001","OBSERVACIÓN - Revisar Controles")))</f>
        <v/>
      </c>
    </row>
    <row r="1250">
      <c r="A1250">
        <f>IF(INVENTARIO!A1250="","",INVENTARIO!A1250)</f>
        <v/>
      </c>
      <c r="B1250">
        <f>IF(INVENTARIO!E1250="","",INVENTARIO!E1250)</f>
        <v/>
      </c>
      <c r="C1250">
        <f>IF(INVENTARIO!F1250="","",INVENTARIO!F1250)</f>
        <v/>
      </c>
      <c r="D1250">
        <f>IF(INVENTARIO!H1250="","",INVENTARIO!H1250)</f>
        <v/>
      </c>
      <c r="E1250">
        <f>IF(INVENTARIO!I1250="","",INVENTARIO!I1250)</f>
        <v/>
      </c>
      <c r="F1250">
        <f>IF(INVENTARIO!N1250="","",INVENTARIO!N1250)</f>
        <v/>
      </c>
      <c r="G1250">
        <f>IF(INVENTARIO!P1250="","",INVENTARIO!P1250)</f>
        <v/>
      </c>
      <c r="H1250">
        <f>IF(INVENTARIO!Q1250="","",INVENTARIO!Q1250)</f>
        <v/>
      </c>
      <c r="I1250">
        <f>IF(INVENTARIO!R1250="","",INVENTARIO!R1250)</f>
        <v/>
      </c>
      <c r="J1250">
        <f>IF(G1250="PUBLICA(1)",1,IF(G1250="USO INTERNO(2)",2,IF(G1250="RESTRINGIDO(3)",3,0)))+IF(H1250="BAJA(1)",1,IF(H1250="MEDIA(2)",2,IF(H1250="ALTA(3)",3,0)))+IF(I1250="BAJA(1)",1,IF(I1250="MEDIA(2)",2,IF(I1250="ALTA(3)",3,0)))</f>
        <v/>
      </c>
      <c r="K1250">
        <f>IF(J1250="", "", IF(J1250&gt;=8,"ALTA",IF(J1250&gt;=6,"MEDIA","BAJA")))</f>
        <v/>
      </c>
      <c r="L1250">
        <f>IF(INVENTARIO!Y1250="","",INVENTARIO!Y1250)</f>
        <v/>
      </c>
      <c r="M1250">
        <f>IF(INVENTARIO!Z1250="","",INVENTARIO!Z1250)</f>
        <v/>
      </c>
      <c r="N1250">
        <f>IF(INVENTARIO!AA1250="","",INVENTARIO!AA1250)</f>
        <v/>
      </c>
      <c r="O1250">
        <f>IF(INVENTARIO!AB1250="","",INVENTARIO!AB1250)</f>
        <v/>
      </c>
      <c r="P1250">
        <f>IF(INVENTARIO!AC1250="","",INVENTARIO!AC1250)</f>
        <v/>
      </c>
      <c r="Q1250">
        <f>IF(AND(K1250="",N1250="",L1250=""),"",IF(AND((K1250="ALTA"),OR(LEFT(N1250,2)="L0",LEFT(N1250,2)="L1",L1250="No Iniciado")),"CRÍTICO - Incumplimiento Normativo SEPS",IF(AND(OR(LEFT(N1250,2)="L4",LEFT(N1250,2)="L5"),AND(P1250&lt;&gt;"",P1250&lt;&gt;"N/A")),"CONFORME - Control Efectivo ISO 27001","OBSERVACIÓN - Revisar Controles")))</f>
        <v/>
      </c>
    </row>
    <row r="1251">
      <c r="A1251">
        <f>IF(INVENTARIO!A1251="","",INVENTARIO!A1251)</f>
        <v/>
      </c>
      <c r="B1251">
        <f>IF(INVENTARIO!E1251="","",INVENTARIO!E1251)</f>
        <v/>
      </c>
      <c r="C1251">
        <f>IF(INVENTARIO!F1251="","",INVENTARIO!F1251)</f>
        <v/>
      </c>
      <c r="D1251">
        <f>IF(INVENTARIO!H1251="","",INVENTARIO!H1251)</f>
        <v/>
      </c>
      <c r="E1251">
        <f>IF(INVENTARIO!I1251="","",INVENTARIO!I1251)</f>
        <v/>
      </c>
      <c r="F1251">
        <f>IF(INVENTARIO!N1251="","",INVENTARIO!N1251)</f>
        <v/>
      </c>
      <c r="G1251">
        <f>IF(INVENTARIO!P1251="","",INVENTARIO!P1251)</f>
        <v/>
      </c>
      <c r="H1251">
        <f>IF(INVENTARIO!Q1251="","",INVENTARIO!Q1251)</f>
        <v/>
      </c>
      <c r="I1251">
        <f>IF(INVENTARIO!R1251="","",INVENTARIO!R1251)</f>
        <v/>
      </c>
      <c r="J1251">
        <f>IF(G1251="PUBLICA(1)",1,IF(G1251="USO INTERNO(2)",2,IF(G1251="RESTRINGIDO(3)",3,0)))+IF(H1251="BAJA(1)",1,IF(H1251="MEDIA(2)",2,IF(H1251="ALTA(3)",3,0)))+IF(I1251="BAJA(1)",1,IF(I1251="MEDIA(2)",2,IF(I1251="ALTA(3)",3,0)))</f>
        <v/>
      </c>
      <c r="K1251">
        <f>IF(J1251="", "", IF(J1251&gt;=8,"ALTA",IF(J1251&gt;=6,"MEDIA","BAJA")))</f>
        <v/>
      </c>
      <c r="L1251">
        <f>IF(INVENTARIO!Y1251="","",INVENTARIO!Y1251)</f>
        <v/>
      </c>
      <c r="M1251">
        <f>IF(INVENTARIO!Z1251="","",INVENTARIO!Z1251)</f>
        <v/>
      </c>
      <c r="N1251">
        <f>IF(INVENTARIO!AA1251="","",INVENTARIO!AA1251)</f>
        <v/>
      </c>
      <c r="O1251">
        <f>IF(INVENTARIO!AB1251="","",INVENTARIO!AB1251)</f>
        <v/>
      </c>
      <c r="P1251">
        <f>IF(INVENTARIO!AC1251="","",INVENTARIO!AC1251)</f>
        <v/>
      </c>
      <c r="Q1251">
        <f>IF(AND(K1251="",N1251="",L1251=""),"",IF(AND((K1251="ALTA"),OR(LEFT(N1251,2)="L0",LEFT(N1251,2)="L1",L1251="No Iniciado")),"CRÍTICO - Incumplimiento Normativo SEPS",IF(AND(OR(LEFT(N1251,2)="L4",LEFT(N1251,2)="L5"),AND(P1251&lt;&gt;"",P1251&lt;&gt;"N/A")),"CONFORME - Control Efectivo ISO 27001","OBSERVACIÓN - Revisar Controles")))</f>
        <v/>
      </c>
    </row>
    <row r="1252">
      <c r="A1252">
        <f>IF(INVENTARIO!A1252="","",INVENTARIO!A1252)</f>
        <v/>
      </c>
      <c r="B1252">
        <f>IF(INVENTARIO!E1252="","",INVENTARIO!E1252)</f>
        <v/>
      </c>
      <c r="C1252">
        <f>IF(INVENTARIO!F1252="","",INVENTARIO!F1252)</f>
        <v/>
      </c>
      <c r="D1252">
        <f>IF(INVENTARIO!H1252="","",INVENTARIO!H1252)</f>
        <v/>
      </c>
      <c r="E1252">
        <f>IF(INVENTARIO!I1252="","",INVENTARIO!I1252)</f>
        <v/>
      </c>
      <c r="F1252">
        <f>IF(INVENTARIO!N1252="","",INVENTARIO!N1252)</f>
        <v/>
      </c>
      <c r="G1252">
        <f>IF(INVENTARIO!P1252="","",INVENTARIO!P1252)</f>
        <v/>
      </c>
      <c r="H1252">
        <f>IF(INVENTARIO!Q1252="","",INVENTARIO!Q1252)</f>
        <v/>
      </c>
      <c r="I1252">
        <f>IF(INVENTARIO!R1252="","",INVENTARIO!R1252)</f>
        <v/>
      </c>
      <c r="J1252">
        <f>IF(G1252="PUBLICA(1)",1,IF(G1252="USO INTERNO(2)",2,IF(G1252="RESTRINGIDO(3)",3,0)))+IF(H1252="BAJA(1)",1,IF(H1252="MEDIA(2)",2,IF(H1252="ALTA(3)",3,0)))+IF(I1252="BAJA(1)",1,IF(I1252="MEDIA(2)",2,IF(I1252="ALTA(3)",3,0)))</f>
        <v/>
      </c>
      <c r="K1252">
        <f>IF(J1252="", "", IF(J1252&gt;=8,"ALTA",IF(J1252&gt;=6,"MEDIA","BAJA")))</f>
        <v/>
      </c>
      <c r="L1252">
        <f>IF(INVENTARIO!Y1252="","",INVENTARIO!Y1252)</f>
        <v/>
      </c>
      <c r="M1252">
        <f>IF(INVENTARIO!Z1252="","",INVENTARIO!Z1252)</f>
        <v/>
      </c>
      <c r="N1252">
        <f>IF(INVENTARIO!AA1252="","",INVENTARIO!AA1252)</f>
        <v/>
      </c>
      <c r="O1252">
        <f>IF(INVENTARIO!AB1252="","",INVENTARIO!AB1252)</f>
        <v/>
      </c>
      <c r="P1252">
        <f>IF(INVENTARIO!AC1252="","",INVENTARIO!AC1252)</f>
        <v/>
      </c>
      <c r="Q1252">
        <f>IF(AND(K1252="",N1252="",L1252=""),"",IF(AND((K1252="ALTA"),OR(LEFT(N1252,2)="L0",LEFT(N1252,2)="L1",L1252="No Iniciado")),"CRÍTICO - Incumplimiento Normativo SEPS",IF(AND(OR(LEFT(N1252,2)="L4",LEFT(N1252,2)="L5"),AND(P1252&lt;&gt;"",P1252&lt;&gt;"N/A")),"CONFORME - Control Efectivo ISO 27001","OBSERVACIÓN - Revisar Controles")))</f>
        <v/>
      </c>
    </row>
    <row r="1253">
      <c r="A1253">
        <f>IF(INVENTARIO!A1253="","",INVENTARIO!A1253)</f>
        <v/>
      </c>
      <c r="B1253">
        <f>IF(INVENTARIO!E1253="","",INVENTARIO!E1253)</f>
        <v/>
      </c>
      <c r="C1253">
        <f>IF(INVENTARIO!F1253="","",INVENTARIO!F1253)</f>
        <v/>
      </c>
      <c r="D1253">
        <f>IF(INVENTARIO!H1253="","",INVENTARIO!H1253)</f>
        <v/>
      </c>
      <c r="E1253">
        <f>IF(INVENTARIO!I1253="","",INVENTARIO!I1253)</f>
        <v/>
      </c>
      <c r="F1253">
        <f>IF(INVENTARIO!N1253="","",INVENTARIO!N1253)</f>
        <v/>
      </c>
      <c r="G1253">
        <f>IF(INVENTARIO!P1253="","",INVENTARIO!P1253)</f>
        <v/>
      </c>
      <c r="H1253">
        <f>IF(INVENTARIO!Q1253="","",INVENTARIO!Q1253)</f>
        <v/>
      </c>
      <c r="I1253">
        <f>IF(INVENTARIO!R1253="","",INVENTARIO!R1253)</f>
        <v/>
      </c>
      <c r="J1253">
        <f>IF(G1253="PUBLICA(1)",1,IF(G1253="USO INTERNO(2)",2,IF(G1253="RESTRINGIDO(3)",3,0)))+IF(H1253="BAJA(1)",1,IF(H1253="MEDIA(2)",2,IF(H1253="ALTA(3)",3,0)))+IF(I1253="BAJA(1)",1,IF(I1253="MEDIA(2)",2,IF(I1253="ALTA(3)",3,0)))</f>
        <v/>
      </c>
      <c r="K1253">
        <f>IF(J1253="", "", IF(J1253&gt;=8,"ALTA",IF(J1253&gt;=6,"MEDIA","BAJA")))</f>
        <v/>
      </c>
      <c r="L1253">
        <f>IF(INVENTARIO!Y1253="","",INVENTARIO!Y1253)</f>
        <v/>
      </c>
      <c r="M1253">
        <f>IF(INVENTARIO!Z1253="","",INVENTARIO!Z1253)</f>
        <v/>
      </c>
      <c r="N1253">
        <f>IF(INVENTARIO!AA1253="","",INVENTARIO!AA1253)</f>
        <v/>
      </c>
      <c r="O1253">
        <f>IF(INVENTARIO!AB1253="","",INVENTARIO!AB1253)</f>
        <v/>
      </c>
      <c r="P1253">
        <f>IF(INVENTARIO!AC1253="","",INVENTARIO!AC1253)</f>
        <v/>
      </c>
      <c r="Q1253">
        <f>IF(AND(K1253="",N1253="",L1253=""),"",IF(AND((K1253="ALTA"),OR(LEFT(N1253,2)="L0",LEFT(N1253,2)="L1",L1253="No Iniciado")),"CRÍTICO - Incumplimiento Normativo SEPS",IF(AND(OR(LEFT(N1253,2)="L4",LEFT(N1253,2)="L5"),AND(P1253&lt;&gt;"",P1253&lt;&gt;"N/A")),"CONFORME - Control Efectivo ISO 27001","OBSERVACIÓN - Revisar Controles")))</f>
        <v/>
      </c>
    </row>
    <row r="1254">
      <c r="A1254">
        <f>IF(INVENTARIO!A1254="","",INVENTARIO!A1254)</f>
        <v/>
      </c>
      <c r="B1254">
        <f>IF(INVENTARIO!E1254="","",INVENTARIO!E1254)</f>
        <v/>
      </c>
      <c r="C1254">
        <f>IF(INVENTARIO!F1254="","",INVENTARIO!F1254)</f>
        <v/>
      </c>
      <c r="D1254">
        <f>IF(INVENTARIO!H1254="","",INVENTARIO!H1254)</f>
        <v/>
      </c>
      <c r="E1254">
        <f>IF(INVENTARIO!I1254="","",INVENTARIO!I1254)</f>
        <v/>
      </c>
      <c r="F1254">
        <f>IF(INVENTARIO!N1254="","",INVENTARIO!N1254)</f>
        <v/>
      </c>
      <c r="G1254">
        <f>IF(INVENTARIO!P1254="","",INVENTARIO!P1254)</f>
        <v/>
      </c>
      <c r="H1254">
        <f>IF(INVENTARIO!Q1254="","",INVENTARIO!Q1254)</f>
        <v/>
      </c>
      <c r="I1254">
        <f>IF(INVENTARIO!R1254="","",INVENTARIO!R1254)</f>
        <v/>
      </c>
      <c r="J1254">
        <f>IF(G1254="PUBLICA(1)",1,IF(G1254="USO INTERNO(2)",2,IF(G1254="RESTRINGIDO(3)",3,0)))+IF(H1254="BAJA(1)",1,IF(H1254="MEDIA(2)",2,IF(H1254="ALTA(3)",3,0)))+IF(I1254="BAJA(1)",1,IF(I1254="MEDIA(2)",2,IF(I1254="ALTA(3)",3,0)))</f>
        <v/>
      </c>
      <c r="K1254">
        <f>IF(J1254="", "", IF(J1254&gt;=8,"ALTA",IF(J1254&gt;=6,"MEDIA","BAJA")))</f>
        <v/>
      </c>
      <c r="L1254">
        <f>IF(INVENTARIO!Y1254="","",INVENTARIO!Y1254)</f>
        <v/>
      </c>
      <c r="M1254">
        <f>IF(INVENTARIO!Z1254="","",INVENTARIO!Z1254)</f>
        <v/>
      </c>
      <c r="N1254">
        <f>IF(INVENTARIO!AA1254="","",INVENTARIO!AA1254)</f>
        <v/>
      </c>
      <c r="O1254">
        <f>IF(INVENTARIO!AB1254="","",INVENTARIO!AB1254)</f>
        <v/>
      </c>
      <c r="P1254">
        <f>IF(INVENTARIO!AC1254="","",INVENTARIO!AC1254)</f>
        <v/>
      </c>
      <c r="Q1254">
        <f>IF(AND(K1254="",N1254="",L1254=""),"",IF(AND((K1254="ALTA"),OR(LEFT(N1254,2)="L0",LEFT(N1254,2)="L1",L1254="No Iniciado")),"CRÍTICO - Incumplimiento Normativo SEPS",IF(AND(OR(LEFT(N1254,2)="L4",LEFT(N1254,2)="L5"),AND(P1254&lt;&gt;"",P1254&lt;&gt;"N/A")),"CONFORME - Control Efectivo ISO 27001","OBSERVACIÓN - Revisar Controles")))</f>
        <v/>
      </c>
    </row>
    <row r="1255">
      <c r="A1255">
        <f>IF(INVENTARIO!A1255="","",INVENTARIO!A1255)</f>
        <v/>
      </c>
      <c r="B1255">
        <f>IF(INVENTARIO!E1255="","",INVENTARIO!E1255)</f>
        <v/>
      </c>
      <c r="C1255">
        <f>IF(INVENTARIO!F1255="","",INVENTARIO!F1255)</f>
        <v/>
      </c>
      <c r="D1255">
        <f>IF(INVENTARIO!H1255="","",INVENTARIO!H1255)</f>
        <v/>
      </c>
      <c r="E1255">
        <f>IF(INVENTARIO!I1255="","",INVENTARIO!I1255)</f>
        <v/>
      </c>
      <c r="F1255">
        <f>IF(INVENTARIO!N1255="","",INVENTARIO!N1255)</f>
        <v/>
      </c>
      <c r="G1255">
        <f>IF(INVENTARIO!P1255="","",INVENTARIO!P1255)</f>
        <v/>
      </c>
      <c r="H1255">
        <f>IF(INVENTARIO!Q1255="","",INVENTARIO!Q1255)</f>
        <v/>
      </c>
      <c r="I1255">
        <f>IF(INVENTARIO!R1255="","",INVENTARIO!R1255)</f>
        <v/>
      </c>
      <c r="J1255">
        <f>IF(G1255="PUBLICA(1)",1,IF(G1255="USO INTERNO(2)",2,IF(G1255="RESTRINGIDO(3)",3,0)))+IF(H1255="BAJA(1)",1,IF(H1255="MEDIA(2)",2,IF(H1255="ALTA(3)",3,0)))+IF(I1255="BAJA(1)",1,IF(I1255="MEDIA(2)",2,IF(I1255="ALTA(3)",3,0)))</f>
        <v/>
      </c>
      <c r="K1255">
        <f>IF(J1255="", "", IF(J1255&gt;=8,"ALTA",IF(J1255&gt;=6,"MEDIA","BAJA")))</f>
        <v/>
      </c>
      <c r="L1255">
        <f>IF(INVENTARIO!Y1255="","",INVENTARIO!Y1255)</f>
        <v/>
      </c>
      <c r="M1255">
        <f>IF(INVENTARIO!Z1255="","",INVENTARIO!Z1255)</f>
        <v/>
      </c>
      <c r="N1255">
        <f>IF(INVENTARIO!AA1255="","",INVENTARIO!AA1255)</f>
        <v/>
      </c>
      <c r="O1255">
        <f>IF(INVENTARIO!AB1255="","",INVENTARIO!AB1255)</f>
        <v/>
      </c>
      <c r="P1255">
        <f>IF(INVENTARIO!AC1255="","",INVENTARIO!AC1255)</f>
        <v/>
      </c>
      <c r="Q1255">
        <f>IF(AND(K1255="",N1255="",L1255=""),"",IF(AND((K1255="ALTA"),OR(LEFT(N1255,2)="L0",LEFT(N1255,2)="L1",L1255="No Iniciado")),"CRÍTICO - Incumplimiento Normativo SEPS",IF(AND(OR(LEFT(N1255,2)="L4",LEFT(N1255,2)="L5"),AND(P1255&lt;&gt;"",P1255&lt;&gt;"N/A")),"CONFORME - Control Efectivo ISO 27001","OBSERVACIÓN - Revisar Controles")))</f>
        <v/>
      </c>
    </row>
    <row r="1256">
      <c r="A1256">
        <f>IF(INVENTARIO!A1256="","",INVENTARIO!A1256)</f>
        <v/>
      </c>
      <c r="B1256">
        <f>IF(INVENTARIO!E1256="","",INVENTARIO!E1256)</f>
        <v/>
      </c>
      <c r="C1256">
        <f>IF(INVENTARIO!F1256="","",INVENTARIO!F1256)</f>
        <v/>
      </c>
      <c r="D1256">
        <f>IF(INVENTARIO!H1256="","",INVENTARIO!H1256)</f>
        <v/>
      </c>
      <c r="E1256">
        <f>IF(INVENTARIO!I1256="","",INVENTARIO!I1256)</f>
        <v/>
      </c>
      <c r="F1256">
        <f>IF(INVENTARIO!N1256="","",INVENTARIO!N1256)</f>
        <v/>
      </c>
      <c r="G1256">
        <f>IF(INVENTARIO!P1256="","",INVENTARIO!P1256)</f>
        <v/>
      </c>
      <c r="H1256">
        <f>IF(INVENTARIO!Q1256="","",INVENTARIO!Q1256)</f>
        <v/>
      </c>
      <c r="I1256">
        <f>IF(INVENTARIO!R1256="","",INVENTARIO!R1256)</f>
        <v/>
      </c>
      <c r="J1256">
        <f>IF(G1256="PUBLICA(1)",1,IF(G1256="USO INTERNO(2)",2,IF(G1256="RESTRINGIDO(3)",3,0)))+IF(H1256="BAJA(1)",1,IF(H1256="MEDIA(2)",2,IF(H1256="ALTA(3)",3,0)))+IF(I1256="BAJA(1)",1,IF(I1256="MEDIA(2)",2,IF(I1256="ALTA(3)",3,0)))</f>
        <v/>
      </c>
      <c r="K1256">
        <f>IF(J1256="", "", IF(J1256&gt;=8,"ALTA",IF(J1256&gt;=6,"MEDIA","BAJA")))</f>
        <v/>
      </c>
      <c r="L1256">
        <f>IF(INVENTARIO!Y1256="","",INVENTARIO!Y1256)</f>
        <v/>
      </c>
      <c r="M1256">
        <f>IF(INVENTARIO!Z1256="","",INVENTARIO!Z1256)</f>
        <v/>
      </c>
      <c r="N1256">
        <f>IF(INVENTARIO!AA1256="","",INVENTARIO!AA1256)</f>
        <v/>
      </c>
      <c r="O1256">
        <f>IF(INVENTARIO!AB1256="","",INVENTARIO!AB1256)</f>
        <v/>
      </c>
      <c r="P1256">
        <f>IF(INVENTARIO!AC1256="","",INVENTARIO!AC1256)</f>
        <v/>
      </c>
      <c r="Q1256">
        <f>IF(AND(K1256="",N1256="",L1256=""),"",IF(AND((K1256="ALTA"),OR(LEFT(N1256,2)="L0",LEFT(N1256,2)="L1",L1256="No Iniciado")),"CRÍTICO - Incumplimiento Normativo SEPS",IF(AND(OR(LEFT(N1256,2)="L4",LEFT(N1256,2)="L5"),AND(P1256&lt;&gt;"",P1256&lt;&gt;"N/A")),"CONFORME - Control Efectivo ISO 27001","OBSERVACIÓN - Revisar Controles")))</f>
        <v/>
      </c>
    </row>
    <row r="1257">
      <c r="A1257">
        <f>IF(INVENTARIO!A1257="","",INVENTARIO!A1257)</f>
        <v/>
      </c>
      <c r="B1257">
        <f>IF(INVENTARIO!E1257="","",INVENTARIO!E1257)</f>
        <v/>
      </c>
      <c r="C1257">
        <f>IF(INVENTARIO!F1257="","",INVENTARIO!F1257)</f>
        <v/>
      </c>
      <c r="D1257">
        <f>IF(INVENTARIO!H1257="","",INVENTARIO!H1257)</f>
        <v/>
      </c>
      <c r="E1257">
        <f>IF(INVENTARIO!I1257="","",INVENTARIO!I1257)</f>
        <v/>
      </c>
      <c r="F1257">
        <f>IF(INVENTARIO!N1257="","",INVENTARIO!N1257)</f>
        <v/>
      </c>
      <c r="G1257">
        <f>IF(INVENTARIO!P1257="","",INVENTARIO!P1257)</f>
        <v/>
      </c>
      <c r="H1257">
        <f>IF(INVENTARIO!Q1257="","",INVENTARIO!Q1257)</f>
        <v/>
      </c>
      <c r="I1257">
        <f>IF(INVENTARIO!R1257="","",INVENTARIO!R1257)</f>
        <v/>
      </c>
      <c r="J1257">
        <f>IF(G1257="PUBLICA(1)",1,IF(G1257="USO INTERNO(2)",2,IF(G1257="RESTRINGIDO(3)",3,0)))+IF(H1257="BAJA(1)",1,IF(H1257="MEDIA(2)",2,IF(H1257="ALTA(3)",3,0)))+IF(I1257="BAJA(1)",1,IF(I1257="MEDIA(2)",2,IF(I1257="ALTA(3)",3,0)))</f>
        <v/>
      </c>
      <c r="K1257">
        <f>IF(J1257="", "", IF(J1257&gt;=8,"ALTA",IF(J1257&gt;=6,"MEDIA","BAJA")))</f>
        <v/>
      </c>
      <c r="L1257">
        <f>IF(INVENTARIO!Y1257="","",INVENTARIO!Y1257)</f>
        <v/>
      </c>
      <c r="M1257">
        <f>IF(INVENTARIO!Z1257="","",INVENTARIO!Z1257)</f>
        <v/>
      </c>
      <c r="N1257">
        <f>IF(INVENTARIO!AA1257="","",INVENTARIO!AA1257)</f>
        <v/>
      </c>
      <c r="O1257">
        <f>IF(INVENTARIO!AB1257="","",INVENTARIO!AB1257)</f>
        <v/>
      </c>
      <c r="P1257">
        <f>IF(INVENTARIO!AC1257="","",INVENTARIO!AC1257)</f>
        <v/>
      </c>
      <c r="Q1257">
        <f>IF(AND(K1257="",N1257="",L1257=""),"",IF(AND((K1257="ALTA"),OR(LEFT(N1257,2)="L0",LEFT(N1257,2)="L1",L1257="No Iniciado")),"CRÍTICO - Incumplimiento Normativo SEPS",IF(AND(OR(LEFT(N1257,2)="L4",LEFT(N1257,2)="L5"),AND(P1257&lt;&gt;"",P1257&lt;&gt;"N/A")),"CONFORME - Control Efectivo ISO 27001","OBSERVACIÓN - Revisar Controles")))</f>
        <v/>
      </c>
    </row>
    <row r="1258">
      <c r="A1258">
        <f>IF(INVENTARIO!A1258="","",INVENTARIO!A1258)</f>
        <v/>
      </c>
      <c r="B1258">
        <f>IF(INVENTARIO!E1258="","",INVENTARIO!E1258)</f>
        <v/>
      </c>
      <c r="C1258">
        <f>IF(INVENTARIO!F1258="","",INVENTARIO!F1258)</f>
        <v/>
      </c>
      <c r="D1258">
        <f>IF(INVENTARIO!H1258="","",INVENTARIO!H1258)</f>
        <v/>
      </c>
      <c r="E1258">
        <f>IF(INVENTARIO!I1258="","",INVENTARIO!I1258)</f>
        <v/>
      </c>
      <c r="F1258">
        <f>IF(INVENTARIO!N1258="","",INVENTARIO!N1258)</f>
        <v/>
      </c>
      <c r="G1258">
        <f>IF(INVENTARIO!P1258="","",INVENTARIO!P1258)</f>
        <v/>
      </c>
      <c r="H1258">
        <f>IF(INVENTARIO!Q1258="","",INVENTARIO!Q1258)</f>
        <v/>
      </c>
      <c r="I1258">
        <f>IF(INVENTARIO!R1258="","",INVENTARIO!R1258)</f>
        <v/>
      </c>
      <c r="J1258">
        <f>IF(G1258="PUBLICA(1)",1,IF(G1258="USO INTERNO(2)",2,IF(G1258="RESTRINGIDO(3)",3,0)))+IF(H1258="BAJA(1)",1,IF(H1258="MEDIA(2)",2,IF(H1258="ALTA(3)",3,0)))+IF(I1258="BAJA(1)",1,IF(I1258="MEDIA(2)",2,IF(I1258="ALTA(3)",3,0)))</f>
        <v/>
      </c>
      <c r="K1258">
        <f>IF(J1258="", "", IF(J1258&gt;=8,"ALTA",IF(J1258&gt;=6,"MEDIA","BAJA")))</f>
        <v/>
      </c>
      <c r="L1258">
        <f>IF(INVENTARIO!Y1258="","",INVENTARIO!Y1258)</f>
        <v/>
      </c>
      <c r="M1258">
        <f>IF(INVENTARIO!Z1258="","",INVENTARIO!Z1258)</f>
        <v/>
      </c>
      <c r="N1258">
        <f>IF(INVENTARIO!AA1258="","",INVENTARIO!AA1258)</f>
        <v/>
      </c>
      <c r="O1258">
        <f>IF(INVENTARIO!AB1258="","",INVENTARIO!AB1258)</f>
        <v/>
      </c>
      <c r="P1258">
        <f>IF(INVENTARIO!AC1258="","",INVENTARIO!AC1258)</f>
        <v/>
      </c>
      <c r="Q1258">
        <f>IF(AND(K1258="",N1258="",L1258=""),"",IF(AND((K1258="ALTA"),OR(LEFT(N1258,2)="L0",LEFT(N1258,2)="L1",L1258="No Iniciado")),"CRÍTICO - Incumplimiento Normativo SEPS",IF(AND(OR(LEFT(N1258,2)="L4",LEFT(N1258,2)="L5"),AND(P1258&lt;&gt;"",P1258&lt;&gt;"N/A")),"CONFORME - Control Efectivo ISO 27001","OBSERVACIÓN - Revisar Controles")))</f>
        <v/>
      </c>
    </row>
    <row r="1259">
      <c r="A1259">
        <f>IF(INVENTARIO!A1259="","",INVENTARIO!A1259)</f>
        <v/>
      </c>
      <c r="B1259">
        <f>IF(INVENTARIO!E1259="","",INVENTARIO!E1259)</f>
        <v/>
      </c>
      <c r="C1259">
        <f>IF(INVENTARIO!F1259="","",INVENTARIO!F1259)</f>
        <v/>
      </c>
      <c r="D1259">
        <f>IF(INVENTARIO!H1259="","",INVENTARIO!H1259)</f>
        <v/>
      </c>
      <c r="E1259">
        <f>IF(INVENTARIO!I1259="","",INVENTARIO!I1259)</f>
        <v/>
      </c>
      <c r="F1259">
        <f>IF(INVENTARIO!N1259="","",INVENTARIO!N1259)</f>
        <v/>
      </c>
      <c r="G1259">
        <f>IF(INVENTARIO!P1259="","",INVENTARIO!P1259)</f>
        <v/>
      </c>
      <c r="H1259">
        <f>IF(INVENTARIO!Q1259="","",INVENTARIO!Q1259)</f>
        <v/>
      </c>
      <c r="I1259">
        <f>IF(INVENTARIO!R1259="","",INVENTARIO!R1259)</f>
        <v/>
      </c>
      <c r="J1259">
        <f>IF(G1259="PUBLICA(1)",1,IF(G1259="USO INTERNO(2)",2,IF(G1259="RESTRINGIDO(3)",3,0)))+IF(H1259="BAJA(1)",1,IF(H1259="MEDIA(2)",2,IF(H1259="ALTA(3)",3,0)))+IF(I1259="BAJA(1)",1,IF(I1259="MEDIA(2)",2,IF(I1259="ALTA(3)",3,0)))</f>
        <v/>
      </c>
      <c r="K1259">
        <f>IF(J1259="", "", IF(J1259&gt;=8,"ALTA",IF(J1259&gt;=6,"MEDIA","BAJA")))</f>
        <v/>
      </c>
      <c r="L1259">
        <f>IF(INVENTARIO!Y1259="","",INVENTARIO!Y1259)</f>
        <v/>
      </c>
      <c r="M1259">
        <f>IF(INVENTARIO!Z1259="","",INVENTARIO!Z1259)</f>
        <v/>
      </c>
      <c r="N1259">
        <f>IF(INVENTARIO!AA1259="","",INVENTARIO!AA1259)</f>
        <v/>
      </c>
      <c r="O1259">
        <f>IF(INVENTARIO!AB1259="","",INVENTARIO!AB1259)</f>
        <v/>
      </c>
      <c r="P1259">
        <f>IF(INVENTARIO!AC1259="","",INVENTARIO!AC1259)</f>
        <v/>
      </c>
      <c r="Q1259">
        <f>IF(AND(K1259="",N1259="",L1259=""),"",IF(AND((K1259="ALTA"),OR(LEFT(N1259,2)="L0",LEFT(N1259,2)="L1",L1259="No Iniciado")),"CRÍTICO - Incumplimiento Normativo SEPS",IF(AND(OR(LEFT(N1259,2)="L4",LEFT(N1259,2)="L5"),AND(P1259&lt;&gt;"",P1259&lt;&gt;"N/A")),"CONFORME - Control Efectivo ISO 27001","OBSERVACIÓN - Revisar Controles")))</f>
        <v/>
      </c>
    </row>
    <row r="1260">
      <c r="A1260">
        <f>IF(INVENTARIO!A1260="","",INVENTARIO!A1260)</f>
        <v/>
      </c>
      <c r="B1260">
        <f>IF(INVENTARIO!E1260="","",INVENTARIO!E1260)</f>
        <v/>
      </c>
      <c r="C1260">
        <f>IF(INVENTARIO!F1260="","",INVENTARIO!F1260)</f>
        <v/>
      </c>
      <c r="D1260">
        <f>IF(INVENTARIO!H1260="","",INVENTARIO!H1260)</f>
        <v/>
      </c>
      <c r="E1260">
        <f>IF(INVENTARIO!I1260="","",INVENTARIO!I1260)</f>
        <v/>
      </c>
      <c r="F1260">
        <f>IF(INVENTARIO!N1260="","",INVENTARIO!N1260)</f>
        <v/>
      </c>
      <c r="G1260">
        <f>IF(INVENTARIO!P1260="","",INVENTARIO!P1260)</f>
        <v/>
      </c>
      <c r="H1260">
        <f>IF(INVENTARIO!Q1260="","",INVENTARIO!Q1260)</f>
        <v/>
      </c>
      <c r="I1260">
        <f>IF(INVENTARIO!R1260="","",INVENTARIO!R1260)</f>
        <v/>
      </c>
      <c r="J1260">
        <f>IF(G1260="PUBLICA(1)",1,IF(G1260="USO INTERNO(2)",2,IF(G1260="RESTRINGIDO(3)",3,0)))+IF(H1260="BAJA(1)",1,IF(H1260="MEDIA(2)",2,IF(H1260="ALTA(3)",3,0)))+IF(I1260="BAJA(1)",1,IF(I1260="MEDIA(2)",2,IF(I1260="ALTA(3)",3,0)))</f>
        <v/>
      </c>
      <c r="K1260">
        <f>IF(J1260="", "", IF(J1260&gt;=8,"ALTA",IF(J1260&gt;=6,"MEDIA","BAJA")))</f>
        <v/>
      </c>
      <c r="L1260">
        <f>IF(INVENTARIO!Y1260="","",INVENTARIO!Y1260)</f>
        <v/>
      </c>
      <c r="M1260">
        <f>IF(INVENTARIO!Z1260="","",INVENTARIO!Z1260)</f>
        <v/>
      </c>
      <c r="N1260">
        <f>IF(INVENTARIO!AA1260="","",INVENTARIO!AA1260)</f>
        <v/>
      </c>
      <c r="O1260">
        <f>IF(INVENTARIO!AB1260="","",INVENTARIO!AB1260)</f>
        <v/>
      </c>
      <c r="P1260">
        <f>IF(INVENTARIO!AC1260="","",INVENTARIO!AC1260)</f>
        <v/>
      </c>
      <c r="Q1260">
        <f>IF(AND(K1260="",N1260="",L1260=""),"",IF(AND((K1260="ALTA"),OR(LEFT(N1260,2)="L0",LEFT(N1260,2)="L1",L1260="No Iniciado")),"CRÍTICO - Incumplimiento Normativo SEPS",IF(AND(OR(LEFT(N1260,2)="L4",LEFT(N1260,2)="L5"),AND(P1260&lt;&gt;"",P1260&lt;&gt;"N/A")),"CONFORME - Control Efectivo ISO 27001","OBSERVACIÓN - Revisar Controles")))</f>
        <v/>
      </c>
    </row>
    <row r="1261">
      <c r="A1261">
        <f>IF(INVENTARIO!A1261="","",INVENTARIO!A1261)</f>
        <v/>
      </c>
      <c r="B1261">
        <f>IF(INVENTARIO!E1261="","",INVENTARIO!E1261)</f>
        <v/>
      </c>
      <c r="C1261">
        <f>IF(INVENTARIO!F1261="","",INVENTARIO!F1261)</f>
        <v/>
      </c>
      <c r="D1261">
        <f>IF(INVENTARIO!H1261="","",INVENTARIO!H1261)</f>
        <v/>
      </c>
      <c r="E1261">
        <f>IF(INVENTARIO!I1261="","",INVENTARIO!I1261)</f>
        <v/>
      </c>
      <c r="F1261">
        <f>IF(INVENTARIO!N1261="","",INVENTARIO!N1261)</f>
        <v/>
      </c>
      <c r="G1261">
        <f>IF(INVENTARIO!P1261="","",INVENTARIO!P1261)</f>
        <v/>
      </c>
      <c r="H1261">
        <f>IF(INVENTARIO!Q1261="","",INVENTARIO!Q1261)</f>
        <v/>
      </c>
      <c r="I1261">
        <f>IF(INVENTARIO!R1261="","",INVENTARIO!R1261)</f>
        <v/>
      </c>
      <c r="J1261">
        <f>IF(G1261="PUBLICA(1)",1,IF(G1261="USO INTERNO(2)",2,IF(G1261="RESTRINGIDO(3)",3,0)))+IF(H1261="BAJA(1)",1,IF(H1261="MEDIA(2)",2,IF(H1261="ALTA(3)",3,0)))+IF(I1261="BAJA(1)",1,IF(I1261="MEDIA(2)",2,IF(I1261="ALTA(3)",3,0)))</f>
        <v/>
      </c>
      <c r="K1261">
        <f>IF(J1261="", "", IF(J1261&gt;=8,"ALTA",IF(J1261&gt;=6,"MEDIA","BAJA")))</f>
        <v/>
      </c>
      <c r="L1261">
        <f>IF(INVENTARIO!Y1261="","",INVENTARIO!Y1261)</f>
        <v/>
      </c>
      <c r="M1261">
        <f>IF(INVENTARIO!Z1261="","",INVENTARIO!Z1261)</f>
        <v/>
      </c>
      <c r="N1261">
        <f>IF(INVENTARIO!AA1261="","",INVENTARIO!AA1261)</f>
        <v/>
      </c>
      <c r="O1261">
        <f>IF(INVENTARIO!AB1261="","",INVENTARIO!AB1261)</f>
        <v/>
      </c>
      <c r="P1261">
        <f>IF(INVENTARIO!AC1261="","",INVENTARIO!AC1261)</f>
        <v/>
      </c>
      <c r="Q1261">
        <f>IF(AND(K1261="",N1261="",L1261=""),"",IF(AND((K1261="ALTA"),OR(LEFT(N1261,2)="L0",LEFT(N1261,2)="L1",L1261="No Iniciado")),"CRÍTICO - Incumplimiento Normativo SEPS",IF(AND(OR(LEFT(N1261,2)="L4",LEFT(N1261,2)="L5"),AND(P1261&lt;&gt;"",P1261&lt;&gt;"N/A")),"CONFORME - Control Efectivo ISO 27001","OBSERVACIÓN - Revisar Controles")))</f>
        <v/>
      </c>
    </row>
    <row r="1262">
      <c r="A1262">
        <f>IF(INVENTARIO!A1262="","",INVENTARIO!A1262)</f>
        <v/>
      </c>
      <c r="B1262">
        <f>IF(INVENTARIO!E1262="","",INVENTARIO!E1262)</f>
        <v/>
      </c>
      <c r="C1262">
        <f>IF(INVENTARIO!F1262="","",INVENTARIO!F1262)</f>
        <v/>
      </c>
      <c r="D1262">
        <f>IF(INVENTARIO!H1262="","",INVENTARIO!H1262)</f>
        <v/>
      </c>
      <c r="E1262">
        <f>IF(INVENTARIO!I1262="","",INVENTARIO!I1262)</f>
        <v/>
      </c>
      <c r="F1262">
        <f>IF(INVENTARIO!N1262="","",INVENTARIO!N1262)</f>
        <v/>
      </c>
      <c r="G1262">
        <f>IF(INVENTARIO!P1262="","",INVENTARIO!P1262)</f>
        <v/>
      </c>
      <c r="H1262">
        <f>IF(INVENTARIO!Q1262="","",INVENTARIO!Q1262)</f>
        <v/>
      </c>
      <c r="I1262">
        <f>IF(INVENTARIO!R1262="","",INVENTARIO!R1262)</f>
        <v/>
      </c>
      <c r="J1262">
        <f>IF(G1262="PUBLICA(1)",1,IF(G1262="USO INTERNO(2)",2,IF(G1262="RESTRINGIDO(3)",3,0)))+IF(H1262="BAJA(1)",1,IF(H1262="MEDIA(2)",2,IF(H1262="ALTA(3)",3,0)))+IF(I1262="BAJA(1)",1,IF(I1262="MEDIA(2)",2,IF(I1262="ALTA(3)",3,0)))</f>
        <v/>
      </c>
      <c r="K1262">
        <f>IF(J1262="", "", IF(J1262&gt;=8,"ALTA",IF(J1262&gt;=6,"MEDIA","BAJA")))</f>
        <v/>
      </c>
      <c r="L1262">
        <f>IF(INVENTARIO!Y1262="","",INVENTARIO!Y1262)</f>
        <v/>
      </c>
      <c r="M1262">
        <f>IF(INVENTARIO!Z1262="","",INVENTARIO!Z1262)</f>
        <v/>
      </c>
      <c r="N1262">
        <f>IF(INVENTARIO!AA1262="","",INVENTARIO!AA1262)</f>
        <v/>
      </c>
      <c r="O1262">
        <f>IF(INVENTARIO!AB1262="","",INVENTARIO!AB1262)</f>
        <v/>
      </c>
      <c r="P1262">
        <f>IF(INVENTARIO!AC1262="","",INVENTARIO!AC1262)</f>
        <v/>
      </c>
      <c r="Q1262">
        <f>IF(AND(K1262="",N1262="",L1262=""),"",IF(AND((K1262="ALTA"),OR(LEFT(N1262,2)="L0",LEFT(N1262,2)="L1",L1262="No Iniciado")),"CRÍTICO - Incumplimiento Normativo SEPS",IF(AND(OR(LEFT(N1262,2)="L4",LEFT(N1262,2)="L5"),AND(P1262&lt;&gt;"",P1262&lt;&gt;"N/A")),"CONFORME - Control Efectivo ISO 27001","OBSERVACIÓN - Revisar Controles")))</f>
        <v/>
      </c>
    </row>
    <row r="1263">
      <c r="A1263">
        <f>IF(INVENTARIO!A1263="","",INVENTARIO!A1263)</f>
        <v/>
      </c>
      <c r="B1263">
        <f>IF(INVENTARIO!E1263="","",INVENTARIO!E1263)</f>
        <v/>
      </c>
      <c r="C1263">
        <f>IF(INVENTARIO!F1263="","",INVENTARIO!F1263)</f>
        <v/>
      </c>
      <c r="D1263">
        <f>IF(INVENTARIO!H1263="","",INVENTARIO!H1263)</f>
        <v/>
      </c>
      <c r="E1263">
        <f>IF(INVENTARIO!I1263="","",INVENTARIO!I1263)</f>
        <v/>
      </c>
      <c r="F1263">
        <f>IF(INVENTARIO!N1263="","",INVENTARIO!N1263)</f>
        <v/>
      </c>
      <c r="G1263">
        <f>IF(INVENTARIO!P1263="","",INVENTARIO!P1263)</f>
        <v/>
      </c>
      <c r="H1263">
        <f>IF(INVENTARIO!Q1263="","",INVENTARIO!Q1263)</f>
        <v/>
      </c>
      <c r="I1263">
        <f>IF(INVENTARIO!R1263="","",INVENTARIO!R1263)</f>
        <v/>
      </c>
      <c r="J1263">
        <f>IF(G1263="PUBLICA(1)",1,IF(G1263="USO INTERNO(2)",2,IF(G1263="RESTRINGIDO(3)",3,0)))+IF(H1263="BAJA(1)",1,IF(H1263="MEDIA(2)",2,IF(H1263="ALTA(3)",3,0)))+IF(I1263="BAJA(1)",1,IF(I1263="MEDIA(2)",2,IF(I1263="ALTA(3)",3,0)))</f>
        <v/>
      </c>
      <c r="K1263">
        <f>IF(J1263="", "", IF(J1263&gt;=8,"ALTA",IF(J1263&gt;=6,"MEDIA","BAJA")))</f>
        <v/>
      </c>
      <c r="L1263">
        <f>IF(INVENTARIO!Y1263="","",INVENTARIO!Y1263)</f>
        <v/>
      </c>
      <c r="M1263">
        <f>IF(INVENTARIO!Z1263="","",INVENTARIO!Z1263)</f>
        <v/>
      </c>
      <c r="N1263">
        <f>IF(INVENTARIO!AA1263="","",INVENTARIO!AA1263)</f>
        <v/>
      </c>
      <c r="O1263">
        <f>IF(INVENTARIO!AB1263="","",INVENTARIO!AB1263)</f>
        <v/>
      </c>
      <c r="P1263">
        <f>IF(INVENTARIO!AC1263="","",INVENTARIO!AC1263)</f>
        <v/>
      </c>
      <c r="Q1263">
        <f>IF(AND(K1263="",N1263="",L1263=""),"",IF(AND((K1263="ALTA"),OR(LEFT(N1263,2)="L0",LEFT(N1263,2)="L1",L1263="No Iniciado")),"CRÍTICO - Incumplimiento Normativo SEPS",IF(AND(OR(LEFT(N1263,2)="L4",LEFT(N1263,2)="L5"),AND(P1263&lt;&gt;"",P1263&lt;&gt;"N/A")),"CONFORME - Control Efectivo ISO 27001","OBSERVACIÓN - Revisar Controles")))</f>
        <v/>
      </c>
    </row>
    <row r="1264">
      <c r="A1264">
        <f>IF(INVENTARIO!A1264="","",INVENTARIO!A1264)</f>
        <v/>
      </c>
      <c r="B1264">
        <f>IF(INVENTARIO!E1264="","",INVENTARIO!E1264)</f>
        <v/>
      </c>
      <c r="C1264">
        <f>IF(INVENTARIO!F1264="","",INVENTARIO!F1264)</f>
        <v/>
      </c>
      <c r="D1264">
        <f>IF(INVENTARIO!H1264="","",INVENTARIO!H1264)</f>
        <v/>
      </c>
      <c r="E1264">
        <f>IF(INVENTARIO!I1264="","",INVENTARIO!I1264)</f>
        <v/>
      </c>
      <c r="F1264">
        <f>IF(INVENTARIO!N1264="","",INVENTARIO!N1264)</f>
        <v/>
      </c>
      <c r="G1264">
        <f>IF(INVENTARIO!P1264="","",INVENTARIO!P1264)</f>
        <v/>
      </c>
      <c r="H1264">
        <f>IF(INVENTARIO!Q1264="","",INVENTARIO!Q1264)</f>
        <v/>
      </c>
      <c r="I1264">
        <f>IF(INVENTARIO!R1264="","",INVENTARIO!R1264)</f>
        <v/>
      </c>
      <c r="J1264">
        <f>IF(G1264="PUBLICA(1)",1,IF(G1264="USO INTERNO(2)",2,IF(G1264="RESTRINGIDO(3)",3,0)))+IF(H1264="BAJA(1)",1,IF(H1264="MEDIA(2)",2,IF(H1264="ALTA(3)",3,0)))+IF(I1264="BAJA(1)",1,IF(I1264="MEDIA(2)",2,IF(I1264="ALTA(3)",3,0)))</f>
        <v/>
      </c>
      <c r="K1264">
        <f>IF(J1264="", "", IF(J1264&gt;=8,"ALTA",IF(J1264&gt;=6,"MEDIA","BAJA")))</f>
        <v/>
      </c>
      <c r="L1264">
        <f>IF(INVENTARIO!Y1264="","",INVENTARIO!Y1264)</f>
        <v/>
      </c>
      <c r="M1264">
        <f>IF(INVENTARIO!Z1264="","",INVENTARIO!Z1264)</f>
        <v/>
      </c>
      <c r="N1264">
        <f>IF(INVENTARIO!AA1264="","",INVENTARIO!AA1264)</f>
        <v/>
      </c>
      <c r="O1264">
        <f>IF(INVENTARIO!AB1264="","",INVENTARIO!AB1264)</f>
        <v/>
      </c>
      <c r="P1264">
        <f>IF(INVENTARIO!AC1264="","",INVENTARIO!AC1264)</f>
        <v/>
      </c>
      <c r="Q1264">
        <f>IF(AND(K1264="",N1264="",L1264=""),"",IF(AND((K1264="ALTA"),OR(LEFT(N1264,2)="L0",LEFT(N1264,2)="L1",L1264="No Iniciado")),"CRÍTICO - Incumplimiento Normativo SEPS",IF(AND(OR(LEFT(N1264,2)="L4",LEFT(N1264,2)="L5"),AND(P1264&lt;&gt;"",P1264&lt;&gt;"N/A")),"CONFORME - Control Efectivo ISO 27001","OBSERVACIÓN - Revisar Controles")))</f>
        <v/>
      </c>
    </row>
    <row r="1265">
      <c r="A1265">
        <f>IF(INVENTARIO!A1265="","",INVENTARIO!A1265)</f>
        <v/>
      </c>
      <c r="B1265">
        <f>IF(INVENTARIO!E1265="","",INVENTARIO!E1265)</f>
        <v/>
      </c>
      <c r="C1265">
        <f>IF(INVENTARIO!F1265="","",INVENTARIO!F1265)</f>
        <v/>
      </c>
      <c r="D1265">
        <f>IF(INVENTARIO!H1265="","",INVENTARIO!H1265)</f>
        <v/>
      </c>
      <c r="E1265">
        <f>IF(INVENTARIO!I1265="","",INVENTARIO!I1265)</f>
        <v/>
      </c>
      <c r="F1265">
        <f>IF(INVENTARIO!N1265="","",INVENTARIO!N1265)</f>
        <v/>
      </c>
      <c r="G1265">
        <f>IF(INVENTARIO!P1265="","",INVENTARIO!P1265)</f>
        <v/>
      </c>
      <c r="H1265">
        <f>IF(INVENTARIO!Q1265="","",INVENTARIO!Q1265)</f>
        <v/>
      </c>
      <c r="I1265">
        <f>IF(INVENTARIO!R1265="","",INVENTARIO!R1265)</f>
        <v/>
      </c>
      <c r="J1265">
        <f>IF(G1265="PUBLICA(1)",1,IF(G1265="USO INTERNO(2)",2,IF(G1265="RESTRINGIDO(3)",3,0)))+IF(H1265="BAJA(1)",1,IF(H1265="MEDIA(2)",2,IF(H1265="ALTA(3)",3,0)))+IF(I1265="BAJA(1)",1,IF(I1265="MEDIA(2)",2,IF(I1265="ALTA(3)",3,0)))</f>
        <v/>
      </c>
      <c r="K1265">
        <f>IF(J1265="", "", IF(J1265&gt;=8,"ALTA",IF(J1265&gt;=6,"MEDIA","BAJA")))</f>
        <v/>
      </c>
      <c r="L1265">
        <f>IF(INVENTARIO!Y1265="","",INVENTARIO!Y1265)</f>
        <v/>
      </c>
      <c r="M1265">
        <f>IF(INVENTARIO!Z1265="","",INVENTARIO!Z1265)</f>
        <v/>
      </c>
      <c r="N1265">
        <f>IF(INVENTARIO!AA1265="","",INVENTARIO!AA1265)</f>
        <v/>
      </c>
      <c r="O1265">
        <f>IF(INVENTARIO!AB1265="","",INVENTARIO!AB1265)</f>
        <v/>
      </c>
      <c r="P1265">
        <f>IF(INVENTARIO!AC1265="","",INVENTARIO!AC1265)</f>
        <v/>
      </c>
      <c r="Q1265">
        <f>IF(AND(K1265="",N1265="",L1265=""),"",IF(AND((K1265="ALTA"),OR(LEFT(N1265,2)="L0",LEFT(N1265,2)="L1",L1265="No Iniciado")),"CRÍTICO - Incumplimiento Normativo SEPS",IF(AND(OR(LEFT(N1265,2)="L4",LEFT(N1265,2)="L5"),AND(P1265&lt;&gt;"",P1265&lt;&gt;"N/A")),"CONFORME - Control Efectivo ISO 27001","OBSERVACIÓN - Revisar Controles")))</f>
        <v/>
      </c>
    </row>
    <row r="1266">
      <c r="A1266">
        <f>IF(INVENTARIO!A1266="","",INVENTARIO!A1266)</f>
        <v/>
      </c>
      <c r="B1266">
        <f>IF(INVENTARIO!E1266="","",INVENTARIO!E1266)</f>
        <v/>
      </c>
      <c r="C1266">
        <f>IF(INVENTARIO!F1266="","",INVENTARIO!F1266)</f>
        <v/>
      </c>
      <c r="D1266">
        <f>IF(INVENTARIO!H1266="","",INVENTARIO!H1266)</f>
        <v/>
      </c>
      <c r="E1266">
        <f>IF(INVENTARIO!I1266="","",INVENTARIO!I1266)</f>
        <v/>
      </c>
      <c r="F1266">
        <f>IF(INVENTARIO!N1266="","",INVENTARIO!N1266)</f>
        <v/>
      </c>
      <c r="G1266">
        <f>IF(INVENTARIO!P1266="","",INVENTARIO!P1266)</f>
        <v/>
      </c>
      <c r="H1266">
        <f>IF(INVENTARIO!Q1266="","",INVENTARIO!Q1266)</f>
        <v/>
      </c>
      <c r="I1266">
        <f>IF(INVENTARIO!R1266="","",INVENTARIO!R1266)</f>
        <v/>
      </c>
      <c r="J1266">
        <f>IF(G1266="PUBLICA(1)",1,IF(G1266="USO INTERNO(2)",2,IF(G1266="RESTRINGIDO(3)",3,0)))+IF(H1266="BAJA(1)",1,IF(H1266="MEDIA(2)",2,IF(H1266="ALTA(3)",3,0)))+IF(I1266="BAJA(1)",1,IF(I1266="MEDIA(2)",2,IF(I1266="ALTA(3)",3,0)))</f>
        <v/>
      </c>
      <c r="K1266">
        <f>IF(J1266="", "", IF(J1266&gt;=8,"ALTA",IF(J1266&gt;=6,"MEDIA","BAJA")))</f>
        <v/>
      </c>
      <c r="L1266">
        <f>IF(INVENTARIO!Y1266="","",INVENTARIO!Y1266)</f>
        <v/>
      </c>
      <c r="M1266">
        <f>IF(INVENTARIO!Z1266="","",INVENTARIO!Z1266)</f>
        <v/>
      </c>
      <c r="N1266">
        <f>IF(INVENTARIO!AA1266="","",INVENTARIO!AA1266)</f>
        <v/>
      </c>
      <c r="O1266">
        <f>IF(INVENTARIO!AB1266="","",INVENTARIO!AB1266)</f>
        <v/>
      </c>
      <c r="P1266">
        <f>IF(INVENTARIO!AC1266="","",INVENTARIO!AC1266)</f>
        <v/>
      </c>
      <c r="Q1266">
        <f>IF(AND(K1266="",N1266="",L1266=""),"",IF(AND((K1266="ALTA"),OR(LEFT(N1266,2)="L0",LEFT(N1266,2)="L1",L1266="No Iniciado")),"CRÍTICO - Incumplimiento Normativo SEPS",IF(AND(OR(LEFT(N1266,2)="L4",LEFT(N1266,2)="L5"),AND(P1266&lt;&gt;"",P1266&lt;&gt;"N/A")),"CONFORME - Control Efectivo ISO 27001","OBSERVACIÓN - Revisar Controles")))</f>
        <v/>
      </c>
    </row>
    <row r="1267">
      <c r="A1267">
        <f>IF(INVENTARIO!A1267="","",INVENTARIO!A1267)</f>
        <v/>
      </c>
      <c r="B1267">
        <f>IF(INVENTARIO!E1267="","",INVENTARIO!E1267)</f>
        <v/>
      </c>
      <c r="C1267">
        <f>IF(INVENTARIO!F1267="","",INVENTARIO!F1267)</f>
        <v/>
      </c>
      <c r="D1267">
        <f>IF(INVENTARIO!H1267="","",INVENTARIO!H1267)</f>
        <v/>
      </c>
      <c r="E1267">
        <f>IF(INVENTARIO!I1267="","",INVENTARIO!I1267)</f>
        <v/>
      </c>
      <c r="F1267">
        <f>IF(INVENTARIO!N1267="","",INVENTARIO!N1267)</f>
        <v/>
      </c>
      <c r="G1267">
        <f>IF(INVENTARIO!P1267="","",INVENTARIO!P1267)</f>
        <v/>
      </c>
      <c r="H1267">
        <f>IF(INVENTARIO!Q1267="","",INVENTARIO!Q1267)</f>
        <v/>
      </c>
      <c r="I1267">
        <f>IF(INVENTARIO!R1267="","",INVENTARIO!R1267)</f>
        <v/>
      </c>
      <c r="J1267">
        <f>IF(G1267="PUBLICA(1)",1,IF(G1267="USO INTERNO(2)",2,IF(G1267="RESTRINGIDO(3)",3,0)))+IF(H1267="BAJA(1)",1,IF(H1267="MEDIA(2)",2,IF(H1267="ALTA(3)",3,0)))+IF(I1267="BAJA(1)",1,IF(I1267="MEDIA(2)",2,IF(I1267="ALTA(3)",3,0)))</f>
        <v/>
      </c>
      <c r="K1267">
        <f>IF(J1267="", "", IF(J1267&gt;=8,"ALTA",IF(J1267&gt;=6,"MEDIA","BAJA")))</f>
        <v/>
      </c>
      <c r="L1267">
        <f>IF(INVENTARIO!Y1267="","",INVENTARIO!Y1267)</f>
        <v/>
      </c>
      <c r="M1267">
        <f>IF(INVENTARIO!Z1267="","",INVENTARIO!Z1267)</f>
        <v/>
      </c>
      <c r="N1267">
        <f>IF(INVENTARIO!AA1267="","",INVENTARIO!AA1267)</f>
        <v/>
      </c>
      <c r="O1267">
        <f>IF(INVENTARIO!AB1267="","",INVENTARIO!AB1267)</f>
        <v/>
      </c>
      <c r="P1267">
        <f>IF(INVENTARIO!AC1267="","",INVENTARIO!AC1267)</f>
        <v/>
      </c>
      <c r="Q1267">
        <f>IF(AND(K1267="",N1267="",L1267=""),"",IF(AND((K1267="ALTA"),OR(LEFT(N1267,2)="L0",LEFT(N1267,2)="L1",L1267="No Iniciado")),"CRÍTICO - Incumplimiento Normativo SEPS",IF(AND(OR(LEFT(N1267,2)="L4",LEFT(N1267,2)="L5"),AND(P1267&lt;&gt;"",P1267&lt;&gt;"N/A")),"CONFORME - Control Efectivo ISO 27001","OBSERVACIÓN - Revisar Controles")))</f>
        <v/>
      </c>
    </row>
    <row r="1268">
      <c r="A1268">
        <f>IF(INVENTARIO!A1268="","",INVENTARIO!A1268)</f>
        <v/>
      </c>
      <c r="B1268">
        <f>IF(INVENTARIO!E1268="","",INVENTARIO!E1268)</f>
        <v/>
      </c>
      <c r="C1268">
        <f>IF(INVENTARIO!F1268="","",INVENTARIO!F1268)</f>
        <v/>
      </c>
      <c r="D1268">
        <f>IF(INVENTARIO!H1268="","",INVENTARIO!H1268)</f>
        <v/>
      </c>
      <c r="E1268">
        <f>IF(INVENTARIO!I1268="","",INVENTARIO!I1268)</f>
        <v/>
      </c>
      <c r="F1268">
        <f>IF(INVENTARIO!N1268="","",INVENTARIO!N1268)</f>
        <v/>
      </c>
      <c r="G1268">
        <f>IF(INVENTARIO!P1268="","",INVENTARIO!P1268)</f>
        <v/>
      </c>
      <c r="H1268">
        <f>IF(INVENTARIO!Q1268="","",INVENTARIO!Q1268)</f>
        <v/>
      </c>
      <c r="I1268">
        <f>IF(INVENTARIO!R1268="","",INVENTARIO!R1268)</f>
        <v/>
      </c>
      <c r="J1268">
        <f>IF(G1268="PUBLICA(1)",1,IF(G1268="USO INTERNO(2)",2,IF(G1268="RESTRINGIDO(3)",3,0)))+IF(H1268="BAJA(1)",1,IF(H1268="MEDIA(2)",2,IF(H1268="ALTA(3)",3,0)))+IF(I1268="BAJA(1)",1,IF(I1268="MEDIA(2)",2,IF(I1268="ALTA(3)",3,0)))</f>
        <v/>
      </c>
      <c r="K1268">
        <f>IF(J1268="", "", IF(J1268&gt;=8,"ALTA",IF(J1268&gt;=6,"MEDIA","BAJA")))</f>
        <v/>
      </c>
      <c r="L1268">
        <f>IF(INVENTARIO!Y1268="","",INVENTARIO!Y1268)</f>
        <v/>
      </c>
      <c r="M1268">
        <f>IF(INVENTARIO!Z1268="","",INVENTARIO!Z1268)</f>
        <v/>
      </c>
      <c r="N1268">
        <f>IF(INVENTARIO!AA1268="","",INVENTARIO!AA1268)</f>
        <v/>
      </c>
      <c r="O1268">
        <f>IF(INVENTARIO!AB1268="","",INVENTARIO!AB1268)</f>
        <v/>
      </c>
      <c r="P1268">
        <f>IF(INVENTARIO!AC1268="","",INVENTARIO!AC1268)</f>
        <v/>
      </c>
      <c r="Q1268">
        <f>IF(AND(K1268="",N1268="",L1268=""),"",IF(AND((K1268="ALTA"),OR(LEFT(N1268,2)="L0",LEFT(N1268,2)="L1",L1268="No Iniciado")),"CRÍTICO - Incumplimiento Normativo SEPS",IF(AND(OR(LEFT(N1268,2)="L4",LEFT(N1268,2)="L5"),AND(P1268&lt;&gt;"",P1268&lt;&gt;"N/A")),"CONFORME - Control Efectivo ISO 27001","OBSERVACIÓN - Revisar Controles")))</f>
        <v/>
      </c>
    </row>
    <row r="1269">
      <c r="A1269">
        <f>IF(INVENTARIO!A1269="","",INVENTARIO!A1269)</f>
        <v/>
      </c>
      <c r="B1269">
        <f>IF(INVENTARIO!E1269="","",INVENTARIO!E1269)</f>
        <v/>
      </c>
      <c r="C1269">
        <f>IF(INVENTARIO!F1269="","",INVENTARIO!F1269)</f>
        <v/>
      </c>
      <c r="D1269">
        <f>IF(INVENTARIO!H1269="","",INVENTARIO!H1269)</f>
        <v/>
      </c>
      <c r="E1269">
        <f>IF(INVENTARIO!I1269="","",INVENTARIO!I1269)</f>
        <v/>
      </c>
      <c r="F1269">
        <f>IF(INVENTARIO!N1269="","",INVENTARIO!N1269)</f>
        <v/>
      </c>
      <c r="G1269">
        <f>IF(INVENTARIO!P1269="","",INVENTARIO!P1269)</f>
        <v/>
      </c>
      <c r="H1269">
        <f>IF(INVENTARIO!Q1269="","",INVENTARIO!Q1269)</f>
        <v/>
      </c>
      <c r="I1269">
        <f>IF(INVENTARIO!R1269="","",INVENTARIO!R1269)</f>
        <v/>
      </c>
      <c r="J1269">
        <f>IF(G1269="PUBLICA(1)",1,IF(G1269="USO INTERNO(2)",2,IF(G1269="RESTRINGIDO(3)",3,0)))+IF(H1269="BAJA(1)",1,IF(H1269="MEDIA(2)",2,IF(H1269="ALTA(3)",3,0)))+IF(I1269="BAJA(1)",1,IF(I1269="MEDIA(2)",2,IF(I1269="ALTA(3)",3,0)))</f>
        <v/>
      </c>
      <c r="K1269">
        <f>IF(J1269="", "", IF(J1269&gt;=8,"ALTA",IF(J1269&gt;=6,"MEDIA","BAJA")))</f>
        <v/>
      </c>
      <c r="L1269">
        <f>IF(INVENTARIO!Y1269="","",INVENTARIO!Y1269)</f>
        <v/>
      </c>
      <c r="M1269">
        <f>IF(INVENTARIO!Z1269="","",INVENTARIO!Z1269)</f>
        <v/>
      </c>
      <c r="N1269">
        <f>IF(INVENTARIO!AA1269="","",INVENTARIO!AA1269)</f>
        <v/>
      </c>
      <c r="O1269">
        <f>IF(INVENTARIO!AB1269="","",INVENTARIO!AB1269)</f>
        <v/>
      </c>
      <c r="P1269">
        <f>IF(INVENTARIO!AC1269="","",INVENTARIO!AC1269)</f>
        <v/>
      </c>
      <c r="Q1269">
        <f>IF(AND(K1269="",N1269="",L1269=""),"",IF(AND((K1269="ALTA"),OR(LEFT(N1269,2)="L0",LEFT(N1269,2)="L1",L1269="No Iniciado")),"CRÍTICO - Incumplimiento Normativo SEPS",IF(AND(OR(LEFT(N1269,2)="L4",LEFT(N1269,2)="L5"),AND(P1269&lt;&gt;"",P1269&lt;&gt;"N/A")),"CONFORME - Control Efectivo ISO 27001","OBSERVACIÓN - Revisar Controles")))</f>
        <v/>
      </c>
    </row>
    <row r="1270">
      <c r="A1270">
        <f>IF(INVENTARIO!A1270="","",INVENTARIO!A1270)</f>
        <v/>
      </c>
      <c r="B1270">
        <f>IF(INVENTARIO!E1270="","",INVENTARIO!E1270)</f>
        <v/>
      </c>
      <c r="C1270">
        <f>IF(INVENTARIO!F1270="","",INVENTARIO!F1270)</f>
        <v/>
      </c>
      <c r="D1270">
        <f>IF(INVENTARIO!H1270="","",INVENTARIO!H1270)</f>
        <v/>
      </c>
      <c r="E1270">
        <f>IF(INVENTARIO!I1270="","",INVENTARIO!I1270)</f>
        <v/>
      </c>
      <c r="F1270">
        <f>IF(INVENTARIO!N1270="","",INVENTARIO!N1270)</f>
        <v/>
      </c>
      <c r="G1270">
        <f>IF(INVENTARIO!P1270="","",INVENTARIO!P1270)</f>
        <v/>
      </c>
      <c r="H1270">
        <f>IF(INVENTARIO!Q1270="","",INVENTARIO!Q1270)</f>
        <v/>
      </c>
      <c r="I1270">
        <f>IF(INVENTARIO!R1270="","",INVENTARIO!R1270)</f>
        <v/>
      </c>
      <c r="J1270">
        <f>IF(G1270="PUBLICA(1)",1,IF(G1270="USO INTERNO(2)",2,IF(G1270="RESTRINGIDO(3)",3,0)))+IF(H1270="BAJA(1)",1,IF(H1270="MEDIA(2)",2,IF(H1270="ALTA(3)",3,0)))+IF(I1270="BAJA(1)",1,IF(I1270="MEDIA(2)",2,IF(I1270="ALTA(3)",3,0)))</f>
        <v/>
      </c>
      <c r="K1270">
        <f>IF(J1270="", "", IF(J1270&gt;=8,"ALTA",IF(J1270&gt;=6,"MEDIA","BAJA")))</f>
        <v/>
      </c>
      <c r="L1270">
        <f>IF(INVENTARIO!Y1270="","",INVENTARIO!Y1270)</f>
        <v/>
      </c>
      <c r="M1270">
        <f>IF(INVENTARIO!Z1270="","",INVENTARIO!Z1270)</f>
        <v/>
      </c>
      <c r="N1270">
        <f>IF(INVENTARIO!AA1270="","",INVENTARIO!AA1270)</f>
        <v/>
      </c>
      <c r="O1270">
        <f>IF(INVENTARIO!AB1270="","",INVENTARIO!AB1270)</f>
        <v/>
      </c>
      <c r="P1270">
        <f>IF(INVENTARIO!AC1270="","",INVENTARIO!AC1270)</f>
        <v/>
      </c>
      <c r="Q1270">
        <f>IF(AND(K1270="",N1270="",L1270=""),"",IF(AND((K1270="ALTA"),OR(LEFT(N1270,2)="L0",LEFT(N1270,2)="L1",L1270="No Iniciado")),"CRÍTICO - Incumplimiento Normativo SEPS",IF(AND(OR(LEFT(N1270,2)="L4",LEFT(N1270,2)="L5"),AND(P1270&lt;&gt;"",P1270&lt;&gt;"N/A")),"CONFORME - Control Efectivo ISO 27001","OBSERVACIÓN - Revisar Controles")))</f>
        <v/>
      </c>
    </row>
    <row r="1271">
      <c r="A1271">
        <f>IF(INVENTARIO!A1271="","",INVENTARIO!A1271)</f>
        <v/>
      </c>
      <c r="B1271">
        <f>IF(INVENTARIO!E1271="","",INVENTARIO!E1271)</f>
        <v/>
      </c>
      <c r="C1271">
        <f>IF(INVENTARIO!F1271="","",INVENTARIO!F1271)</f>
        <v/>
      </c>
      <c r="D1271">
        <f>IF(INVENTARIO!H1271="","",INVENTARIO!H1271)</f>
        <v/>
      </c>
      <c r="E1271">
        <f>IF(INVENTARIO!I1271="","",INVENTARIO!I1271)</f>
        <v/>
      </c>
      <c r="F1271">
        <f>IF(INVENTARIO!N1271="","",INVENTARIO!N1271)</f>
        <v/>
      </c>
      <c r="G1271">
        <f>IF(INVENTARIO!P1271="","",INVENTARIO!P1271)</f>
        <v/>
      </c>
      <c r="H1271">
        <f>IF(INVENTARIO!Q1271="","",INVENTARIO!Q1271)</f>
        <v/>
      </c>
      <c r="I1271">
        <f>IF(INVENTARIO!R1271="","",INVENTARIO!R1271)</f>
        <v/>
      </c>
      <c r="J1271">
        <f>IF(G1271="PUBLICA(1)",1,IF(G1271="USO INTERNO(2)",2,IF(G1271="RESTRINGIDO(3)",3,0)))+IF(H1271="BAJA(1)",1,IF(H1271="MEDIA(2)",2,IF(H1271="ALTA(3)",3,0)))+IF(I1271="BAJA(1)",1,IF(I1271="MEDIA(2)",2,IF(I1271="ALTA(3)",3,0)))</f>
        <v/>
      </c>
      <c r="K1271">
        <f>IF(J1271="", "", IF(J1271&gt;=8,"ALTA",IF(J1271&gt;=6,"MEDIA","BAJA")))</f>
        <v/>
      </c>
      <c r="L1271">
        <f>IF(INVENTARIO!Y1271="","",INVENTARIO!Y1271)</f>
        <v/>
      </c>
      <c r="M1271">
        <f>IF(INVENTARIO!Z1271="","",INVENTARIO!Z1271)</f>
        <v/>
      </c>
      <c r="N1271">
        <f>IF(INVENTARIO!AA1271="","",INVENTARIO!AA1271)</f>
        <v/>
      </c>
      <c r="O1271">
        <f>IF(INVENTARIO!AB1271="","",INVENTARIO!AB1271)</f>
        <v/>
      </c>
      <c r="P1271">
        <f>IF(INVENTARIO!AC1271="","",INVENTARIO!AC1271)</f>
        <v/>
      </c>
      <c r="Q1271">
        <f>IF(AND(K1271="",N1271="",L1271=""),"",IF(AND((K1271="ALTA"),OR(LEFT(N1271,2)="L0",LEFT(N1271,2)="L1",L1271="No Iniciado")),"CRÍTICO - Incumplimiento Normativo SEPS",IF(AND(OR(LEFT(N1271,2)="L4",LEFT(N1271,2)="L5"),AND(P1271&lt;&gt;"",P1271&lt;&gt;"N/A")),"CONFORME - Control Efectivo ISO 27001","OBSERVACIÓN - Revisar Controles")))</f>
        <v/>
      </c>
    </row>
    <row r="1272">
      <c r="A1272">
        <f>IF(INVENTARIO!A1272="","",INVENTARIO!A1272)</f>
        <v/>
      </c>
      <c r="B1272">
        <f>IF(INVENTARIO!E1272="","",INVENTARIO!E1272)</f>
        <v/>
      </c>
      <c r="C1272">
        <f>IF(INVENTARIO!F1272="","",INVENTARIO!F1272)</f>
        <v/>
      </c>
      <c r="D1272">
        <f>IF(INVENTARIO!H1272="","",INVENTARIO!H1272)</f>
        <v/>
      </c>
      <c r="E1272">
        <f>IF(INVENTARIO!I1272="","",INVENTARIO!I1272)</f>
        <v/>
      </c>
      <c r="F1272">
        <f>IF(INVENTARIO!N1272="","",INVENTARIO!N1272)</f>
        <v/>
      </c>
      <c r="G1272">
        <f>IF(INVENTARIO!P1272="","",INVENTARIO!P1272)</f>
        <v/>
      </c>
      <c r="H1272">
        <f>IF(INVENTARIO!Q1272="","",INVENTARIO!Q1272)</f>
        <v/>
      </c>
      <c r="I1272">
        <f>IF(INVENTARIO!R1272="","",INVENTARIO!R1272)</f>
        <v/>
      </c>
      <c r="J1272">
        <f>IF(G1272="PUBLICA(1)",1,IF(G1272="USO INTERNO(2)",2,IF(G1272="RESTRINGIDO(3)",3,0)))+IF(H1272="BAJA(1)",1,IF(H1272="MEDIA(2)",2,IF(H1272="ALTA(3)",3,0)))+IF(I1272="BAJA(1)",1,IF(I1272="MEDIA(2)",2,IF(I1272="ALTA(3)",3,0)))</f>
        <v/>
      </c>
      <c r="K1272">
        <f>IF(J1272="", "", IF(J1272&gt;=8,"ALTA",IF(J1272&gt;=6,"MEDIA","BAJA")))</f>
        <v/>
      </c>
      <c r="L1272">
        <f>IF(INVENTARIO!Y1272="","",INVENTARIO!Y1272)</f>
        <v/>
      </c>
      <c r="M1272">
        <f>IF(INVENTARIO!Z1272="","",INVENTARIO!Z1272)</f>
        <v/>
      </c>
      <c r="N1272">
        <f>IF(INVENTARIO!AA1272="","",INVENTARIO!AA1272)</f>
        <v/>
      </c>
      <c r="O1272">
        <f>IF(INVENTARIO!AB1272="","",INVENTARIO!AB1272)</f>
        <v/>
      </c>
      <c r="P1272">
        <f>IF(INVENTARIO!AC1272="","",INVENTARIO!AC1272)</f>
        <v/>
      </c>
      <c r="Q1272">
        <f>IF(AND(K1272="",N1272="",L1272=""),"",IF(AND((K1272="ALTA"),OR(LEFT(N1272,2)="L0",LEFT(N1272,2)="L1",L1272="No Iniciado")),"CRÍTICO - Incumplimiento Normativo SEPS",IF(AND(OR(LEFT(N1272,2)="L4",LEFT(N1272,2)="L5"),AND(P1272&lt;&gt;"",P1272&lt;&gt;"N/A")),"CONFORME - Control Efectivo ISO 27001","OBSERVACIÓN - Revisar Controles")))</f>
        <v/>
      </c>
    </row>
    <row r="1273">
      <c r="A1273">
        <f>IF(INVENTARIO!A1273="","",INVENTARIO!A1273)</f>
        <v/>
      </c>
      <c r="B1273">
        <f>IF(INVENTARIO!E1273="","",INVENTARIO!E1273)</f>
        <v/>
      </c>
      <c r="C1273">
        <f>IF(INVENTARIO!F1273="","",INVENTARIO!F1273)</f>
        <v/>
      </c>
      <c r="D1273">
        <f>IF(INVENTARIO!H1273="","",INVENTARIO!H1273)</f>
        <v/>
      </c>
      <c r="E1273">
        <f>IF(INVENTARIO!I1273="","",INVENTARIO!I1273)</f>
        <v/>
      </c>
      <c r="F1273">
        <f>IF(INVENTARIO!N1273="","",INVENTARIO!N1273)</f>
        <v/>
      </c>
      <c r="G1273">
        <f>IF(INVENTARIO!P1273="","",INVENTARIO!P1273)</f>
        <v/>
      </c>
      <c r="H1273">
        <f>IF(INVENTARIO!Q1273="","",INVENTARIO!Q1273)</f>
        <v/>
      </c>
      <c r="I1273">
        <f>IF(INVENTARIO!R1273="","",INVENTARIO!R1273)</f>
        <v/>
      </c>
      <c r="J1273">
        <f>IF(G1273="PUBLICA(1)",1,IF(G1273="USO INTERNO(2)",2,IF(G1273="RESTRINGIDO(3)",3,0)))+IF(H1273="BAJA(1)",1,IF(H1273="MEDIA(2)",2,IF(H1273="ALTA(3)",3,0)))+IF(I1273="BAJA(1)",1,IF(I1273="MEDIA(2)",2,IF(I1273="ALTA(3)",3,0)))</f>
        <v/>
      </c>
      <c r="K1273">
        <f>IF(J1273="", "", IF(J1273&gt;=8,"ALTA",IF(J1273&gt;=6,"MEDIA","BAJA")))</f>
        <v/>
      </c>
      <c r="L1273">
        <f>IF(INVENTARIO!Y1273="","",INVENTARIO!Y1273)</f>
        <v/>
      </c>
      <c r="M1273">
        <f>IF(INVENTARIO!Z1273="","",INVENTARIO!Z1273)</f>
        <v/>
      </c>
      <c r="N1273">
        <f>IF(INVENTARIO!AA1273="","",INVENTARIO!AA1273)</f>
        <v/>
      </c>
      <c r="O1273">
        <f>IF(INVENTARIO!AB1273="","",INVENTARIO!AB1273)</f>
        <v/>
      </c>
      <c r="P1273">
        <f>IF(INVENTARIO!AC1273="","",INVENTARIO!AC1273)</f>
        <v/>
      </c>
      <c r="Q1273">
        <f>IF(AND(K1273="",N1273="",L1273=""),"",IF(AND((K1273="ALTA"),OR(LEFT(N1273,2)="L0",LEFT(N1273,2)="L1",L1273="No Iniciado")),"CRÍTICO - Incumplimiento Normativo SEPS",IF(AND(OR(LEFT(N1273,2)="L4",LEFT(N1273,2)="L5"),AND(P1273&lt;&gt;"",P1273&lt;&gt;"N/A")),"CONFORME - Control Efectivo ISO 27001","OBSERVACIÓN - Revisar Controles")))</f>
        <v/>
      </c>
    </row>
    <row r="1274">
      <c r="A1274">
        <f>IF(INVENTARIO!A1274="","",INVENTARIO!A1274)</f>
        <v/>
      </c>
      <c r="B1274">
        <f>IF(INVENTARIO!E1274="","",INVENTARIO!E1274)</f>
        <v/>
      </c>
      <c r="C1274">
        <f>IF(INVENTARIO!F1274="","",INVENTARIO!F1274)</f>
        <v/>
      </c>
      <c r="D1274">
        <f>IF(INVENTARIO!H1274="","",INVENTARIO!H1274)</f>
        <v/>
      </c>
      <c r="E1274">
        <f>IF(INVENTARIO!I1274="","",INVENTARIO!I1274)</f>
        <v/>
      </c>
      <c r="F1274">
        <f>IF(INVENTARIO!N1274="","",INVENTARIO!N1274)</f>
        <v/>
      </c>
      <c r="G1274">
        <f>IF(INVENTARIO!P1274="","",INVENTARIO!P1274)</f>
        <v/>
      </c>
      <c r="H1274">
        <f>IF(INVENTARIO!Q1274="","",INVENTARIO!Q1274)</f>
        <v/>
      </c>
      <c r="I1274">
        <f>IF(INVENTARIO!R1274="","",INVENTARIO!R1274)</f>
        <v/>
      </c>
      <c r="J1274">
        <f>IF(G1274="PUBLICA(1)",1,IF(G1274="USO INTERNO(2)",2,IF(G1274="RESTRINGIDO(3)",3,0)))+IF(H1274="BAJA(1)",1,IF(H1274="MEDIA(2)",2,IF(H1274="ALTA(3)",3,0)))+IF(I1274="BAJA(1)",1,IF(I1274="MEDIA(2)",2,IF(I1274="ALTA(3)",3,0)))</f>
        <v/>
      </c>
      <c r="K1274">
        <f>IF(J1274="", "", IF(J1274&gt;=8,"ALTA",IF(J1274&gt;=6,"MEDIA","BAJA")))</f>
        <v/>
      </c>
      <c r="L1274">
        <f>IF(INVENTARIO!Y1274="","",INVENTARIO!Y1274)</f>
        <v/>
      </c>
      <c r="M1274">
        <f>IF(INVENTARIO!Z1274="","",INVENTARIO!Z1274)</f>
        <v/>
      </c>
      <c r="N1274">
        <f>IF(INVENTARIO!AA1274="","",INVENTARIO!AA1274)</f>
        <v/>
      </c>
      <c r="O1274">
        <f>IF(INVENTARIO!AB1274="","",INVENTARIO!AB1274)</f>
        <v/>
      </c>
      <c r="P1274">
        <f>IF(INVENTARIO!AC1274="","",INVENTARIO!AC1274)</f>
        <v/>
      </c>
      <c r="Q1274">
        <f>IF(AND(K1274="",N1274="",L1274=""),"",IF(AND((K1274="ALTA"),OR(LEFT(N1274,2)="L0",LEFT(N1274,2)="L1",L1274="No Iniciado")),"CRÍTICO - Incumplimiento Normativo SEPS",IF(AND(OR(LEFT(N1274,2)="L4",LEFT(N1274,2)="L5"),AND(P1274&lt;&gt;"",P1274&lt;&gt;"N/A")),"CONFORME - Control Efectivo ISO 27001","OBSERVACIÓN - Revisar Controles")))</f>
        <v/>
      </c>
    </row>
    <row r="1275">
      <c r="A1275">
        <f>IF(INVENTARIO!A1275="","",INVENTARIO!A1275)</f>
        <v/>
      </c>
      <c r="B1275">
        <f>IF(INVENTARIO!E1275="","",INVENTARIO!E1275)</f>
        <v/>
      </c>
      <c r="C1275">
        <f>IF(INVENTARIO!F1275="","",INVENTARIO!F1275)</f>
        <v/>
      </c>
      <c r="D1275">
        <f>IF(INVENTARIO!H1275="","",INVENTARIO!H1275)</f>
        <v/>
      </c>
      <c r="E1275">
        <f>IF(INVENTARIO!I1275="","",INVENTARIO!I1275)</f>
        <v/>
      </c>
      <c r="F1275">
        <f>IF(INVENTARIO!N1275="","",INVENTARIO!N1275)</f>
        <v/>
      </c>
      <c r="G1275">
        <f>IF(INVENTARIO!P1275="","",INVENTARIO!P1275)</f>
        <v/>
      </c>
      <c r="H1275">
        <f>IF(INVENTARIO!Q1275="","",INVENTARIO!Q1275)</f>
        <v/>
      </c>
      <c r="I1275">
        <f>IF(INVENTARIO!R1275="","",INVENTARIO!R1275)</f>
        <v/>
      </c>
      <c r="J1275">
        <f>IF(G1275="PUBLICA(1)",1,IF(G1275="USO INTERNO(2)",2,IF(G1275="RESTRINGIDO(3)",3,0)))+IF(H1275="BAJA(1)",1,IF(H1275="MEDIA(2)",2,IF(H1275="ALTA(3)",3,0)))+IF(I1275="BAJA(1)",1,IF(I1275="MEDIA(2)",2,IF(I1275="ALTA(3)",3,0)))</f>
        <v/>
      </c>
      <c r="K1275">
        <f>IF(J1275="", "", IF(J1275&gt;=8,"ALTA",IF(J1275&gt;=6,"MEDIA","BAJA")))</f>
        <v/>
      </c>
      <c r="L1275">
        <f>IF(INVENTARIO!Y1275="","",INVENTARIO!Y1275)</f>
        <v/>
      </c>
      <c r="M1275">
        <f>IF(INVENTARIO!Z1275="","",INVENTARIO!Z1275)</f>
        <v/>
      </c>
      <c r="N1275">
        <f>IF(INVENTARIO!AA1275="","",INVENTARIO!AA1275)</f>
        <v/>
      </c>
      <c r="O1275">
        <f>IF(INVENTARIO!AB1275="","",INVENTARIO!AB1275)</f>
        <v/>
      </c>
      <c r="P1275">
        <f>IF(INVENTARIO!AC1275="","",INVENTARIO!AC1275)</f>
        <v/>
      </c>
      <c r="Q1275">
        <f>IF(AND(K1275="",N1275="",L1275=""),"",IF(AND((K1275="ALTA"),OR(LEFT(N1275,2)="L0",LEFT(N1275,2)="L1",L1275="No Iniciado")),"CRÍTICO - Incumplimiento Normativo SEPS",IF(AND(OR(LEFT(N1275,2)="L4",LEFT(N1275,2)="L5"),AND(P1275&lt;&gt;"",P1275&lt;&gt;"N/A")),"CONFORME - Control Efectivo ISO 27001","OBSERVACIÓN - Revisar Controles")))</f>
        <v/>
      </c>
    </row>
    <row r="1276">
      <c r="A1276">
        <f>IF(INVENTARIO!A1276="","",INVENTARIO!A1276)</f>
        <v/>
      </c>
      <c r="B1276">
        <f>IF(INVENTARIO!E1276="","",INVENTARIO!E1276)</f>
        <v/>
      </c>
      <c r="C1276">
        <f>IF(INVENTARIO!F1276="","",INVENTARIO!F1276)</f>
        <v/>
      </c>
      <c r="D1276">
        <f>IF(INVENTARIO!H1276="","",INVENTARIO!H1276)</f>
        <v/>
      </c>
      <c r="E1276">
        <f>IF(INVENTARIO!I1276="","",INVENTARIO!I1276)</f>
        <v/>
      </c>
      <c r="F1276">
        <f>IF(INVENTARIO!N1276="","",INVENTARIO!N1276)</f>
        <v/>
      </c>
      <c r="G1276">
        <f>IF(INVENTARIO!P1276="","",INVENTARIO!P1276)</f>
        <v/>
      </c>
      <c r="H1276">
        <f>IF(INVENTARIO!Q1276="","",INVENTARIO!Q1276)</f>
        <v/>
      </c>
      <c r="I1276">
        <f>IF(INVENTARIO!R1276="","",INVENTARIO!R1276)</f>
        <v/>
      </c>
      <c r="J1276">
        <f>IF(G1276="PUBLICA(1)",1,IF(G1276="USO INTERNO(2)",2,IF(G1276="RESTRINGIDO(3)",3,0)))+IF(H1276="BAJA(1)",1,IF(H1276="MEDIA(2)",2,IF(H1276="ALTA(3)",3,0)))+IF(I1276="BAJA(1)",1,IF(I1276="MEDIA(2)",2,IF(I1276="ALTA(3)",3,0)))</f>
        <v/>
      </c>
      <c r="K1276">
        <f>IF(J1276="", "", IF(J1276&gt;=8,"ALTA",IF(J1276&gt;=6,"MEDIA","BAJA")))</f>
        <v/>
      </c>
      <c r="L1276">
        <f>IF(INVENTARIO!Y1276="","",INVENTARIO!Y1276)</f>
        <v/>
      </c>
      <c r="M1276">
        <f>IF(INVENTARIO!Z1276="","",INVENTARIO!Z1276)</f>
        <v/>
      </c>
      <c r="N1276">
        <f>IF(INVENTARIO!AA1276="","",INVENTARIO!AA1276)</f>
        <v/>
      </c>
      <c r="O1276">
        <f>IF(INVENTARIO!AB1276="","",INVENTARIO!AB1276)</f>
        <v/>
      </c>
      <c r="P1276">
        <f>IF(INVENTARIO!AC1276="","",INVENTARIO!AC1276)</f>
        <v/>
      </c>
      <c r="Q1276">
        <f>IF(AND(K1276="",N1276="",L1276=""),"",IF(AND((K1276="ALTA"),OR(LEFT(N1276,2)="L0",LEFT(N1276,2)="L1",L1276="No Iniciado")),"CRÍTICO - Incumplimiento Normativo SEPS",IF(AND(OR(LEFT(N1276,2)="L4",LEFT(N1276,2)="L5"),AND(P1276&lt;&gt;"",P1276&lt;&gt;"N/A")),"CONFORME - Control Efectivo ISO 27001","OBSERVACIÓN - Revisar Controles")))</f>
        <v/>
      </c>
    </row>
    <row r="1277">
      <c r="A1277">
        <f>IF(INVENTARIO!A1277="","",INVENTARIO!A1277)</f>
        <v/>
      </c>
      <c r="B1277">
        <f>IF(INVENTARIO!E1277="","",INVENTARIO!E1277)</f>
        <v/>
      </c>
      <c r="C1277">
        <f>IF(INVENTARIO!F1277="","",INVENTARIO!F1277)</f>
        <v/>
      </c>
      <c r="D1277">
        <f>IF(INVENTARIO!H1277="","",INVENTARIO!H1277)</f>
        <v/>
      </c>
      <c r="E1277">
        <f>IF(INVENTARIO!I1277="","",INVENTARIO!I1277)</f>
        <v/>
      </c>
      <c r="F1277">
        <f>IF(INVENTARIO!N1277="","",INVENTARIO!N1277)</f>
        <v/>
      </c>
      <c r="G1277">
        <f>IF(INVENTARIO!P1277="","",INVENTARIO!P1277)</f>
        <v/>
      </c>
      <c r="H1277">
        <f>IF(INVENTARIO!Q1277="","",INVENTARIO!Q1277)</f>
        <v/>
      </c>
      <c r="I1277">
        <f>IF(INVENTARIO!R1277="","",INVENTARIO!R1277)</f>
        <v/>
      </c>
      <c r="J1277">
        <f>IF(G1277="PUBLICA(1)",1,IF(G1277="USO INTERNO(2)",2,IF(G1277="RESTRINGIDO(3)",3,0)))+IF(H1277="BAJA(1)",1,IF(H1277="MEDIA(2)",2,IF(H1277="ALTA(3)",3,0)))+IF(I1277="BAJA(1)",1,IF(I1277="MEDIA(2)",2,IF(I1277="ALTA(3)",3,0)))</f>
        <v/>
      </c>
      <c r="K1277">
        <f>IF(J1277="", "", IF(J1277&gt;=8,"ALTA",IF(J1277&gt;=6,"MEDIA","BAJA")))</f>
        <v/>
      </c>
      <c r="L1277">
        <f>IF(INVENTARIO!Y1277="","",INVENTARIO!Y1277)</f>
        <v/>
      </c>
      <c r="M1277">
        <f>IF(INVENTARIO!Z1277="","",INVENTARIO!Z1277)</f>
        <v/>
      </c>
      <c r="N1277">
        <f>IF(INVENTARIO!AA1277="","",INVENTARIO!AA1277)</f>
        <v/>
      </c>
      <c r="O1277">
        <f>IF(INVENTARIO!AB1277="","",INVENTARIO!AB1277)</f>
        <v/>
      </c>
      <c r="P1277">
        <f>IF(INVENTARIO!AC1277="","",INVENTARIO!AC1277)</f>
        <v/>
      </c>
      <c r="Q1277">
        <f>IF(AND(K1277="",N1277="",L1277=""),"",IF(AND((K1277="ALTA"),OR(LEFT(N1277,2)="L0",LEFT(N1277,2)="L1",L1277="No Iniciado")),"CRÍTICO - Incumplimiento Normativo SEPS",IF(AND(OR(LEFT(N1277,2)="L4",LEFT(N1277,2)="L5"),AND(P1277&lt;&gt;"",P1277&lt;&gt;"N/A")),"CONFORME - Control Efectivo ISO 27001","OBSERVACIÓN - Revisar Controles")))</f>
        <v/>
      </c>
    </row>
    <row r="1278">
      <c r="A1278">
        <f>IF(INVENTARIO!A1278="","",INVENTARIO!A1278)</f>
        <v/>
      </c>
      <c r="B1278">
        <f>IF(INVENTARIO!E1278="","",INVENTARIO!E1278)</f>
        <v/>
      </c>
      <c r="C1278">
        <f>IF(INVENTARIO!F1278="","",INVENTARIO!F1278)</f>
        <v/>
      </c>
      <c r="D1278">
        <f>IF(INVENTARIO!H1278="","",INVENTARIO!H1278)</f>
        <v/>
      </c>
      <c r="E1278">
        <f>IF(INVENTARIO!I1278="","",INVENTARIO!I1278)</f>
        <v/>
      </c>
      <c r="F1278">
        <f>IF(INVENTARIO!N1278="","",INVENTARIO!N1278)</f>
        <v/>
      </c>
      <c r="G1278">
        <f>IF(INVENTARIO!P1278="","",INVENTARIO!P1278)</f>
        <v/>
      </c>
      <c r="H1278">
        <f>IF(INVENTARIO!Q1278="","",INVENTARIO!Q1278)</f>
        <v/>
      </c>
      <c r="I1278">
        <f>IF(INVENTARIO!R1278="","",INVENTARIO!R1278)</f>
        <v/>
      </c>
      <c r="J1278">
        <f>IF(G1278="PUBLICA(1)",1,IF(G1278="USO INTERNO(2)",2,IF(G1278="RESTRINGIDO(3)",3,0)))+IF(H1278="BAJA(1)",1,IF(H1278="MEDIA(2)",2,IF(H1278="ALTA(3)",3,0)))+IF(I1278="BAJA(1)",1,IF(I1278="MEDIA(2)",2,IF(I1278="ALTA(3)",3,0)))</f>
        <v/>
      </c>
      <c r="K1278">
        <f>IF(J1278="", "", IF(J1278&gt;=8,"ALTA",IF(J1278&gt;=6,"MEDIA","BAJA")))</f>
        <v/>
      </c>
      <c r="L1278">
        <f>IF(INVENTARIO!Y1278="","",INVENTARIO!Y1278)</f>
        <v/>
      </c>
      <c r="M1278">
        <f>IF(INVENTARIO!Z1278="","",INVENTARIO!Z1278)</f>
        <v/>
      </c>
      <c r="N1278">
        <f>IF(INVENTARIO!AA1278="","",INVENTARIO!AA1278)</f>
        <v/>
      </c>
      <c r="O1278">
        <f>IF(INVENTARIO!AB1278="","",INVENTARIO!AB1278)</f>
        <v/>
      </c>
      <c r="P1278">
        <f>IF(INVENTARIO!AC1278="","",INVENTARIO!AC1278)</f>
        <v/>
      </c>
      <c r="Q1278">
        <f>IF(AND(K1278="",N1278="",L1278=""),"",IF(AND((K1278="ALTA"),OR(LEFT(N1278,2)="L0",LEFT(N1278,2)="L1",L1278="No Iniciado")),"CRÍTICO - Incumplimiento Normativo SEPS",IF(AND(OR(LEFT(N1278,2)="L4",LEFT(N1278,2)="L5"),AND(P1278&lt;&gt;"",P1278&lt;&gt;"N/A")),"CONFORME - Control Efectivo ISO 27001","OBSERVACIÓN - Revisar Controles")))</f>
        <v/>
      </c>
    </row>
    <row r="1279">
      <c r="A1279">
        <f>IF(INVENTARIO!A1279="","",INVENTARIO!A1279)</f>
        <v/>
      </c>
      <c r="B1279">
        <f>IF(INVENTARIO!E1279="","",INVENTARIO!E1279)</f>
        <v/>
      </c>
      <c r="C1279">
        <f>IF(INVENTARIO!F1279="","",INVENTARIO!F1279)</f>
        <v/>
      </c>
      <c r="D1279">
        <f>IF(INVENTARIO!H1279="","",INVENTARIO!H1279)</f>
        <v/>
      </c>
      <c r="E1279">
        <f>IF(INVENTARIO!I1279="","",INVENTARIO!I1279)</f>
        <v/>
      </c>
      <c r="F1279">
        <f>IF(INVENTARIO!N1279="","",INVENTARIO!N1279)</f>
        <v/>
      </c>
      <c r="G1279">
        <f>IF(INVENTARIO!P1279="","",INVENTARIO!P1279)</f>
        <v/>
      </c>
      <c r="H1279">
        <f>IF(INVENTARIO!Q1279="","",INVENTARIO!Q1279)</f>
        <v/>
      </c>
      <c r="I1279">
        <f>IF(INVENTARIO!R1279="","",INVENTARIO!R1279)</f>
        <v/>
      </c>
      <c r="J1279">
        <f>IF(G1279="PUBLICA(1)",1,IF(G1279="USO INTERNO(2)",2,IF(G1279="RESTRINGIDO(3)",3,0)))+IF(H1279="BAJA(1)",1,IF(H1279="MEDIA(2)",2,IF(H1279="ALTA(3)",3,0)))+IF(I1279="BAJA(1)",1,IF(I1279="MEDIA(2)",2,IF(I1279="ALTA(3)",3,0)))</f>
        <v/>
      </c>
      <c r="K1279">
        <f>IF(J1279="", "", IF(J1279&gt;=8,"ALTA",IF(J1279&gt;=6,"MEDIA","BAJA")))</f>
        <v/>
      </c>
      <c r="L1279">
        <f>IF(INVENTARIO!Y1279="","",INVENTARIO!Y1279)</f>
        <v/>
      </c>
      <c r="M1279">
        <f>IF(INVENTARIO!Z1279="","",INVENTARIO!Z1279)</f>
        <v/>
      </c>
      <c r="N1279">
        <f>IF(INVENTARIO!AA1279="","",INVENTARIO!AA1279)</f>
        <v/>
      </c>
      <c r="O1279">
        <f>IF(INVENTARIO!AB1279="","",INVENTARIO!AB1279)</f>
        <v/>
      </c>
      <c r="P1279">
        <f>IF(INVENTARIO!AC1279="","",INVENTARIO!AC1279)</f>
        <v/>
      </c>
      <c r="Q1279">
        <f>IF(AND(K1279="",N1279="",L1279=""),"",IF(AND((K1279="ALTA"),OR(LEFT(N1279,2)="L0",LEFT(N1279,2)="L1",L1279="No Iniciado")),"CRÍTICO - Incumplimiento Normativo SEPS",IF(AND(OR(LEFT(N1279,2)="L4",LEFT(N1279,2)="L5"),AND(P1279&lt;&gt;"",P1279&lt;&gt;"N/A")),"CONFORME - Control Efectivo ISO 27001","OBSERVACIÓN - Revisar Controles")))</f>
        <v/>
      </c>
    </row>
    <row r="1280">
      <c r="A1280">
        <f>IF(INVENTARIO!A1280="","",INVENTARIO!A1280)</f>
        <v/>
      </c>
      <c r="B1280">
        <f>IF(INVENTARIO!E1280="","",INVENTARIO!E1280)</f>
        <v/>
      </c>
      <c r="C1280">
        <f>IF(INVENTARIO!F1280="","",INVENTARIO!F1280)</f>
        <v/>
      </c>
      <c r="D1280">
        <f>IF(INVENTARIO!H1280="","",INVENTARIO!H1280)</f>
        <v/>
      </c>
      <c r="E1280">
        <f>IF(INVENTARIO!I1280="","",INVENTARIO!I1280)</f>
        <v/>
      </c>
      <c r="F1280">
        <f>IF(INVENTARIO!N1280="","",INVENTARIO!N1280)</f>
        <v/>
      </c>
      <c r="G1280">
        <f>IF(INVENTARIO!P1280="","",INVENTARIO!P1280)</f>
        <v/>
      </c>
      <c r="H1280">
        <f>IF(INVENTARIO!Q1280="","",INVENTARIO!Q1280)</f>
        <v/>
      </c>
      <c r="I1280">
        <f>IF(INVENTARIO!R1280="","",INVENTARIO!R1280)</f>
        <v/>
      </c>
      <c r="J1280">
        <f>IF(G1280="PUBLICA(1)",1,IF(G1280="USO INTERNO(2)",2,IF(G1280="RESTRINGIDO(3)",3,0)))+IF(H1280="BAJA(1)",1,IF(H1280="MEDIA(2)",2,IF(H1280="ALTA(3)",3,0)))+IF(I1280="BAJA(1)",1,IF(I1280="MEDIA(2)",2,IF(I1280="ALTA(3)",3,0)))</f>
        <v/>
      </c>
      <c r="K1280">
        <f>IF(J1280="", "", IF(J1280&gt;=8,"ALTA",IF(J1280&gt;=6,"MEDIA","BAJA")))</f>
        <v/>
      </c>
      <c r="L1280">
        <f>IF(INVENTARIO!Y1280="","",INVENTARIO!Y1280)</f>
        <v/>
      </c>
      <c r="M1280">
        <f>IF(INVENTARIO!Z1280="","",INVENTARIO!Z1280)</f>
        <v/>
      </c>
      <c r="N1280">
        <f>IF(INVENTARIO!AA1280="","",INVENTARIO!AA1280)</f>
        <v/>
      </c>
      <c r="O1280">
        <f>IF(INVENTARIO!AB1280="","",INVENTARIO!AB1280)</f>
        <v/>
      </c>
      <c r="P1280">
        <f>IF(INVENTARIO!AC1280="","",INVENTARIO!AC1280)</f>
        <v/>
      </c>
      <c r="Q1280">
        <f>IF(AND(K1280="",N1280="",L1280=""),"",IF(AND((K1280="ALTA"),OR(LEFT(N1280,2)="L0",LEFT(N1280,2)="L1",L1280="No Iniciado")),"CRÍTICO - Incumplimiento Normativo SEPS",IF(AND(OR(LEFT(N1280,2)="L4",LEFT(N1280,2)="L5"),AND(P1280&lt;&gt;"",P1280&lt;&gt;"N/A")),"CONFORME - Control Efectivo ISO 27001","OBSERVACIÓN - Revisar Controles")))</f>
        <v/>
      </c>
    </row>
    <row r="1281">
      <c r="A1281">
        <f>IF(INVENTARIO!A1281="","",INVENTARIO!A1281)</f>
        <v/>
      </c>
      <c r="B1281">
        <f>IF(INVENTARIO!E1281="","",INVENTARIO!E1281)</f>
        <v/>
      </c>
      <c r="C1281">
        <f>IF(INVENTARIO!F1281="","",INVENTARIO!F1281)</f>
        <v/>
      </c>
      <c r="D1281">
        <f>IF(INVENTARIO!H1281="","",INVENTARIO!H1281)</f>
        <v/>
      </c>
      <c r="E1281">
        <f>IF(INVENTARIO!I1281="","",INVENTARIO!I1281)</f>
        <v/>
      </c>
      <c r="F1281">
        <f>IF(INVENTARIO!N1281="","",INVENTARIO!N1281)</f>
        <v/>
      </c>
      <c r="G1281">
        <f>IF(INVENTARIO!P1281="","",INVENTARIO!P1281)</f>
        <v/>
      </c>
      <c r="H1281">
        <f>IF(INVENTARIO!Q1281="","",INVENTARIO!Q1281)</f>
        <v/>
      </c>
      <c r="I1281">
        <f>IF(INVENTARIO!R1281="","",INVENTARIO!R1281)</f>
        <v/>
      </c>
      <c r="J1281">
        <f>IF(G1281="PUBLICA(1)",1,IF(G1281="USO INTERNO(2)",2,IF(G1281="RESTRINGIDO(3)",3,0)))+IF(H1281="BAJA(1)",1,IF(H1281="MEDIA(2)",2,IF(H1281="ALTA(3)",3,0)))+IF(I1281="BAJA(1)",1,IF(I1281="MEDIA(2)",2,IF(I1281="ALTA(3)",3,0)))</f>
        <v/>
      </c>
      <c r="K1281">
        <f>IF(J1281="", "", IF(J1281&gt;=8,"ALTA",IF(J1281&gt;=6,"MEDIA","BAJA")))</f>
        <v/>
      </c>
      <c r="L1281">
        <f>IF(INVENTARIO!Y1281="","",INVENTARIO!Y1281)</f>
        <v/>
      </c>
      <c r="M1281">
        <f>IF(INVENTARIO!Z1281="","",INVENTARIO!Z1281)</f>
        <v/>
      </c>
      <c r="N1281">
        <f>IF(INVENTARIO!AA1281="","",INVENTARIO!AA1281)</f>
        <v/>
      </c>
      <c r="O1281">
        <f>IF(INVENTARIO!AB1281="","",INVENTARIO!AB1281)</f>
        <v/>
      </c>
      <c r="P1281">
        <f>IF(INVENTARIO!AC1281="","",INVENTARIO!AC1281)</f>
        <v/>
      </c>
      <c r="Q1281">
        <f>IF(AND(K1281="",N1281="",L1281=""),"",IF(AND((K1281="ALTA"),OR(LEFT(N1281,2)="L0",LEFT(N1281,2)="L1",L1281="No Iniciado")),"CRÍTICO - Incumplimiento Normativo SEPS",IF(AND(OR(LEFT(N1281,2)="L4",LEFT(N1281,2)="L5"),AND(P1281&lt;&gt;"",P1281&lt;&gt;"N/A")),"CONFORME - Control Efectivo ISO 27001","OBSERVACIÓN - Revisar Controles")))</f>
        <v/>
      </c>
    </row>
    <row r="1282">
      <c r="A1282">
        <f>IF(INVENTARIO!A1282="","",INVENTARIO!A1282)</f>
        <v/>
      </c>
      <c r="B1282">
        <f>IF(INVENTARIO!E1282="","",INVENTARIO!E1282)</f>
        <v/>
      </c>
      <c r="C1282">
        <f>IF(INVENTARIO!F1282="","",INVENTARIO!F1282)</f>
        <v/>
      </c>
      <c r="D1282">
        <f>IF(INVENTARIO!H1282="","",INVENTARIO!H1282)</f>
        <v/>
      </c>
      <c r="E1282">
        <f>IF(INVENTARIO!I1282="","",INVENTARIO!I1282)</f>
        <v/>
      </c>
      <c r="F1282">
        <f>IF(INVENTARIO!N1282="","",INVENTARIO!N1282)</f>
        <v/>
      </c>
      <c r="G1282">
        <f>IF(INVENTARIO!P1282="","",INVENTARIO!P1282)</f>
        <v/>
      </c>
      <c r="H1282">
        <f>IF(INVENTARIO!Q1282="","",INVENTARIO!Q1282)</f>
        <v/>
      </c>
      <c r="I1282">
        <f>IF(INVENTARIO!R1282="","",INVENTARIO!R1282)</f>
        <v/>
      </c>
      <c r="J1282">
        <f>IF(G1282="PUBLICA(1)",1,IF(G1282="USO INTERNO(2)",2,IF(G1282="RESTRINGIDO(3)",3,0)))+IF(H1282="BAJA(1)",1,IF(H1282="MEDIA(2)",2,IF(H1282="ALTA(3)",3,0)))+IF(I1282="BAJA(1)",1,IF(I1282="MEDIA(2)",2,IF(I1282="ALTA(3)",3,0)))</f>
        <v/>
      </c>
      <c r="K1282">
        <f>IF(J1282="", "", IF(J1282&gt;=8,"ALTA",IF(J1282&gt;=6,"MEDIA","BAJA")))</f>
        <v/>
      </c>
      <c r="L1282">
        <f>IF(INVENTARIO!Y1282="","",INVENTARIO!Y1282)</f>
        <v/>
      </c>
      <c r="M1282">
        <f>IF(INVENTARIO!Z1282="","",INVENTARIO!Z1282)</f>
        <v/>
      </c>
      <c r="N1282">
        <f>IF(INVENTARIO!AA1282="","",INVENTARIO!AA1282)</f>
        <v/>
      </c>
      <c r="O1282">
        <f>IF(INVENTARIO!AB1282="","",INVENTARIO!AB1282)</f>
        <v/>
      </c>
      <c r="P1282">
        <f>IF(INVENTARIO!AC1282="","",INVENTARIO!AC1282)</f>
        <v/>
      </c>
      <c r="Q1282">
        <f>IF(AND(K1282="",N1282="",L1282=""),"",IF(AND((K1282="ALTA"),OR(LEFT(N1282,2)="L0",LEFT(N1282,2)="L1",L1282="No Iniciado")),"CRÍTICO - Incumplimiento Normativo SEPS",IF(AND(OR(LEFT(N1282,2)="L4",LEFT(N1282,2)="L5"),AND(P1282&lt;&gt;"",P1282&lt;&gt;"N/A")),"CONFORME - Control Efectivo ISO 27001","OBSERVACIÓN - Revisar Controles")))</f>
        <v/>
      </c>
    </row>
    <row r="1283">
      <c r="A1283">
        <f>IF(INVENTARIO!A1283="","",INVENTARIO!A1283)</f>
        <v/>
      </c>
      <c r="B1283">
        <f>IF(INVENTARIO!E1283="","",INVENTARIO!E1283)</f>
        <v/>
      </c>
      <c r="C1283">
        <f>IF(INVENTARIO!F1283="","",INVENTARIO!F1283)</f>
        <v/>
      </c>
      <c r="D1283">
        <f>IF(INVENTARIO!H1283="","",INVENTARIO!H1283)</f>
        <v/>
      </c>
      <c r="E1283">
        <f>IF(INVENTARIO!I1283="","",INVENTARIO!I1283)</f>
        <v/>
      </c>
      <c r="F1283">
        <f>IF(INVENTARIO!N1283="","",INVENTARIO!N1283)</f>
        <v/>
      </c>
      <c r="G1283">
        <f>IF(INVENTARIO!P1283="","",INVENTARIO!P1283)</f>
        <v/>
      </c>
      <c r="H1283">
        <f>IF(INVENTARIO!Q1283="","",INVENTARIO!Q1283)</f>
        <v/>
      </c>
      <c r="I1283">
        <f>IF(INVENTARIO!R1283="","",INVENTARIO!R1283)</f>
        <v/>
      </c>
      <c r="J1283">
        <f>IF(G1283="PUBLICA(1)",1,IF(G1283="USO INTERNO(2)",2,IF(G1283="RESTRINGIDO(3)",3,0)))+IF(H1283="BAJA(1)",1,IF(H1283="MEDIA(2)",2,IF(H1283="ALTA(3)",3,0)))+IF(I1283="BAJA(1)",1,IF(I1283="MEDIA(2)",2,IF(I1283="ALTA(3)",3,0)))</f>
        <v/>
      </c>
      <c r="K1283">
        <f>IF(J1283="", "", IF(J1283&gt;=8,"ALTA",IF(J1283&gt;=6,"MEDIA","BAJA")))</f>
        <v/>
      </c>
      <c r="L1283">
        <f>IF(INVENTARIO!Y1283="","",INVENTARIO!Y1283)</f>
        <v/>
      </c>
      <c r="M1283">
        <f>IF(INVENTARIO!Z1283="","",INVENTARIO!Z1283)</f>
        <v/>
      </c>
      <c r="N1283">
        <f>IF(INVENTARIO!AA1283="","",INVENTARIO!AA1283)</f>
        <v/>
      </c>
      <c r="O1283">
        <f>IF(INVENTARIO!AB1283="","",INVENTARIO!AB1283)</f>
        <v/>
      </c>
      <c r="P1283">
        <f>IF(INVENTARIO!AC1283="","",INVENTARIO!AC1283)</f>
        <v/>
      </c>
      <c r="Q1283">
        <f>IF(AND(K1283="",N1283="",L1283=""),"",IF(AND((K1283="ALTA"),OR(LEFT(N1283,2)="L0",LEFT(N1283,2)="L1",L1283="No Iniciado")),"CRÍTICO - Incumplimiento Normativo SEPS",IF(AND(OR(LEFT(N1283,2)="L4",LEFT(N1283,2)="L5"),AND(P1283&lt;&gt;"",P1283&lt;&gt;"N/A")),"CONFORME - Control Efectivo ISO 27001","OBSERVACIÓN - Revisar Controles")))</f>
        <v/>
      </c>
    </row>
    <row r="1284">
      <c r="A1284">
        <f>IF(INVENTARIO!A1284="","",INVENTARIO!A1284)</f>
        <v/>
      </c>
      <c r="B1284">
        <f>IF(INVENTARIO!E1284="","",INVENTARIO!E1284)</f>
        <v/>
      </c>
      <c r="C1284">
        <f>IF(INVENTARIO!F1284="","",INVENTARIO!F1284)</f>
        <v/>
      </c>
      <c r="D1284">
        <f>IF(INVENTARIO!H1284="","",INVENTARIO!H1284)</f>
        <v/>
      </c>
      <c r="E1284">
        <f>IF(INVENTARIO!I1284="","",INVENTARIO!I1284)</f>
        <v/>
      </c>
      <c r="F1284">
        <f>IF(INVENTARIO!N1284="","",INVENTARIO!N1284)</f>
        <v/>
      </c>
      <c r="G1284">
        <f>IF(INVENTARIO!P1284="","",INVENTARIO!P1284)</f>
        <v/>
      </c>
      <c r="H1284">
        <f>IF(INVENTARIO!Q1284="","",INVENTARIO!Q1284)</f>
        <v/>
      </c>
      <c r="I1284">
        <f>IF(INVENTARIO!R1284="","",INVENTARIO!R1284)</f>
        <v/>
      </c>
      <c r="J1284">
        <f>IF(G1284="PUBLICA(1)",1,IF(G1284="USO INTERNO(2)",2,IF(G1284="RESTRINGIDO(3)",3,0)))+IF(H1284="BAJA(1)",1,IF(H1284="MEDIA(2)",2,IF(H1284="ALTA(3)",3,0)))+IF(I1284="BAJA(1)",1,IF(I1284="MEDIA(2)",2,IF(I1284="ALTA(3)",3,0)))</f>
        <v/>
      </c>
      <c r="K1284">
        <f>IF(J1284="", "", IF(J1284&gt;=8,"ALTA",IF(J1284&gt;=6,"MEDIA","BAJA")))</f>
        <v/>
      </c>
      <c r="L1284">
        <f>IF(INVENTARIO!Y1284="","",INVENTARIO!Y1284)</f>
        <v/>
      </c>
      <c r="M1284">
        <f>IF(INVENTARIO!Z1284="","",INVENTARIO!Z1284)</f>
        <v/>
      </c>
      <c r="N1284">
        <f>IF(INVENTARIO!AA1284="","",INVENTARIO!AA1284)</f>
        <v/>
      </c>
      <c r="O1284">
        <f>IF(INVENTARIO!AB1284="","",INVENTARIO!AB1284)</f>
        <v/>
      </c>
      <c r="P1284">
        <f>IF(INVENTARIO!AC1284="","",INVENTARIO!AC1284)</f>
        <v/>
      </c>
      <c r="Q1284">
        <f>IF(AND(K1284="",N1284="",L1284=""),"",IF(AND((K1284="ALTA"),OR(LEFT(N1284,2)="L0",LEFT(N1284,2)="L1",L1284="No Iniciado")),"CRÍTICO - Incumplimiento Normativo SEPS",IF(AND(OR(LEFT(N1284,2)="L4",LEFT(N1284,2)="L5"),AND(P1284&lt;&gt;"",P1284&lt;&gt;"N/A")),"CONFORME - Control Efectivo ISO 27001","OBSERVACIÓN - Revisar Controles")))</f>
        <v/>
      </c>
    </row>
    <row r="1285">
      <c r="A1285">
        <f>IF(INVENTARIO!A1285="","",INVENTARIO!A1285)</f>
        <v/>
      </c>
      <c r="B1285">
        <f>IF(INVENTARIO!E1285="","",INVENTARIO!E1285)</f>
        <v/>
      </c>
      <c r="C1285">
        <f>IF(INVENTARIO!F1285="","",INVENTARIO!F1285)</f>
        <v/>
      </c>
      <c r="D1285">
        <f>IF(INVENTARIO!H1285="","",INVENTARIO!H1285)</f>
        <v/>
      </c>
      <c r="E1285">
        <f>IF(INVENTARIO!I1285="","",INVENTARIO!I1285)</f>
        <v/>
      </c>
      <c r="F1285">
        <f>IF(INVENTARIO!N1285="","",INVENTARIO!N1285)</f>
        <v/>
      </c>
      <c r="G1285">
        <f>IF(INVENTARIO!P1285="","",INVENTARIO!P1285)</f>
        <v/>
      </c>
      <c r="H1285">
        <f>IF(INVENTARIO!Q1285="","",INVENTARIO!Q1285)</f>
        <v/>
      </c>
      <c r="I1285">
        <f>IF(INVENTARIO!R1285="","",INVENTARIO!R1285)</f>
        <v/>
      </c>
      <c r="J1285">
        <f>IF(G1285="PUBLICA(1)",1,IF(G1285="USO INTERNO(2)",2,IF(G1285="RESTRINGIDO(3)",3,0)))+IF(H1285="BAJA(1)",1,IF(H1285="MEDIA(2)",2,IF(H1285="ALTA(3)",3,0)))+IF(I1285="BAJA(1)",1,IF(I1285="MEDIA(2)",2,IF(I1285="ALTA(3)",3,0)))</f>
        <v/>
      </c>
      <c r="K1285">
        <f>IF(J1285="", "", IF(J1285&gt;=8,"ALTA",IF(J1285&gt;=6,"MEDIA","BAJA")))</f>
        <v/>
      </c>
      <c r="L1285">
        <f>IF(INVENTARIO!Y1285="","",INVENTARIO!Y1285)</f>
        <v/>
      </c>
      <c r="M1285">
        <f>IF(INVENTARIO!Z1285="","",INVENTARIO!Z1285)</f>
        <v/>
      </c>
      <c r="N1285">
        <f>IF(INVENTARIO!AA1285="","",INVENTARIO!AA1285)</f>
        <v/>
      </c>
      <c r="O1285">
        <f>IF(INVENTARIO!AB1285="","",INVENTARIO!AB1285)</f>
        <v/>
      </c>
      <c r="P1285">
        <f>IF(INVENTARIO!AC1285="","",INVENTARIO!AC1285)</f>
        <v/>
      </c>
      <c r="Q1285">
        <f>IF(AND(K1285="",N1285="",L1285=""),"",IF(AND((K1285="ALTA"),OR(LEFT(N1285,2)="L0",LEFT(N1285,2)="L1",L1285="No Iniciado")),"CRÍTICO - Incumplimiento Normativo SEPS",IF(AND(OR(LEFT(N1285,2)="L4",LEFT(N1285,2)="L5"),AND(P1285&lt;&gt;"",P1285&lt;&gt;"N/A")),"CONFORME - Control Efectivo ISO 27001","OBSERVACIÓN - Revisar Controles")))</f>
        <v/>
      </c>
    </row>
    <row r="1286">
      <c r="A1286">
        <f>IF(INVENTARIO!A1286="","",INVENTARIO!A1286)</f>
        <v/>
      </c>
      <c r="B1286">
        <f>IF(INVENTARIO!E1286="","",INVENTARIO!E1286)</f>
        <v/>
      </c>
      <c r="C1286">
        <f>IF(INVENTARIO!F1286="","",INVENTARIO!F1286)</f>
        <v/>
      </c>
      <c r="D1286">
        <f>IF(INVENTARIO!H1286="","",INVENTARIO!H1286)</f>
        <v/>
      </c>
      <c r="E1286">
        <f>IF(INVENTARIO!I1286="","",INVENTARIO!I1286)</f>
        <v/>
      </c>
      <c r="F1286">
        <f>IF(INVENTARIO!N1286="","",INVENTARIO!N1286)</f>
        <v/>
      </c>
      <c r="G1286">
        <f>IF(INVENTARIO!P1286="","",INVENTARIO!P1286)</f>
        <v/>
      </c>
      <c r="H1286">
        <f>IF(INVENTARIO!Q1286="","",INVENTARIO!Q1286)</f>
        <v/>
      </c>
      <c r="I1286">
        <f>IF(INVENTARIO!R1286="","",INVENTARIO!R1286)</f>
        <v/>
      </c>
      <c r="J1286">
        <f>IF(G1286="PUBLICA(1)",1,IF(G1286="USO INTERNO(2)",2,IF(G1286="RESTRINGIDO(3)",3,0)))+IF(H1286="BAJA(1)",1,IF(H1286="MEDIA(2)",2,IF(H1286="ALTA(3)",3,0)))+IF(I1286="BAJA(1)",1,IF(I1286="MEDIA(2)",2,IF(I1286="ALTA(3)",3,0)))</f>
        <v/>
      </c>
      <c r="K1286">
        <f>IF(J1286="", "", IF(J1286&gt;=8,"ALTA",IF(J1286&gt;=6,"MEDIA","BAJA")))</f>
        <v/>
      </c>
      <c r="L1286">
        <f>IF(INVENTARIO!Y1286="","",INVENTARIO!Y1286)</f>
        <v/>
      </c>
      <c r="M1286">
        <f>IF(INVENTARIO!Z1286="","",INVENTARIO!Z1286)</f>
        <v/>
      </c>
      <c r="N1286">
        <f>IF(INVENTARIO!AA1286="","",INVENTARIO!AA1286)</f>
        <v/>
      </c>
      <c r="O1286">
        <f>IF(INVENTARIO!AB1286="","",INVENTARIO!AB1286)</f>
        <v/>
      </c>
      <c r="P1286">
        <f>IF(INVENTARIO!AC1286="","",INVENTARIO!AC1286)</f>
        <v/>
      </c>
      <c r="Q1286">
        <f>IF(AND(K1286="",N1286="",L1286=""),"",IF(AND((K1286="ALTA"),OR(LEFT(N1286,2)="L0",LEFT(N1286,2)="L1",L1286="No Iniciado")),"CRÍTICO - Incumplimiento Normativo SEPS",IF(AND(OR(LEFT(N1286,2)="L4",LEFT(N1286,2)="L5"),AND(P1286&lt;&gt;"",P1286&lt;&gt;"N/A")),"CONFORME - Control Efectivo ISO 27001","OBSERVACIÓN - Revisar Controles")))</f>
        <v/>
      </c>
    </row>
    <row r="1287">
      <c r="A1287">
        <f>IF(INVENTARIO!A1287="","",INVENTARIO!A1287)</f>
        <v/>
      </c>
      <c r="B1287">
        <f>IF(INVENTARIO!E1287="","",INVENTARIO!E1287)</f>
        <v/>
      </c>
      <c r="C1287">
        <f>IF(INVENTARIO!F1287="","",INVENTARIO!F1287)</f>
        <v/>
      </c>
      <c r="D1287">
        <f>IF(INVENTARIO!H1287="","",INVENTARIO!H1287)</f>
        <v/>
      </c>
      <c r="E1287">
        <f>IF(INVENTARIO!I1287="","",INVENTARIO!I1287)</f>
        <v/>
      </c>
      <c r="F1287">
        <f>IF(INVENTARIO!N1287="","",INVENTARIO!N1287)</f>
        <v/>
      </c>
      <c r="G1287">
        <f>IF(INVENTARIO!P1287="","",INVENTARIO!P1287)</f>
        <v/>
      </c>
      <c r="H1287">
        <f>IF(INVENTARIO!Q1287="","",INVENTARIO!Q1287)</f>
        <v/>
      </c>
      <c r="I1287">
        <f>IF(INVENTARIO!R1287="","",INVENTARIO!R1287)</f>
        <v/>
      </c>
      <c r="J1287">
        <f>IF(G1287="PUBLICA(1)",1,IF(G1287="USO INTERNO(2)",2,IF(G1287="RESTRINGIDO(3)",3,0)))+IF(H1287="BAJA(1)",1,IF(H1287="MEDIA(2)",2,IF(H1287="ALTA(3)",3,0)))+IF(I1287="BAJA(1)",1,IF(I1287="MEDIA(2)",2,IF(I1287="ALTA(3)",3,0)))</f>
        <v/>
      </c>
      <c r="K1287">
        <f>IF(J1287="", "", IF(J1287&gt;=8,"ALTA",IF(J1287&gt;=6,"MEDIA","BAJA")))</f>
        <v/>
      </c>
      <c r="L1287">
        <f>IF(INVENTARIO!Y1287="","",INVENTARIO!Y1287)</f>
        <v/>
      </c>
      <c r="M1287">
        <f>IF(INVENTARIO!Z1287="","",INVENTARIO!Z1287)</f>
        <v/>
      </c>
      <c r="N1287">
        <f>IF(INVENTARIO!AA1287="","",INVENTARIO!AA1287)</f>
        <v/>
      </c>
      <c r="O1287">
        <f>IF(INVENTARIO!AB1287="","",INVENTARIO!AB1287)</f>
        <v/>
      </c>
      <c r="P1287">
        <f>IF(INVENTARIO!AC1287="","",INVENTARIO!AC1287)</f>
        <v/>
      </c>
      <c r="Q1287">
        <f>IF(AND(K1287="",N1287="",L1287=""),"",IF(AND((K1287="ALTA"),OR(LEFT(N1287,2)="L0",LEFT(N1287,2)="L1",L1287="No Iniciado")),"CRÍTICO - Incumplimiento Normativo SEPS",IF(AND(OR(LEFT(N1287,2)="L4",LEFT(N1287,2)="L5"),AND(P1287&lt;&gt;"",P1287&lt;&gt;"N/A")),"CONFORME - Control Efectivo ISO 27001","OBSERVACIÓN - Revisar Controles")))</f>
        <v/>
      </c>
    </row>
    <row r="1288">
      <c r="A1288">
        <f>IF(INVENTARIO!A1288="","",INVENTARIO!A1288)</f>
        <v/>
      </c>
      <c r="B1288">
        <f>IF(INVENTARIO!E1288="","",INVENTARIO!E1288)</f>
        <v/>
      </c>
      <c r="C1288">
        <f>IF(INVENTARIO!F1288="","",INVENTARIO!F1288)</f>
        <v/>
      </c>
      <c r="D1288">
        <f>IF(INVENTARIO!H1288="","",INVENTARIO!H1288)</f>
        <v/>
      </c>
      <c r="E1288">
        <f>IF(INVENTARIO!I1288="","",INVENTARIO!I1288)</f>
        <v/>
      </c>
      <c r="F1288">
        <f>IF(INVENTARIO!N1288="","",INVENTARIO!N1288)</f>
        <v/>
      </c>
      <c r="G1288">
        <f>IF(INVENTARIO!P1288="","",INVENTARIO!P1288)</f>
        <v/>
      </c>
      <c r="H1288">
        <f>IF(INVENTARIO!Q1288="","",INVENTARIO!Q1288)</f>
        <v/>
      </c>
      <c r="I1288">
        <f>IF(INVENTARIO!R1288="","",INVENTARIO!R1288)</f>
        <v/>
      </c>
      <c r="J1288">
        <f>IF(G1288="PUBLICA(1)",1,IF(G1288="USO INTERNO(2)",2,IF(G1288="RESTRINGIDO(3)",3,0)))+IF(H1288="BAJA(1)",1,IF(H1288="MEDIA(2)",2,IF(H1288="ALTA(3)",3,0)))+IF(I1288="BAJA(1)",1,IF(I1288="MEDIA(2)",2,IF(I1288="ALTA(3)",3,0)))</f>
        <v/>
      </c>
      <c r="K1288">
        <f>IF(J1288="", "", IF(J1288&gt;=8,"ALTA",IF(J1288&gt;=6,"MEDIA","BAJA")))</f>
        <v/>
      </c>
      <c r="L1288">
        <f>IF(INVENTARIO!Y1288="","",INVENTARIO!Y1288)</f>
        <v/>
      </c>
      <c r="M1288">
        <f>IF(INVENTARIO!Z1288="","",INVENTARIO!Z1288)</f>
        <v/>
      </c>
      <c r="N1288">
        <f>IF(INVENTARIO!AA1288="","",INVENTARIO!AA1288)</f>
        <v/>
      </c>
      <c r="O1288">
        <f>IF(INVENTARIO!AB1288="","",INVENTARIO!AB1288)</f>
        <v/>
      </c>
      <c r="P1288">
        <f>IF(INVENTARIO!AC1288="","",INVENTARIO!AC1288)</f>
        <v/>
      </c>
      <c r="Q1288">
        <f>IF(AND(K1288="",N1288="",L1288=""),"",IF(AND((K1288="ALTA"),OR(LEFT(N1288,2)="L0",LEFT(N1288,2)="L1",L1288="No Iniciado")),"CRÍTICO - Incumplimiento Normativo SEPS",IF(AND(OR(LEFT(N1288,2)="L4",LEFT(N1288,2)="L5"),AND(P1288&lt;&gt;"",P1288&lt;&gt;"N/A")),"CONFORME - Control Efectivo ISO 27001","OBSERVACIÓN - Revisar Controles")))</f>
        <v/>
      </c>
    </row>
    <row r="1289">
      <c r="A1289">
        <f>IF(INVENTARIO!A1289="","",INVENTARIO!A1289)</f>
        <v/>
      </c>
      <c r="B1289">
        <f>IF(INVENTARIO!E1289="","",INVENTARIO!E1289)</f>
        <v/>
      </c>
      <c r="C1289">
        <f>IF(INVENTARIO!F1289="","",INVENTARIO!F1289)</f>
        <v/>
      </c>
      <c r="D1289">
        <f>IF(INVENTARIO!H1289="","",INVENTARIO!H1289)</f>
        <v/>
      </c>
      <c r="E1289">
        <f>IF(INVENTARIO!I1289="","",INVENTARIO!I1289)</f>
        <v/>
      </c>
      <c r="F1289">
        <f>IF(INVENTARIO!N1289="","",INVENTARIO!N1289)</f>
        <v/>
      </c>
      <c r="G1289">
        <f>IF(INVENTARIO!P1289="","",INVENTARIO!P1289)</f>
        <v/>
      </c>
      <c r="H1289">
        <f>IF(INVENTARIO!Q1289="","",INVENTARIO!Q1289)</f>
        <v/>
      </c>
      <c r="I1289">
        <f>IF(INVENTARIO!R1289="","",INVENTARIO!R1289)</f>
        <v/>
      </c>
      <c r="J1289">
        <f>IF(G1289="PUBLICA(1)",1,IF(G1289="USO INTERNO(2)",2,IF(G1289="RESTRINGIDO(3)",3,0)))+IF(H1289="BAJA(1)",1,IF(H1289="MEDIA(2)",2,IF(H1289="ALTA(3)",3,0)))+IF(I1289="BAJA(1)",1,IF(I1289="MEDIA(2)",2,IF(I1289="ALTA(3)",3,0)))</f>
        <v/>
      </c>
      <c r="K1289">
        <f>IF(J1289="", "", IF(J1289&gt;=8,"ALTA",IF(J1289&gt;=6,"MEDIA","BAJA")))</f>
        <v/>
      </c>
      <c r="L1289">
        <f>IF(INVENTARIO!Y1289="","",INVENTARIO!Y1289)</f>
        <v/>
      </c>
      <c r="M1289">
        <f>IF(INVENTARIO!Z1289="","",INVENTARIO!Z1289)</f>
        <v/>
      </c>
      <c r="N1289">
        <f>IF(INVENTARIO!AA1289="","",INVENTARIO!AA1289)</f>
        <v/>
      </c>
      <c r="O1289">
        <f>IF(INVENTARIO!AB1289="","",INVENTARIO!AB1289)</f>
        <v/>
      </c>
      <c r="P1289">
        <f>IF(INVENTARIO!AC1289="","",INVENTARIO!AC1289)</f>
        <v/>
      </c>
      <c r="Q1289">
        <f>IF(AND(K1289="",N1289="",L1289=""),"",IF(AND((K1289="ALTA"),OR(LEFT(N1289,2)="L0",LEFT(N1289,2)="L1",L1289="No Iniciado")),"CRÍTICO - Incumplimiento Normativo SEPS",IF(AND(OR(LEFT(N1289,2)="L4",LEFT(N1289,2)="L5"),AND(P1289&lt;&gt;"",P1289&lt;&gt;"N/A")),"CONFORME - Control Efectivo ISO 27001","OBSERVACIÓN - Revisar Controles")))</f>
        <v/>
      </c>
    </row>
    <row r="1290">
      <c r="A1290">
        <f>IF(INVENTARIO!A1290="","",INVENTARIO!A1290)</f>
        <v/>
      </c>
      <c r="B1290">
        <f>IF(INVENTARIO!E1290="","",INVENTARIO!E1290)</f>
        <v/>
      </c>
      <c r="C1290">
        <f>IF(INVENTARIO!F1290="","",INVENTARIO!F1290)</f>
        <v/>
      </c>
      <c r="D1290">
        <f>IF(INVENTARIO!H1290="","",INVENTARIO!H1290)</f>
        <v/>
      </c>
      <c r="E1290">
        <f>IF(INVENTARIO!I1290="","",INVENTARIO!I1290)</f>
        <v/>
      </c>
      <c r="F1290">
        <f>IF(INVENTARIO!N1290="","",INVENTARIO!N1290)</f>
        <v/>
      </c>
      <c r="G1290">
        <f>IF(INVENTARIO!P1290="","",INVENTARIO!P1290)</f>
        <v/>
      </c>
      <c r="H1290">
        <f>IF(INVENTARIO!Q1290="","",INVENTARIO!Q1290)</f>
        <v/>
      </c>
      <c r="I1290">
        <f>IF(INVENTARIO!R1290="","",INVENTARIO!R1290)</f>
        <v/>
      </c>
      <c r="J1290">
        <f>IF(G1290="PUBLICA(1)",1,IF(G1290="USO INTERNO(2)",2,IF(G1290="RESTRINGIDO(3)",3,0)))+IF(H1290="BAJA(1)",1,IF(H1290="MEDIA(2)",2,IF(H1290="ALTA(3)",3,0)))+IF(I1290="BAJA(1)",1,IF(I1290="MEDIA(2)",2,IF(I1290="ALTA(3)",3,0)))</f>
        <v/>
      </c>
      <c r="K1290">
        <f>IF(J1290="", "", IF(J1290&gt;=8,"ALTA",IF(J1290&gt;=6,"MEDIA","BAJA")))</f>
        <v/>
      </c>
      <c r="L1290">
        <f>IF(INVENTARIO!Y1290="","",INVENTARIO!Y1290)</f>
        <v/>
      </c>
      <c r="M1290">
        <f>IF(INVENTARIO!Z1290="","",INVENTARIO!Z1290)</f>
        <v/>
      </c>
      <c r="N1290">
        <f>IF(INVENTARIO!AA1290="","",INVENTARIO!AA1290)</f>
        <v/>
      </c>
      <c r="O1290">
        <f>IF(INVENTARIO!AB1290="","",INVENTARIO!AB1290)</f>
        <v/>
      </c>
      <c r="P1290">
        <f>IF(INVENTARIO!AC1290="","",INVENTARIO!AC1290)</f>
        <v/>
      </c>
      <c r="Q1290">
        <f>IF(AND(K1290="",N1290="",L1290=""),"",IF(AND((K1290="ALTA"),OR(LEFT(N1290,2)="L0",LEFT(N1290,2)="L1",L1290="No Iniciado")),"CRÍTICO - Incumplimiento Normativo SEPS",IF(AND(OR(LEFT(N1290,2)="L4",LEFT(N1290,2)="L5"),AND(P1290&lt;&gt;"",P1290&lt;&gt;"N/A")),"CONFORME - Control Efectivo ISO 27001","OBSERVACIÓN - Revisar Controles")))</f>
        <v/>
      </c>
    </row>
    <row r="1291">
      <c r="A1291">
        <f>IF(INVENTARIO!A1291="","",INVENTARIO!A1291)</f>
        <v/>
      </c>
      <c r="B1291">
        <f>IF(INVENTARIO!E1291="","",INVENTARIO!E1291)</f>
        <v/>
      </c>
      <c r="C1291">
        <f>IF(INVENTARIO!F1291="","",INVENTARIO!F1291)</f>
        <v/>
      </c>
      <c r="D1291">
        <f>IF(INVENTARIO!H1291="","",INVENTARIO!H1291)</f>
        <v/>
      </c>
      <c r="E1291">
        <f>IF(INVENTARIO!I1291="","",INVENTARIO!I1291)</f>
        <v/>
      </c>
      <c r="F1291">
        <f>IF(INVENTARIO!N1291="","",INVENTARIO!N1291)</f>
        <v/>
      </c>
      <c r="G1291">
        <f>IF(INVENTARIO!P1291="","",INVENTARIO!P1291)</f>
        <v/>
      </c>
      <c r="H1291">
        <f>IF(INVENTARIO!Q1291="","",INVENTARIO!Q1291)</f>
        <v/>
      </c>
      <c r="I1291">
        <f>IF(INVENTARIO!R1291="","",INVENTARIO!R1291)</f>
        <v/>
      </c>
      <c r="J1291">
        <f>IF(G1291="PUBLICA(1)",1,IF(G1291="USO INTERNO(2)",2,IF(G1291="RESTRINGIDO(3)",3,0)))+IF(H1291="BAJA(1)",1,IF(H1291="MEDIA(2)",2,IF(H1291="ALTA(3)",3,0)))+IF(I1291="BAJA(1)",1,IF(I1291="MEDIA(2)",2,IF(I1291="ALTA(3)",3,0)))</f>
        <v/>
      </c>
      <c r="K1291">
        <f>IF(J1291="", "", IF(J1291&gt;=8,"ALTA",IF(J1291&gt;=6,"MEDIA","BAJA")))</f>
        <v/>
      </c>
      <c r="L1291">
        <f>IF(INVENTARIO!Y1291="","",INVENTARIO!Y1291)</f>
        <v/>
      </c>
      <c r="M1291">
        <f>IF(INVENTARIO!Z1291="","",INVENTARIO!Z1291)</f>
        <v/>
      </c>
      <c r="N1291">
        <f>IF(INVENTARIO!AA1291="","",INVENTARIO!AA1291)</f>
        <v/>
      </c>
      <c r="O1291">
        <f>IF(INVENTARIO!AB1291="","",INVENTARIO!AB1291)</f>
        <v/>
      </c>
      <c r="P1291">
        <f>IF(INVENTARIO!AC1291="","",INVENTARIO!AC1291)</f>
        <v/>
      </c>
      <c r="Q1291">
        <f>IF(AND(K1291="",N1291="",L1291=""),"",IF(AND((K1291="ALTA"),OR(LEFT(N1291,2)="L0",LEFT(N1291,2)="L1",L1291="No Iniciado")),"CRÍTICO - Incumplimiento Normativo SEPS",IF(AND(OR(LEFT(N1291,2)="L4",LEFT(N1291,2)="L5"),AND(P1291&lt;&gt;"",P1291&lt;&gt;"N/A")),"CONFORME - Control Efectivo ISO 27001","OBSERVACIÓN - Revisar Controles")))</f>
        <v/>
      </c>
    </row>
    <row r="1292">
      <c r="A1292">
        <f>IF(INVENTARIO!A1292="","",INVENTARIO!A1292)</f>
        <v/>
      </c>
      <c r="B1292">
        <f>IF(INVENTARIO!E1292="","",INVENTARIO!E1292)</f>
        <v/>
      </c>
      <c r="C1292">
        <f>IF(INVENTARIO!F1292="","",INVENTARIO!F1292)</f>
        <v/>
      </c>
      <c r="D1292">
        <f>IF(INVENTARIO!H1292="","",INVENTARIO!H1292)</f>
        <v/>
      </c>
      <c r="E1292">
        <f>IF(INVENTARIO!I1292="","",INVENTARIO!I1292)</f>
        <v/>
      </c>
      <c r="F1292">
        <f>IF(INVENTARIO!N1292="","",INVENTARIO!N1292)</f>
        <v/>
      </c>
      <c r="G1292">
        <f>IF(INVENTARIO!P1292="","",INVENTARIO!P1292)</f>
        <v/>
      </c>
      <c r="H1292">
        <f>IF(INVENTARIO!Q1292="","",INVENTARIO!Q1292)</f>
        <v/>
      </c>
      <c r="I1292">
        <f>IF(INVENTARIO!R1292="","",INVENTARIO!R1292)</f>
        <v/>
      </c>
      <c r="J1292">
        <f>IF(G1292="PUBLICA(1)",1,IF(G1292="USO INTERNO(2)",2,IF(G1292="RESTRINGIDO(3)",3,0)))+IF(H1292="BAJA(1)",1,IF(H1292="MEDIA(2)",2,IF(H1292="ALTA(3)",3,0)))+IF(I1292="BAJA(1)",1,IF(I1292="MEDIA(2)",2,IF(I1292="ALTA(3)",3,0)))</f>
        <v/>
      </c>
      <c r="K1292">
        <f>IF(J1292="", "", IF(J1292&gt;=8,"ALTA",IF(J1292&gt;=6,"MEDIA","BAJA")))</f>
        <v/>
      </c>
      <c r="L1292">
        <f>IF(INVENTARIO!Y1292="","",INVENTARIO!Y1292)</f>
        <v/>
      </c>
      <c r="M1292">
        <f>IF(INVENTARIO!Z1292="","",INVENTARIO!Z1292)</f>
        <v/>
      </c>
      <c r="N1292">
        <f>IF(INVENTARIO!AA1292="","",INVENTARIO!AA1292)</f>
        <v/>
      </c>
      <c r="O1292">
        <f>IF(INVENTARIO!AB1292="","",INVENTARIO!AB1292)</f>
        <v/>
      </c>
      <c r="P1292">
        <f>IF(INVENTARIO!AC1292="","",INVENTARIO!AC1292)</f>
        <v/>
      </c>
      <c r="Q1292">
        <f>IF(AND(K1292="",N1292="",L1292=""),"",IF(AND((K1292="ALTA"),OR(LEFT(N1292,2)="L0",LEFT(N1292,2)="L1",L1292="No Iniciado")),"CRÍTICO - Incumplimiento Normativo SEPS",IF(AND(OR(LEFT(N1292,2)="L4",LEFT(N1292,2)="L5"),AND(P1292&lt;&gt;"",P1292&lt;&gt;"N/A")),"CONFORME - Control Efectivo ISO 27001","OBSERVACIÓN - Revisar Controles")))</f>
        <v/>
      </c>
    </row>
    <row r="1293">
      <c r="A1293">
        <f>IF(INVENTARIO!A1293="","",INVENTARIO!A1293)</f>
        <v/>
      </c>
      <c r="B1293">
        <f>IF(INVENTARIO!E1293="","",INVENTARIO!E1293)</f>
        <v/>
      </c>
      <c r="C1293">
        <f>IF(INVENTARIO!F1293="","",INVENTARIO!F1293)</f>
        <v/>
      </c>
      <c r="D1293">
        <f>IF(INVENTARIO!H1293="","",INVENTARIO!H1293)</f>
        <v/>
      </c>
      <c r="E1293">
        <f>IF(INVENTARIO!I1293="","",INVENTARIO!I1293)</f>
        <v/>
      </c>
      <c r="F1293">
        <f>IF(INVENTARIO!N1293="","",INVENTARIO!N1293)</f>
        <v/>
      </c>
      <c r="G1293">
        <f>IF(INVENTARIO!P1293="","",INVENTARIO!P1293)</f>
        <v/>
      </c>
      <c r="H1293">
        <f>IF(INVENTARIO!Q1293="","",INVENTARIO!Q1293)</f>
        <v/>
      </c>
      <c r="I1293">
        <f>IF(INVENTARIO!R1293="","",INVENTARIO!R1293)</f>
        <v/>
      </c>
      <c r="J1293">
        <f>IF(G1293="PUBLICA(1)",1,IF(G1293="USO INTERNO(2)",2,IF(G1293="RESTRINGIDO(3)",3,0)))+IF(H1293="BAJA(1)",1,IF(H1293="MEDIA(2)",2,IF(H1293="ALTA(3)",3,0)))+IF(I1293="BAJA(1)",1,IF(I1293="MEDIA(2)",2,IF(I1293="ALTA(3)",3,0)))</f>
        <v/>
      </c>
      <c r="K1293">
        <f>IF(J1293="", "", IF(J1293&gt;=8,"ALTA",IF(J1293&gt;=6,"MEDIA","BAJA")))</f>
        <v/>
      </c>
      <c r="L1293">
        <f>IF(INVENTARIO!Y1293="","",INVENTARIO!Y1293)</f>
        <v/>
      </c>
      <c r="M1293">
        <f>IF(INVENTARIO!Z1293="","",INVENTARIO!Z1293)</f>
        <v/>
      </c>
      <c r="N1293">
        <f>IF(INVENTARIO!AA1293="","",INVENTARIO!AA1293)</f>
        <v/>
      </c>
      <c r="O1293">
        <f>IF(INVENTARIO!AB1293="","",INVENTARIO!AB1293)</f>
        <v/>
      </c>
      <c r="P1293">
        <f>IF(INVENTARIO!AC1293="","",INVENTARIO!AC1293)</f>
        <v/>
      </c>
      <c r="Q1293">
        <f>IF(AND(K1293="",N1293="",L1293=""),"",IF(AND((K1293="ALTA"),OR(LEFT(N1293,2)="L0",LEFT(N1293,2)="L1",L1293="No Iniciado")),"CRÍTICO - Incumplimiento Normativo SEPS",IF(AND(OR(LEFT(N1293,2)="L4",LEFT(N1293,2)="L5"),AND(P1293&lt;&gt;"",P1293&lt;&gt;"N/A")),"CONFORME - Control Efectivo ISO 27001","OBSERVACIÓN - Revisar Controles")))</f>
        <v/>
      </c>
    </row>
    <row r="1294">
      <c r="A1294">
        <f>IF(INVENTARIO!A1294="","",INVENTARIO!A1294)</f>
        <v/>
      </c>
      <c r="B1294">
        <f>IF(INVENTARIO!E1294="","",INVENTARIO!E1294)</f>
        <v/>
      </c>
      <c r="C1294">
        <f>IF(INVENTARIO!F1294="","",INVENTARIO!F1294)</f>
        <v/>
      </c>
      <c r="D1294">
        <f>IF(INVENTARIO!H1294="","",INVENTARIO!H1294)</f>
        <v/>
      </c>
      <c r="E1294">
        <f>IF(INVENTARIO!I1294="","",INVENTARIO!I1294)</f>
        <v/>
      </c>
      <c r="F1294">
        <f>IF(INVENTARIO!N1294="","",INVENTARIO!N1294)</f>
        <v/>
      </c>
      <c r="G1294">
        <f>IF(INVENTARIO!P1294="","",INVENTARIO!P1294)</f>
        <v/>
      </c>
      <c r="H1294">
        <f>IF(INVENTARIO!Q1294="","",INVENTARIO!Q1294)</f>
        <v/>
      </c>
      <c r="I1294">
        <f>IF(INVENTARIO!R1294="","",INVENTARIO!R1294)</f>
        <v/>
      </c>
      <c r="J1294">
        <f>IF(G1294="PUBLICA(1)",1,IF(G1294="USO INTERNO(2)",2,IF(G1294="RESTRINGIDO(3)",3,0)))+IF(H1294="BAJA(1)",1,IF(H1294="MEDIA(2)",2,IF(H1294="ALTA(3)",3,0)))+IF(I1294="BAJA(1)",1,IF(I1294="MEDIA(2)",2,IF(I1294="ALTA(3)",3,0)))</f>
        <v/>
      </c>
      <c r="K1294">
        <f>IF(J1294="", "", IF(J1294&gt;=8,"ALTA",IF(J1294&gt;=6,"MEDIA","BAJA")))</f>
        <v/>
      </c>
      <c r="L1294">
        <f>IF(INVENTARIO!Y1294="","",INVENTARIO!Y1294)</f>
        <v/>
      </c>
      <c r="M1294">
        <f>IF(INVENTARIO!Z1294="","",INVENTARIO!Z1294)</f>
        <v/>
      </c>
      <c r="N1294">
        <f>IF(INVENTARIO!AA1294="","",INVENTARIO!AA1294)</f>
        <v/>
      </c>
      <c r="O1294">
        <f>IF(INVENTARIO!AB1294="","",INVENTARIO!AB1294)</f>
        <v/>
      </c>
      <c r="P1294">
        <f>IF(INVENTARIO!AC1294="","",INVENTARIO!AC1294)</f>
        <v/>
      </c>
      <c r="Q1294">
        <f>IF(AND(K1294="",N1294="",L1294=""),"",IF(AND((K1294="ALTA"),OR(LEFT(N1294,2)="L0",LEFT(N1294,2)="L1",L1294="No Iniciado")),"CRÍTICO - Incumplimiento Normativo SEPS",IF(AND(OR(LEFT(N1294,2)="L4",LEFT(N1294,2)="L5"),AND(P1294&lt;&gt;"",P1294&lt;&gt;"N/A")),"CONFORME - Control Efectivo ISO 27001","OBSERVACIÓN - Revisar Controles")))</f>
        <v/>
      </c>
    </row>
    <row r="1295">
      <c r="A1295">
        <f>IF(INVENTARIO!A1295="","",INVENTARIO!A1295)</f>
        <v/>
      </c>
      <c r="B1295">
        <f>IF(INVENTARIO!E1295="","",INVENTARIO!E1295)</f>
        <v/>
      </c>
      <c r="C1295">
        <f>IF(INVENTARIO!F1295="","",INVENTARIO!F1295)</f>
        <v/>
      </c>
      <c r="D1295">
        <f>IF(INVENTARIO!H1295="","",INVENTARIO!H1295)</f>
        <v/>
      </c>
      <c r="E1295">
        <f>IF(INVENTARIO!I1295="","",INVENTARIO!I1295)</f>
        <v/>
      </c>
      <c r="F1295">
        <f>IF(INVENTARIO!N1295="","",INVENTARIO!N1295)</f>
        <v/>
      </c>
      <c r="G1295">
        <f>IF(INVENTARIO!P1295="","",INVENTARIO!P1295)</f>
        <v/>
      </c>
      <c r="H1295">
        <f>IF(INVENTARIO!Q1295="","",INVENTARIO!Q1295)</f>
        <v/>
      </c>
      <c r="I1295">
        <f>IF(INVENTARIO!R1295="","",INVENTARIO!R1295)</f>
        <v/>
      </c>
      <c r="J1295">
        <f>IF(G1295="PUBLICA(1)",1,IF(G1295="USO INTERNO(2)",2,IF(G1295="RESTRINGIDO(3)",3,0)))+IF(H1295="BAJA(1)",1,IF(H1295="MEDIA(2)",2,IF(H1295="ALTA(3)",3,0)))+IF(I1295="BAJA(1)",1,IF(I1295="MEDIA(2)",2,IF(I1295="ALTA(3)",3,0)))</f>
        <v/>
      </c>
      <c r="K1295">
        <f>IF(J1295="", "", IF(J1295&gt;=8,"ALTA",IF(J1295&gt;=6,"MEDIA","BAJA")))</f>
        <v/>
      </c>
      <c r="L1295">
        <f>IF(INVENTARIO!Y1295="","",INVENTARIO!Y1295)</f>
        <v/>
      </c>
      <c r="M1295">
        <f>IF(INVENTARIO!Z1295="","",INVENTARIO!Z1295)</f>
        <v/>
      </c>
      <c r="N1295">
        <f>IF(INVENTARIO!AA1295="","",INVENTARIO!AA1295)</f>
        <v/>
      </c>
      <c r="O1295">
        <f>IF(INVENTARIO!AB1295="","",INVENTARIO!AB1295)</f>
        <v/>
      </c>
      <c r="P1295">
        <f>IF(INVENTARIO!AC1295="","",INVENTARIO!AC1295)</f>
        <v/>
      </c>
      <c r="Q1295">
        <f>IF(AND(K1295="",N1295="",L1295=""),"",IF(AND((K1295="ALTA"),OR(LEFT(N1295,2)="L0",LEFT(N1295,2)="L1",L1295="No Iniciado")),"CRÍTICO - Incumplimiento Normativo SEPS",IF(AND(OR(LEFT(N1295,2)="L4",LEFT(N1295,2)="L5"),AND(P1295&lt;&gt;"",P1295&lt;&gt;"N/A")),"CONFORME - Control Efectivo ISO 27001","OBSERVACIÓN - Revisar Controles")))</f>
        <v/>
      </c>
    </row>
    <row r="1296">
      <c r="A1296">
        <f>IF(INVENTARIO!A1296="","",INVENTARIO!A1296)</f>
        <v/>
      </c>
      <c r="B1296">
        <f>IF(INVENTARIO!E1296="","",INVENTARIO!E1296)</f>
        <v/>
      </c>
      <c r="C1296">
        <f>IF(INVENTARIO!F1296="","",INVENTARIO!F1296)</f>
        <v/>
      </c>
      <c r="D1296">
        <f>IF(INVENTARIO!H1296="","",INVENTARIO!H1296)</f>
        <v/>
      </c>
      <c r="E1296">
        <f>IF(INVENTARIO!I1296="","",INVENTARIO!I1296)</f>
        <v/>
      </c>
      <c r="F1296">
        <f>IF(INVENTARIO!N1296="","",INVENTARIO!N1296)</f>
        <v/>
      </c>
      <c r="G1296">
        <f>IF(INVENTARIO!P1296="","",INVENTARIO!P1296)</f>
        <v/>
      </c>
      <c r="H1296">
        <f>IF(INVENTARIO!Q1296="","",INVENTARIO!Q1296)</f>
        <v/>
      </c>
      <c r="I1296">
        <f>IF(INVENTARIO!R1296="","",INVENTARIO!R1296)</f>
        <v/>
      </c>
      <c r="J1296">
        <f>IF(G1296="PUBLICA(1)",1,IF(G1296="USO INTERNO(2)",2,IF(G1296="RESTRINGIDO(3)",3,0)))+IF(H1296="BAJA(1)",1,IF(H1296="MEDIA(2)",2,IF(H1296="ALTA(3)",3,0)))+IF(I1296="BAJA(1)",1,IF(I1296="MEDIA(2)",2,IF(I1296="ALTA(3)",3,0)))</f>
        <v/>
      </c>
      <c r="K1296">
        <f>IF(J1296="", "", IF(J1296&gt;=8,"ALTA",IF(J1296&gt;=6,"MEDIA","BAJA")))</f>
        <v/>
      </c>
      <c r="L1296">
        <f>IF(INVENTARIO!Y1296="","",INVENTARIO!Y1296)</f>
        <v/>
      </c>
      <c r="M1296">
        <f>IF(INVENTARIO!Z1296="","",INVENTARIO!Z1296)</f>
        <v/>
      </c>
      <c r="N1296">
        <f>IF(INVENTARIO!AA1296="","",INVENTARIO!AA1296)</f>
        <v/>
      </c>
      <c r="O1296">
        <f>IF(INVENTARIO!AB1296="","",INVENTARIO!AB1296)</f>
        <v/>
      </c>
      <c r="P1296">
        <f>IF(INVENTARIO!AC1296="","",INVENTARIO!AC1296)</f>
        <v/>
      </c>
      <c r="Q1296">
        <f>IF(AND(K1296="",N1296="",L1296=""),"",IF(AND((K1296="ALTA"),OR(LEFT(N1296,2)="L0",LEFT(N1296,2)="L1",L1296="No Iniciado")),"CRÍTICO - Incumplimiento Normativo SEPS",IF(AND(OR(LEFT(N1296,2)="L4",LEFT(N1296,2)="L5"),AND(P1296&lt;&gt;"",P1296&lt;&gt;"N/A")),"CONFORME - Control Efectivo ISO 27001","OBSERVACIÓN - Revisar Controles")))</f>
        <v/>
      </c>
    </row>
    <row r="1297">
      <c r="A1297">
        <f>IF(INVENTARIO!A1297="","",INVENTARIO!A1297)</f>
        <v/>
      </c>
      <c r="B1297">
        <f>IF(INVENTARIO!E1297="","",INVENTARIO!E1297)</f>
        <v/>
      </c>
      <c r="C1297">
        <f>IF(INVENTARIO!F1297="","",INVENTARIO!F1297)</f>
        <v/>
      </c>
      <c r="D1297">
        <f>IF(INVENTARIO!H1297="","",INVENTARIO!H1297)</f>
        <v/>
      </c>
      <c r="E1297">
        <f>IF(INVENTARIO!I1297="","",INVENTARIO!I1297)</f>
        <v/>
      </c>
      <c r="F1297">
        <f>IF(INVENTARIO!N1297="","",INVENTARIO!N1297)</f>
        <v/>
      </c>
      <c r="G1297">
        <f>IF(INVENTARIO!P1297="","",INVENTARIO!P1297)</f>
        <v/>
      </c>
      <c r="H1297">
        <f>IF(INVENTARIO!Q1297="","",INVENTARIO!Q1297)</f>
        <v/>
      </c>
      <c r="I1297">
        <f>IF(INVENTARIO!R1297="","",INVENTARIO!R1297)</f>
        <v/>
      </c>
      <c r="J1297">
        <f>IF(G1297="PUBLICA(1)",1,IF(G1297="USO INTERNO(2)",2,IF(G1297="RESTRINGIDO(3)",3,0)))+IF(H1297="BAJA(1)",1,IF(H1297="MEDIA(2)",2,IF(H1297="ALTA(3)",3,0)))+IF(I1297="BAJA(1)",1,IF(I1297="MEDIA(2)",2,IF(I1297="ALTA(3)",3,0)))</f>
        <v/>
      </c>
      <c r="K1297">
        <f>IF(J1297="", "", IF(J1297&gt;=8,"ALTA",IF(J1297&gt;=6,"MEDIA","BAJA")))</f>
        <v/>
      </c>
      <c r="L1297">
        <f>IF(INVENTARIO!Y1297="","",INVENTARIO!Y1297)</f>
        <v/>
      </c>
      <c r="M1297">
        <f>IF(INVENTARIO!Z1297="","",INVENTARIO!Z1297)</f>
        <v/>
      </c>
      <c r="N1297">
        <f>IF(INVENTARIO!AA1297="","",INVENTARIO!AA1297)</f>
        <v/>
      </c>
      <c r="O1297">
        <f>IF(INVENTARIO!AB1297="","",INVENTARIO!AB1297)</f>
        <v/>
      </c>
      <c r="P1297">
        <f>IF(INVENTARIO!AC1297="","",INVENTARIO!AC1297)</f>
        <v/>
      </c>
      <c r="Q1297">
        <f>IF(AND(K1297="",N1297="",L1297=""),"",IF(AND((K1297="ALTA"),OR(LEFT(N1297,2)="L0",LEFT(N1297,2)="L1",L1297="No Iniciado")),"CRÍTICO - Incumplimiento Normativo SEPS",IF(AND(OR(LEFT(N1297,2)="L4",LEFT(N1297,2)="L5"),AND(P1297&lt;&gt;"",P1297&lt;&gt;"N/A")),"CONFORME - Control Efectivo ISO 27001","OBSERVACIÓN - Revisar Controles")))</f>
        <v/>
      </c>
    </row>
    <row r="1298">
      <c r="A1298">
        <f>IF(INVENTARIO!A1298="","",INVENTARIO!A1298)</f>
        <v/>
      </c>
      <c r="B1298">
        <f>IF(INVENTARIO!E1298="","",INVENTARIO!E1298)</f>
        <v/>
      </c>
      <c r="C1298">
        <f>IF(INVENTARIO!F1298="","",INVENTARIO!F1298)</f>
        <v/>
      </c>
      <c r="D1298">
        <f>IF(INVENTARIO!H1298="","",INVENTARIO!H1298)</f>
        <v/>
      </c>
      <c r="E1298">
        <f>IF(INVENTARIO!I1298="","",INVENTARIO!I1298)</f>
        <v/>
      </c>
      <c r="F1298">
        <f>IF(INVENTARIO!N1298="","",INVENTARIO!N1298)</f>
        <v/>
      </c>
      <c r="G1298">
        <f>IF(INVENTARIO!P1298="","",INVENTARIO!P1298)</f>
        <v/>
      </c>
      <c r="H1298">
        <f>IF(INVENTARIO!Q1298="","",INVENTARIO!Q1298)</f>
        <v/>
      </c>
      <c r="I1298">
        <f>IF(INVENTARIO!R1298="","",INVENTARIO!R1298)</f>
        <v/>
      </c>
      <c r="J1298">
        <f>IF(G1298="PUBLICA(1)",1,IF(G1298="USO INTERNO(2)",2,IF(G1298="RESTRINGIDO(3)",3,0)))+IF(H1298="BAJA(1)",1,IF(H1298="MEDIA(2)",2,IF(H1298="ALTA(3)",3,0)))+IF(I1298="BAJA(1)",1,IF(I1298="MEDIA(2)",2,IF(I1298="ALTA(3)",3,0)))</f>
        <v/>
      </c>
      <c r="K1298">
        <f>IF(J1298="", "", IF(J1298&gt;=8,"ALTA",IF(J1298&gt;=6,"MEDIA","BAJA")))</f>
        <v/>
      </c>
      <c r="L1298">
        <f>IF(INVENTARIO!Y1298="","",INVENTARIO!Y1298)</f>
        <v/>
      </c>
      <c r="M1298">
        <f>IF(INVENTARIO!Z1298="","",INVENTARIO!Z1298)</f>
        <v/>
      </c>
      <c r="N1298">
        <f>IF(INVENTARIO!AA1298="","",INVENTARIO!AA1298)</f>
        <v/>
      </c>
      <c r="O1298">
        <f>IF(INVENTARIO!AB1298="","",INVENTARIO!AB1298)</f>
        <v/>
      </c>
      <c r="P1298">
        <f>IF(INVENTARIO!AC1298="","",INVENTARIO!AC1298)</f>
        <v/>
      </c>
      <c r="Q1298">
        <f>IF(AND(K1298="",N1298="",L1298=""),"",IF(AND((K1298="ALTA"),OR(LEFT(N1298,2)="L0",LEFT(N1298,2)="L1",L1298="No Iniciado")),"CRÍTICO - Incumplimiento Normativo SEPS",IF(AND(OR(LEFT(N1298,2)="L4",LEFT(N1298,2)="L5"),AND(P1298&lt;&gt;"",P1298&lt;&gt;"N/A")),"CONFORME - Control Efectivo ISO 27001","OBSERVACIÓN - Revisar Controles")))</f>
        <v/>
      </c>
    </row>
    <row r="1299">
      <c r="A1299">
        <f>IF(INVENTARIO!A1299="","",INVENTARIO!A1299)</f>
        <v/>
      </c>
      <c r="B1299">
        <f>IF(INVENTARIO!E1299="","",INVENTARIO!E1299)</f>
        <v/>
      </c>
      <c r="C1299">
        <f>IF(INVENTARIO!F1299="","",INVENTARIO!F1299)</f>
        <v/>
      </c>
      <c r="D1299">
        <f>IF(INVENTARIO!H1299="","",INVENTARIO!H1299)</f>
        <v/>
      </c>
      <c r="E1299">
        <f>IF(INVENTARIO!I1299="","",INVENTARIO!I1299)</f>
        <v/>
      </c>
      <c r="F1299">
        <f>IF(INVENTARIO!N1299="","",INVENTARIO!N1299)</f>
        <v/>
      </c>
      <c r="G1299">
        <f>IF(INVENTARIO!P1299="","",INVENTARIO!P1299)</f>
        <v/>
      </c>
      <c r="H1299">
        <f>IF(INVENTARIO!Q1299="","",INVENTARIO!Q1299)</f>
        <v/>
      </c>
      <c r="I1299">
        <f>IF(INVENTARIO!R1299="","",INVENTARIO!R1299)</f>
        <v/>
      </c>
      <c r="J1299">
        <f>IF(G1299="PUBLICA(1)",1,IF(G1299="USO INTERNO(2)",2,IF(G1299="RESTRINGIDO(3)",3,0)))+IF(H1299="BAJA(1)",1,IF(H1299="MEDIA(2)",2,IF(H1299="ALTA(3)",3,0)))+IF(I1299="BAJA(1)",1,IF(I1299="MEDIA(2)",2,IF(I1299="ALTA(3)",3,0)))</f>
        <v/>
      </c>
      <c r="K1299">
        <f>IF(J1299="", "", IF(J1299&gt;=8,"ALTA",IF(J1299&gt;=6,"MEDIA","BAJA")))</f>
        <v/>
      </c>
      <c r="L1299">
        <f>IF(INVENTARIO!Y1299="","",INVENTARIO!Y1299)</f>
        <v/>
      </c>
      <c r="M1299">
        <f>IF(INVENTARIO!Z1299="","",INVENTARIO!Z1299)</f>
        <v/>
      </c>
      <c r="N1299">
        <f>IF(INVENTARIO!AA1299="","",INVENTARIO!AA1299)</f>
        <v/>
      </c>
      <c r="O1299">
        <f>IF(INVENTARIO!AB1299="","",INVENTARIO!AB1299)</f>
        <v/>
      </c>
      <c r="P1299">
        <f>IF(INVENTARIO!AC1299="","",INVENTARIO!AC1299)</f>
        <v/>
      </c>
      <c r="Q1299">
        <f>IF(AND(K1299="",N1299="",L1299=""),"",IF(AND((K1299="ALTA"),OR(LEFT(N1299,2)="L0",LEFT(N1299,2)="L1",L1299="No Iniciado")),"CRÍTICO - Incumplimiento Normativo SEPS",IF(AND(OR(LEFT(N1299,2)="L4",LEFT(N1299,2)="L5"),AND(P1299&lt;&gt;"",P1299&lt;&gt;"N/A")),"CONFORME - Control Efectivo ISO 27001","OBSERVACIÓN - Revisar Controles")))</f>
        <v/>
      </c>
    </row>
    <row r="1300">
      <c r="A1300">
        <f>IF(INVENTARIO!A1300="","",INVENTARIO!A1300)</f>
        <v/>
      </c>
      <c r="B1300">
        <f>IF(INVENTARIO!E1300="","",INVENTARIO!E1300)</f>
        <v/>
      </c>
      <c r="C1300">
        <f>IF(INVENTARIO!F1300="","",INVENTARIO!F1300)</f>
        <v/>
      </c>
      <c r="D1300">
        <f>IF(INVENTARIO!H1300="","",INVENTARIO!H1300)</f>
        <v/>
      </c>
      <c r="E1300">
        <f>IF(INVENTARIO!I1300="","",INVENTARIO!I1300)</f>
        <v/>
      </c>
      <c r="F1300">
        <f>IF(INVENTARIO!N1300="","",INVENTARIO!N1300)</f>
        <v/>
      </c>
      <c r="G1300">
        <f>IF(INVENTARIO!P1300="","",INVENTARIO!P1300)</f>
        <v/>
      </c>
      <c r="H1300">
        <f>IF(INVENTARIO!Q1300="","",INVENTARIO!Q1300)</f>
        <v/>
      </c>
      <c r="I1300">
        <f>IF(INVENTARIO!R1300="","",INVENTARIO!R1300)</f>
        <v/>
      </c>
      <c r="J1300">
        <f>IF(G1300="PUBLICA(1)",1,IF(G1300="USO INTERNO(2)",2,IF(G1300="RESTRINGIDO(3)",3,0)))+IF(H1300="BAJA(1)",1,IF(H1300="MEDIA(2)",2,IF(H1300="ALTA(3)",3,0)))+IF(I1300="BAJA(1)",1,IF(I1300="MEDIA(2)",2,IF(I1300="ALTA(3)",3,0)))</f>
        <v/>
      </c>
      <c r="K1300">
        <f>IF(J1300="", "", IF(J1300&gt;=8,"ALTA",IF(J1300&gt;=6,"MEDIA","BAJA")))</f>
        <v/>
      </c>
      <c r="L1300">
        <f>IF(INVENTARIO!Y1300="","",INVENTARIO!Y1300)</f>
        <v/>
      </c>
      <c r="M1300">
        <f>IF(INVENTARIO!Z1300="","",INVENTARIO!Z1300)</f>
        <v/>
      </c>
      <c r="N1300">
        <f>IF(INVENTARIO!AA1300="","",INVENTARIO!AA1300)</f>
        <v/>
      </c>
      <c r="O1300">
        <f>IF(INVENTARIO!AB1300="","",INVENTARIO!AB1300)</f>
        <v/>
      </c>
      <c r="P1300">
        <f>IF(INVENTARIO!AC1300="","",INVENTARIO!AC1300)</f>
        <v/>
      </c>
      <c r="Q1300">
        <f>IF(AND(K1300="",N1300="",L1300=""),"",IF(AND((K1300="ALTA"),OR(LEFT(N1300,2)="L0",LEFT(N1300,2)="L1",L1300="No Iniciado")),"CRÍTICO - Incumplimiento Normativo SEPS",IF(AND(OR(LEFT(N1300,2)="L4",LEFT(N1300,2)="L5"),AND(P1300&lt;&gt;"",P1300&lt;&gt;"N/A")),"CONFORME - Control Efectivo ISO 27001","OBSERVACIÓN - Revisar Controles")))</f>
        <v/>
      </c>
    </row>
    <row r="1301">
      <c r="A1301">
        <f>IF(INVENTARIO!A1301="","",INVENTARIO!A1301)</f>
        <v/>
      </c>
      <c r="B1301">
        <f>IF(INVENTARIO!E1301="","",INVENTARIO!E1301)</f>
        <v/>
      </c>
      <c r="C1301">
        <f>IF(INVENTARIO!F1301="","",INVENTARIO!F1301)</f>
        <v/>
      </c>
      <c r="D1301">
        <f>IF(INVENTARIO!H1301="","",INVENTARIO!H1301)</f>
        <v/>
      </c>
      <c r="E1301">
        <f>IF(INVENTARIO!I1301="","",INVENTARIO!I1301)</f>
        <v/>
      </c>
      <c r="F1301">
        <f>IF(INVENTARIO!N1301="","",INVENTARIO!N1301)</f>
        <v/>
      </c>
      <c r="G1301">
        <f>IF(INVENTARIO!P1301="","",INVENTARIO!P1301)</f>
        <v/>
      </c>
      <c r="H1301">
        <f>IF(INVENTARIO!Q1301="","",INVENTARIO!Q1301)</f>
        <v/>
      </c>
      <c r="I1301">
        <f>IF(INVENTARIO!R1301="","",INVENTARIO!R1301)</f>
        <v/>
      </c>
      <c r="J1301">
        <f>IF(G1301="PUBLICA(1)",1,IF(G1301="USO INTERNO(2)",2,IF(G1301="RESTRINGIDO(3)",3,0)))+IF(H1301="BAJA(1)",1,IF(H1301="MEDIA(2)",2,IF(H1301="ALTA(3)",3,0)))+IF(I1301="BAJA(1)",1,IF(I1301="MEDIA(2)",2,IF(I1301="ALTA(3)",3,0)))</f>
        <v/>
      </c>
      <c r="K1301">
        <f>IF(J1301="", "", IF(J1301&gt;=8,"ALTA",IF(J1301&gt;=6,"MEDIA","BAJA")))</f>
        <v/>
      </c>
      <c r="L1301">
        <f>IF(INVENTARIO!Y1301="","",INVENTARIO!Y1301)</f>
        <v/>
      </c>
      <c r="M1301">
        <f>IF(INVENTARIO!Z1301="","",INVENTARIO!Z1301)</f>
        <v/>
      </c>
      <c r="N1301">
        <f>IF(INVENTARIO!AA1301="","",INVENTARIO!AA1301)</f>
        <v/>
      </c>
      <c r="O1301">
        <f>IF(INVENTARIO!AB1301="","",INVENTARIO!AB1301)</f>
        <v/>
      </c>
      <c r="P1301">
        <f>IF(INVENTARIO!AC1301="","",INVENTARIO!AC1301)</f>
        <v/>
      </c>
      <c r="Q1301">
        <f>IF(AND(K1301="",N1301="",L1301=""),"",IF(AND((K1301="ALTA"),OR(LEFT(N1301,2)="L0",LEFT(N1301,2)="L1",L1301="No Iniciado")),"CRÍTICO - Incumplimiento Normativo SEPS",IF(AND(OR(LEFT(N1301,2)="L4",LEFT(N1301,2)="L5"),AND(P1301&lt;&gt;"",P1301&lt;&gt;"N/A")),"CONFORME - Control Efectivo ISO 27001","OBSERVACIÓN - Revisar Controles")))</f>
        <v/>
      </c>
    </row>
    <row r="1302">
      <c r="A1302">
        <f>IF(INVENTARIO!A1302="","",INVENTARIO!A1302)</f>
        <v/>
      </c>
      <c r="B1302">
        <f>IF(INVENTARIO!E1302="","",INVENTARIO!E1302)</f>
        <v/>
      </c>
      <c r="C1302">
        <f>IF(INVENTARIO!F1302="","",INVENTARIO!F1302)</f>
        <v/>
      </c>
      <c r="D1302">
        <f>IF(INVENTARIO!H1302="","",INVENTARIO!H1302)</f>
        <v/>
      </c>
      <c r="E1302">
        <f>IF(INVENTARIO!I1302="","",INVENTARIO!I1302)</f>
        <v/>
      </c>
      <c r="F1302">
        <f>IF(INVENTARIO!N1302="","",INVENTARIO!N1302)</f>
        <v/>
      </c>
      <c r="G1302">
        <f>IF(INVENTARIO!P1302="","",INVENTARIO!P1302)</f>
        <v/>
      </c>
      <c r="H1302">
        <f>IF(INVENTARIO!Q1302="","",INVENTARIO!Q1302)</f>
        <v/>
      </c>
      <c r="I1302">
        <f>IF(INVENTARIO!R1302="","",INVENTARIO!R1302)</f>
        <v/>
      </c>
      <c r="J1302">
        <f>IF(G1302="PUBLICA(1)",1,IF(G1302="USO INTERNO(2)",2,IF(G1302="RESTRINGIDO(3)",3,0)))+IF(H1302="BAJA(1)",1,IF(H1302="MEDIA(2)",2,IF(H1302="ALTA(3)",3,0)))+IF(I1302="BAJA(1)",1,IF(I1302="MEDIA(2)",2,IF(I1302="ALTA(3)",3,0)))</f>
        <v/>
      </c>
      <c r="K1302">
        <f>IF(J1302="", "", IF(J1302&gt;=8,"ALTA",IF(J1302&gt;=6,"MEDIA","BAJA")))</f>
        <v/>
      </c>
      <c r="L1302">
        <f>IF(INVENTARIO!Y1302="","",INVENTARIO!Y1302)</f>
        <v/>
      </c>
      <c r="M1302">
        <f>IF(INVENTARIO!Z1302="","",INVENTARIO!Z1302)</f>
        <v/>
      </c>
      <c r="N1302">
        <f>IF(INVENTARIO!AA1302="","",INVENTARIO!AA1302)</f>
        <v/>
      </c>
      <c r="O1302">
        <f>IF(INVENTARIO!AB1302="","",INVENTARIO!AB1302)</f>
        <v/>
      </c>
      <c r="P1302">
        <f>IF(INVENTARIO!AC1302="","",INVENTARIO!AC1302)</f>
        <v/>
      </c>
      <c r="Q1302">
        <f>IF(AND(K1302="",N1302="",L1302=""),"",IF(AND((K1302="ALTA"),OR(LEFT(N1302,2)="L0",LEFT(N1302,2)="L1",L1302="No Iniciado")),"CRÍTICO - Incumplimiento Normativo SEPS",IF(AND(OR(LEFT(N1302,2)="L4",LEFT(N1302,2)="L5"),AND(P1302&lt;&gt;"",P1302&lt;&gt;"N/A")),"CONFORME - Control Efectivo ISO 27001","OBSERVACIÓN - Revisar Controles")))</f>
        <v/>
      </c>
    </row>
    <row r="1303">
      <c r="A1303">
        <f>IF(INVENTARIO!A1303="","",INVENTARIO!A1303)</f>
        <v/>
      </c>
      <c r="B1303">
        <f>IF(INVENTARIO!E1303="","",INVENTARIO!E1303)</f>
        <v/>
      </c>
      <c r="C1303">
        <f>IF(INVENTARIO!F1303="","",INVENTARIO!F1303)</f>
        <v/>
      </c>
      <c r="D1303">
        <f>IF(INVENTARIO!H1303="","",INVENTARIO!H1303)</f>
        <v/>
      </c>
      <c r="E1303">
        <f>IF(INVENTARIO!I1303="","",INVENTARIO!I1303)</f>
        <v/>
      </c>
      <c r="F1303">
        <f>IF(INVENTARIO!N1303="","",INVENTARIO!N1303)</f>
        <v/>
      </c>
      <c r="G1303">
        <f>IF(INVENTARIO!P1303="","",INVENTARIO!P1303)</f>
        <v/>
      </c>
      <c r="H1303">
        <f>IF(INVENTARIO!Q1303="","",INVENTARIO!Q1303)</f>
        <v/>
      </c>
      <c r="I1303">
        <f>IF(INVENTARIO!R1303="","",INVENTARIO!R1303)</f>
        <v/>
      </c>
      <c r="J1303">
        <f>IF(G1303="PUBLICA(1)",1,IF(G1303="USO INTERNO(2)",2,IF(G1303="RESTRINGIDO(3)",3,0)))+IF(H1303="BAJA(1)",1,IF(H1303="MEDIA(2)",2,IF(H1303="ALTA(3)",3,0)))+IF(I1303="BAJA(1)",1,IF(I1303="MEDIA(2)",2,IF(I1303="ALTA(3)",3,0)))</f>
        <v/>
      </c>
      <c r="K1303">
        <f>IF(J1303="", "", IF(J1303&gt;=8,"ALTA",IF(J1303&gt;=6,"MEDIA","BAJA")))</f>
        <v/>
      </c>
      <c r="L1303">
        <f>IF(INVENTARIO!Y1303="","",INVENTARIO!Y1303)</f>
        <v/>
      </c>
      <c r="M1303">
        <f>IF(INVENTARIO!Z1303="","",INVENTARIO!Z1303)</f>
        <v/>
      </c>
      <c r="N1303">
        <f>IF(INVENTARIO!AA1303="","",INVENTARIO!AA1303)</f>
        <v/>
      </c>
      <c r="O1303">
        <f>IF(INVENTARIO!AB1303="","",INVENTARIO!AB1303)</f>
        <v/>
      </c>
      <c r="P1303">
        <f>IF(INVENTARIO!AC1303="","",INVENTARIO!AC1303)</f>
        <v/>
      </c>
      <c r="Q1303">
        <f>IF(AND(K1303="",N1303="",L1303=""),"",IF(AND((K1303="ALTA"),OR(LEFT(N1303,2)="L0",LEFT(N1303,2)="L1",L1303="No Iniciado")),"CRÍTICO - Incumplimiento Normativo SEPS",IF(AND(OR(LEFT(N1303,2)="L4",LEFT(N1303,2)="L5"),AND(P1303&lt;&gt;"",P1303&lt;&gt;"N/A")),"CONFORME - Control Efectivo ISO 27001","OBSERVACIÓN - Revisar Controles")))</f>
        <v/>
      </c>
    </row>
    <row r="1304">
      <c r="A1304">
        <f>IF(INVENTARIO!A1304="","",INVENTARIO!A1304)</f>
        <v/>
      </c>
      <c r="B1304">
        <f>IF(INVENTARIO!E1304="","",INVENTARIO!E1304)</f>
        <v/>
      </c>
      <c r="C1304">
        <f>IF(INVENTARIO!F1304="","",INVENTARIO!F1304)</f>
        <v/>
      </c>
      <c r="D1304">
        <f>IF(INVENTARIO!H1304="","",INVENTARIO!H1304)</f>
        <v/>
      </c>
      <c r="E1304">
        <f>IF(INVENTARIO!I1304="","",INVENTARIO!I1304)</f>
        <v/>
      </c>
      <c r="F1304">
        <f>IF(INVENTARIO!N1304="","",INVENTARIO!N1304)</f>
        <v/>
      </c>
      <c r="G1304">
        <f>IF(INVENTARIO!P1304="","",INVENTARIO!P1304)</f>
        <v/>
      </c>
      <c r="H1304">
        <f>IF(INVENTARIO!Q1304="","",INVENTARIO!Q1304)</f>
        <v/>
      </c>
      <c r="I1304">
        <f>IF(INVENTARIO!R1304="","",INVENTARIO!R1304)</f>
        <v/>
      </c>
      <c r="J1304">
        <f>IF(G1304="PUBLICA(1)",1,IF(G1304="USO INTERNO(2)",2,IF(G1304="RESTRINGIDO(3)",3,0)))+IF(H1304="BAJA(1)",1,IF(H1304="MEDIA(2)",2,IF(H1304="ALTA(3)",3,0)))+IF(I1304="BAJA(1)",1,IF(I1304="MEDIA(2)",2,IF(I1304="ALTA(3)",3,0)))</f>
        <v/>
      </c>
      <c r="K1304">
        <f>IF(J1304="", "", IF(J1304&gt;=8,"ALTA",IF(J1304&gt;=6,"MEDIA","BAJA")))</f>
        <v/>
      </c>
      <c r="L1304">
        <f>IF(INVENTARIO!Y1304="","",INVENTARIO!Y1304)</f>
        <v/>
      </c>
      <c r="M1304">
        <f>IF(INVENTARIO!Z1304="","",INVENTARIO!Z1304)</f>
        <v/>
      </c>
      <c r="N1304">
        <f>IF(INVENTARIO!AA1304="","",INVENTARIO!AA1304)</f>
        <v/>
      </c>
      <c r="O1304">
        <f>IF(INVENTARIO!AB1304="","",INVENTARIO!AB1304)</f>
        <v/>
      </c>
      <c r="P1304">
        <f>IF(INVENTARIO!AC1304="","",INVENTARIO!AC1304)</f>
        <v/>
      </c>
      <c r="Q1304">
        <f>IF(AND(K1304="",N1304="",L1304=""),"",IF(AND((K1304="ALTA"),OR(LEFT(N1304,2)="L0",LEFT(N1304,2)="L1",L1304="No Iniciado")),"CRÍTICO - Incumplimiento Normativo SEPS",IF(AND(OR(LEFT(N1304,2)="L4",LEFT(N1304,2)="L5"),AND(P1304&lt;&gt;"",P1304&lt;&gt;"N/A")),"CONFORME - Control Efectivo ISO 27001","OBSERVACIÓN - Revisar Controles")))</f>
        <v/>
      </c>
    </row>
    <row r="1305">
      <c r="A1305">
        <f>IF(INVENTARIO!A1305="","",INVENTARIO!A1305)</f>
        <v/>
      </c>
      <c r="B1305">
        <f>IF(INVENTARIO!E1305="","",INVENTARIO!E1305)</f>
        <v/>
      </c>
      <c r="C1305">
        <f>IF(INVENTARIO!F1305="","",INVENTARIO!F1305)</f>
        <v/>
      </c>
      <c r="D1305">
        <f>IF(INVENTARIO!H1305="","",INVENTARIO!H1305)</f>
        <v/>
      </c>
      <c r="E1305">
        <f>IF(INVENTARIO!I1305="","",INVENTARIO!I1305)</f>
        <v/>
      </c>
      <c r="F1305">
        <f>IF(INVENTARIO!N1305="","",INVENTARIO!N1305)</f>
        <v/>
      </c>
      <c r="G1305">
        <f>IF(INVENTARIO!P1305="","",INVENTARIO!P1305)</f>
        <v/>
      </c>
      <c r="H1305">
        <f>IF(INVENTARIO!Q1305="","",INVENTARIO!Q1305)</f>
        <v/>
      </c>
      <c r="I1305">
        <f>IF(INVENTARIO!R1305="","",INVENTARIO!R1305)</f>
        <v/>
      </c>
      <c r="J1305">
        <f>IF(G1305="PUBLICA(1)",1,IF(G1305="USO INTERNO(2)",2,IF(G1305="RESTRINGIDO(3)",3,0)))+IF(H1305="BAJA(1)",1,IF(H1305="MEDIA(2)",2,IF(H1305="ALTA(3)",3,0)))+IF(I1305="BAJA(1)",1,IF(I1305="MEDIA(2)",2,IF(I1305="ALTA(3)",3,0)))</f>
        <v/>
      </c>
      <c r="K1305">
        <f>IF(J1305="", "", IF(J1305&gt;=8,"ALTA",IF(J1305&gt;=6,"MEDIA","BAJA")))</f>
        <v/>
      </c>
      <c r="L1305">
        <f>IF(INVENTARIO!Y1305="","",INVENTARIO!Y1305)</f>
        <v/>
      </c>
      <c r="M1305">
        <f>IF(INVENTARIO!Z1305="","",INVENTARIO!Z1305)</f>
        <v/>
      </c>
      <c r="N1305">
        <f>IF(INVENTARIO!AA1305="","",INVENTARIO!AA1305)</f>
        <v/>
      </c>
      <c r="O1305">
        <f>IF(INVENTARIO!AB1305="","",INVENTARIO!AB1305)</f>
        <v/>
      </c>
      <c r="P1305">
        <f>IF(INVENTARIO!AC1305="","",INVENTARIO!AC1305)</f>
        <v/>
      </c>
      <c r="Q1305">
        <f>IF(AND(K1305="",N1305="",L1305=""),"",IF(AND((K1305="ALTA"),OR(LEFT(N1305,2)="L0",LEFT(N1305,2)="L1",L1305="No Iniciado")),"CRÍTICO - Incumplimiento Normativo SEPS",IF(AND(OR(LEFT(N1305,2)="L4",LEFT(N1305,2)="L5"),AND(P1305&lt;&gt;"",P1305&lt;&gt;"N/A")),"CONFORME - Control Efectivo ISO 27001","OBSERVACIÓN - Revisar Controles")))</f>
        <v/>
      </c>
    </row>
    <row r="1306">
      <c r="A1306">
        <f>IF(INVENTARIO!A1306="","",INVENTARIO!A1306)</f>
        <v/>
      </c>
      <c r="B1306">
        <f>IF(INVENTARIO!E1306="","",INVENTARIO!E1306)</f>
        <v/>
      </c>
      <c r="C1306">
        <f>IF(INVENTARIO!F1306="","",INVENTARIO!F1306)</f>
        <v/>
      </c>
      <c r="D1306">
        <f>IF(INVENTARIO!H1306="","",INVENTARIO!H1306)</f>
        <v/>
      </c>
      <c r="E1306">
        <f>IF(INVENTARIO!I1306="","",INVENTARIO!I1306)</f>
        <v/>
      </c>
      <c r="F1306">
        <f>IF(INVENTARIO!N1306="","",INVENTARIO!N1306)</f>
        <v/>
      </c>
      <c r="G1306">
        <f>IF(INVENTARIO!P1306="","",INVENTARIO!P1306)</f>
        <v/>
      </c>
      <c r="H1306">
        <f>IF(INVENTARIO!Q1306="","",INVENTARIO!Q1306)</f>
        <v/>
      </c>
      <c r="I1306">
        <f>IF(INVENTARIO!R1306="","",INVENTARIO!R1306)</f>
        <v/>
      </c>
      <c r="J1306">
        <f>IF(G1306="PUBLICA(1)",1,IF(G1306="USO INTERNO(2)",2,IF(G1306="RESTRINGIDO(3)",3,0)))+IF(H1306="BAJA(1)",1,IF(H1306="MEDIA(2)",2,IF(H1306="ALTA(3)",3,0)))+IF(I1306="BAJA(1)",1,IF(I1306="MEDIA(2)",2,IF(I1306="ALTA(3)",3,0)))</f>
        <v/>
      </c>
      <c r="K1306">
        <f>IF(J1306="", "", IF(J1306&gt;=8,"ALTA",IF(J1306&gt;=6,"MEDIA","BAJA")))</f>
        <v/>
      </c>
      <c r="L1306">
        <f>IF(INVENTARIO!Y1306="","",INVENTARIO!Y1306)</f>
        <v/>
      </c>
      <c r="M1306">
        <f>IF(INVENTARIO!Z1306="","",INVENTARIO!Z1306)</f>
        <v/>
      </c>
      <c r="N1306">
        <f>IF(INVENTARIO!AA1306="","",INVENTARIO!AA1306)</f>
        <v/>
      </c>
      <c r="O1306">
        <f>IF(INVENTARIO!AB1306="","",INVENTARIO!AB1306)</f>
        <v/>
      </c>
      <c r="P1306">
        <f>IF(INVENTARIO!AC1306="","",INVENTARIO!AC1306)</f>
        <v/>
      </c>
      <c r="Q1306">
        <f>IF(AND(K1306="",N1306="",L1306=""),"",IF(AND((K1306="ALTA"),OR(LEFT(N1306,2)="L0",LEFT(N1306,2)="L1",L1306="No Iniciado")),"CRÍTICO - Incumplimiento Normativo SEPS",IF(AND(OR(LEFT(N1306,2)="L4",LEFT(N1306,2)="L5"),AND(P1306&lt;&gt;"",P1306&lt;&gt;"N/A")),"CONFORME - Control Efectivo ISO 27001","OBSERVACIÓN - Revisar Controles")))</f>
        <v/>
      </c>
    </row>
    <row r="1307">
      <c r="A1307">
        <f>IF(INVENTARIO!A1307="","",INVENTARIO!A1307)</f>
        <v/>
      </c>
      <c r="B1307">
        <f>IF(INVENTARIO!E1307="","",INVENTARIO!E1307)</f>
        <v/>
      </c>
      <c r="C1307">
        <f>IF(INVENTARIO!F1307="","",INVENTARIO!F1307)</f>
        <v/>
      </c>
      <c r="D1307">
        <f>IF(INVENTARIO!H1307="","",INVENTARIO!H1307)</f>
        <v/>
      </c>
      <c r="E1307">
        <f>IF(INVENTARIO!I1307="","",INVENTARIO!I1307)</f>
        <v/>
      </c>
      <c r="F1307">
        <f>IF(INVENTARIO!N1307="","",INVENTARIO!N1307)</f>
        <v/>
      </c>
      <c r="G1307">
        <f>IF(INVENTARIO!P1307="","",INVENTARIO!P1307)</f>
        <v/>
      </c>
      <c r="H1307">
        <f>IF(INVENTARIO!Q1307="","",INVENTARIO!Q1307)</f>
        <v/>
      </c>
      <c r="I1307">
        <f>IF(INVENTARIO!R1307="","",INVENTARIO!R1307)</f>
        <v/>
      </c>
      <c r="J1307">
        <f>IF(G1307="PUBLICA(1)",1,IF(G1307="USO INTERNO(2)",2,IF(G1307="RESTRINGIDO(3)",3,0)))+IF(H1307="BAJA(1)",1,IF(H1307="MEDIA(2)",2,IF(H1307="ALTA(3)",3,0)))+IF(I1307="BAJA(1)",1,IF(I1307="MEDIA(2)",2,IF(I1307="ALTA(3)",3,0)))</f>
        <v/>
      </c>
      <c r="K1307">
        <f>IF(J1307="", "", IF(J1307&gt;=8,"ALTA",IF(J1307&gt;=6,"MEDIA","BAJA")))</f>
        <v/>
      </c>
      <c r="L1307">
        <f>IF(INVENTARIO!Y1307="","",INVENTARIO!Y1307)</f>
        <v/>
      </c>
      <c r="M1307">
        <f>IF(INVENTARIO!Z1307="","",INVENTARIO!Z1307)</f>
        <v/>
      </c>
      <c r="N1307">
        <f>IF(INVENTARIO!AA1307="","",INVENTARIO!AA1307)</f>
        <v/>
      </c>
      <c r="O1307">
        <f>IF(INVENTARIO!AB1307="","",INVENTARIO!AB1307)</f>
        <v/>
      </c>
      <c r="P1307">
        <f>IF(INVENTARIO!AC1307="","",INVENTARIO!AC1307)</f>
        <v/>
      </c>
      <c r="Q1307">
        <f>IF(AND(K1307="",N1307="",L1307=""),"",IF(AND((K1307="ALTA"),OR(LEFT(N1307,2)="L0",LEFT(N1307,2)="L1",L1307="No Iniciado")),"CRÍTICO - Incumplimiento Normativo SEPS",IF(AND(OR(LEFT(N1307,2)="L4",LEFT(N1307,2)="L5"),AND(P1307&lt;&gt;"",P1307&lt;&gt;"N/A")),"CONFORME - Control Efectivo ISO 27001","OBSERVACIÓN - Revisar Controles")))</f>
        <v/>
      </c>
    </row>
    <row r="1308">
      <c r="A1308">
        <f>IF(INVENTARIO!A1308="","",INVENTARIO!A1308)</f>
        <v/>
      </c>
      <c r="B1308">
        <f>IF(INVENTARIO!E1308="","",INVENTARIO!E1308)</f>
        <v/>
      </c>
      <c r="C1308">
        <f>IF(INVENTARIO!F1308="","",INVENTARIO!F1308)</f>
        <v/>
      </c>
      <c r="D1308">
        <f>IF(INVENTARIO!H1308="","",INVENTARIO!H1308)</f>
        <v/>
      </c>
      <c r="E1308">
        <f>IF(INVENTARIO!I1308="","",INVENTARIO!I1308)</f>
        <v/>
      </c>
      <c r="F1308">
        <f>IF(INVENTARIO!N1308="","",INVENTARIO!N1308)</f>
        <v/>
      </c>
      <c r="G1308">
        <f>IF(INVENTARIO!P1308="","",INVENTARIO!P1308)</f>
        <v/>
      </c>
      <c r="H1308">
        <f>IF(INVENTARIO!Q1308="","",INVENTARIO!Q1308)</f>
        <v/>
      </c>
      <c r="I1308">
        <f>IF(INVENTARIO!R1308="","",INVENTARIO!R1308)</f>
        <v/>
      </c>
      <c r="J1308">
        <f>IF(G1308="PUBLICA(1)",1,IF(G1308="USO INTERNO(2)",2,IF(G1308="RESTRINGIDO(3)",3,0)))+IF(H1308="BAJA(1)",1,IF(H1308="MEDIA(2)",2,IF(H1308="ALTA(3)",3,0)))+IF(I1308="BAJA(1)",1,IF(I1308="MEDIA(2)",2,IF(I1308="ALTA(3)",3,0)))</f>
        <v/>
      </c>
      <c r="K1308">
        <f>IF(J1308="", "", IF(J1308&gt;=8,"ALTA",IF(J1308&gt;=6,"MEDIA","BAJA")))</f>
        <v/>
      </c>
      <c r="L1308">
        <f>IF(INVENTARIO!Y1308="","",INVENTARIO!Y1308)</f>
        <v/>
      </c>
      <c r="M1308">
        <f>IF(INVENTARIO!Z1308="","",INVENTARIO!Z1308)</f>
        <v/>
      </c>
      <c r="N1308">
        <f>IF(INVENTARIO!AA1308="","",INVENTARIO!AA1308)</f>
        <v/>
      </c>
      <c r="O1308">
        <f>IF(INVENTARIO!AB1308="","",INVENTARIO!AB1308)</f>
        <v/>
      </c>
      <c r="P1308">
        <f>IF(INVENTARIO!AC1308="","",INVENTARIO!AC1308)</f>
        <v/>
      </c>
      <c r="Q1308">
        <f>IF(AND(K1308="",N1308="",L1308=""),"",IF(AND((K1308="ALTA"),OR(LEFT(N1308,2)="L0",LEFT(N1308,2)="L1",L1308="No Iniciado")),"CRÍTICO - Incumplimiento Normativo SEPS",IF(AND(OR(LEFT(N1308,2)="L4",LEFT(N1308,2)="L5"),AND(P1308&lt;&gt;"",P1308&lt;&gt;"N/A")),"CONFORME - Control Efectivo ISO 27001","OBSERVACIÓN - Revisar Controles")))</f>
        <v/>
      </c>
    </row>
    <row r="1309">
      <c r="A1309">
        <f>IF(INVENTARIO!A1309="","",INVENTARIO!A1309)</f>
        <v/>
      </c>
      <c r="B1309">
        <f>IF(INVENTARIO!E1309="","",INVENTARIO!E1309)</f>
        <v/>
      </c>
      <c r="C1309">
        <f>IF(INVENTARIO!F1309="","",INVENTARIO!F1309)</f>
        <v/>
      </c>
      <c r="D1309">
        <f>IF(INVENTARIO!H1309="","",INVENTARIO!H1309)</f>
        <v/>
      </c>
      <c r="E1309">
        <f>IF(INVENTARIO!I1309="","",INVENTARIO!I1309)</f>
        <v/>
      </c>
      <c r="F1309">
        <f>IF(INVENTARIO!N1309="","",INVENTARIO!N1309)</f>
        <v/>
      </c>
      <c r="G1309">
        <f>IF(INVENTARIO!P1309="","",INVENTARIO!P1309)</f>
        <v/>
      </c>
      <c r="H1309">
        <f>IF(INVENTARIO!Q1309="","",INVENTARIO!Q1309)</f>
        <v/>
      </c>
      <c r="I1309">
        <f>IF(INVENTARIO!R1309="","",INVENTARIO!R1309)</f>
        <v/>
      </c>
      <c r="J1309">
        <f>IF(G1309="PUBLICA(1)",1,IF(G1309="USO INTERNO(2)",2,IF(G1309="RESTRINGIDO(3)",3,0)))+IF(H1309="BAJA(1)",1,IF(H1309="MEDIA(2)",2,IF(H1309="ALTA(3)",3,0)))+IF(I1309="BAJA(1)",1,IF(I1309="MEDIA(2)",2,IF(I1309="ALTA(3)",3,0)))</f>
        <v/>
      </c>
      <c r="K1309">
        <f>IF(J1309="", "", IF(J1309&gt;=8,"ALTA",IF(J1309&gt;=6,"MEDIA","BAJA")))</f>
        <v/>
      </c>
      <c r="L1309">
        <f>IF(INVENTARIO!Y1309="","",INVENTARIO!Y1309)</f>
        <v/>
      </c>
      <c r="M1309">
        <f>IF(INVENTARIO!Z1309="","",INVENTARIO!Z1309)</f>
        <v/>
      </c>
      <c r="N1309">
        <f>IF(INVENTARIO!AA1309="","",INVENTARIO!AA1309)</f>
        <v/>
      </c>
      <c r="O1309">
        <f>IF(INVENTARIO!AB1309="","",INVENTARIO!AB1309)</f>
        <v/>
      </c>
      <c r="P1309">
        <f>IF(INVENTARIO!AC1309="","",INVENTARIO!AC1309)</f>
        <v/>
      </c>
      <c r="Q1309">
        <f>IF(AND(K1309="",N1309="",L1309=""),"",IF(AND((K1309="ALTA"),OR(LEFT(N1309,2)="L0",LEFT(N1309,2)="L1",L1309="No Iniciado")),"CRÍTICO - Incumplimiento Normativo SEPS",IF(AND(OR(LEFT(N1309,2)="L4",LEFT(N1309,2)="L5"),AND(P1309&lt;&gt;"",P1309&lt;&gt;"N/A")),"CONFORME - Control Efectivo ISO 27001","OBSERVACIÓN - Revisar Controles")))</f>
        <v/>
      </c>
    </row>
    <row r="1310">
      <c r="A1310">
        <f>IF(INVENTARIO!A1310="","",INVENTARIO!A1310)</f>
        <v/>
      </c>
      <c r="B1310">
        <f>IF(INVENTARIO!E1310="","",INVENTARIO!E1310)</f>
        <v/>
      </c>
      <c r="C1310">
        <f>IF(INVENTARIO!F1310="","",INVENTARIO!F1310)</f>
        <v/>
      </c>
      <c r="D1310">
        <f>IF(INVENTARIO!H1310="","",INVENTARIO!H1310)</f>
        <v/>
      </c>
      <c r="E1310">
        <f>IF(INVENTARIO!I1310="","",INVENTARIO!I1310)</f>
        <v/>
      </c>
      <c r="F1310">
        <f>IF(INVENTARIO!N1310="","",INVENTARIO!N1310)</f>
        <v/>
      </c>
      <c r="G1310">
        <f>IF(INVENTARIO!P1310="","",INVENTARIO!P1310)</f>
        <v/>
      </c>
      <c r="H1310">
        <f>IF(INVENTARIO!Q1310="","",INVENTARIO!Q1310)</f>
        <v/>
      </c>
      <c r="I1310">
        <f>IF(INVENTARIO!R1310="","",INVENTARIO!R1310)</f>
        <v/>
      </c>
      <c r="J1310">
        <f>IF(G1310="PUBLICA(1)",1,IF(G1310="USO INTERNO(2)",2,IF(G1310="RESTRINGIDO(3)",3,0)))+IF(H1310="BAJA(1)",1,IF(H1310="MEDIA(2)",2,IF(H1310="ALTA(3)",3,0)))+IF(I1310="BAJA(1)",1,IF(I1310="MEDIA(2)",2,IF(I1310="ALTA(3)",3,0)))</f>
        <v/>
      </c>
      <c r="K1310">
        <f>IF(J1310="", "", IF(J1310&gt;=8,"ALTA",IF(J1310&gt;=6,"MEDIA","BAJA")))</f>
        <v/>
      </c>
      <c r="L1310">
        <f>IF(INVENTARIO!Y1310="","",INVENTARIO!Y1310)</f>
        <v/>
      </c>
      <c r="M1310">
        <f>IF(INVENTARIO!Z1310="","",INVENTARIO!Z1310)</f>
        <v/>
      </c>
      <c r="N1310">
        <f>IF(INVENTARIO!AA1310="","",INVENTARIO!AA1310)</f>
        <v/>
      </c>
      <c r="O1310">
        <f>IF(INVENTARIO!AB1310="","",INVENTARIO!AB1310)</f>
        <v/>
      </c>
      <c r="P1310">
        <f>IF(INVENTARIO!AC1310="","",INVENTARIO!AC1310)</f>
        <v/>
      </c>
      <c r="Q1310">
        <f>IF(AND(K1310="",N1310="",L1310=""),"",IF(AND((K1310="ALTA"),OR(LEFT(N1310,2)="L0",LEFT(N1310,2)="L1",L1310="No Iniciado")),"CRÍTICO - Incumplimiento Normativo SEPS",IF(AND(OR(LEFT(N1310,2)="L4",LEFT(N1310,2)="L5"),AND(P1310&lt;&gt;"",P1310&lt;&gt;"N/A")),"CONFORME - Control Efectivo ISO 27001","OBSERVACIÓN - Revisar Controles")))</f>
        <v/>
      </c>
    </row>
    <row r="1311">
      <c r="A1311">
        <f>IF(INVENTARIO!A1311="","",INVENTARIO!A1311)</f>
        <v/>
      </c>
      <c r="B1311">
        <f>IF(INVENTARIO!E1311="","",INVENTARIO!E1311)</f>
        <v/>
      </c>
      <c r="C1311">
        <f>IF(INVENTARIO!F1311="","",INVENTARIO!F1311)</f>
        <v/>
      </c>
      <c r="D1311">
        <f>IF(INVENTARIO!H1311="","",INVENTARIO!H1311)</f>
        <v/>
      </c>
      <c r="E1311">
        <f>IF(INVENTARIO!I1311="","",INVENTARIO!I1311)</f>
        <v/>
      </c>
      <c r="F1311">
        <f>IF(INVENTARIO!N1311="","",INVENTARIO!N1311)</f>
        <v/>
      </c>
      <c r="G1311">
        <f>IF(INVENTARIO!P1311="","",INVENTARIO!P1311)</f>
        <v/>
      </c>
      <c r="H1311">
        <f>IF(INVENTARIO!Q1311="","",INVENTARIO!Q1311)</f>
        <v/>
      </c>
      <c r="I1311">
        <f>IF(INVENTARIO!R1311="","",INVENTARIO!R1311)</f>
        <v/>
      </c>
      <c r="J1311">
        <f>IF(G1311="PUBLICA(1)",1,IF(G1311="USO INTERNO(2)",2,IF(G1311="RESTRINGIDO(3)",3,0)))+IF(H1311="BAJA(1)",1,IF(H1311="MEDIA(2)",2,IF(H1311="ALTA(3)",3,0)))+IF(I1311="BAJA(1)",1,IF(I1311="MEDIA(2)",2,IF(I1311="ALTA(3)",3,0)))</f>
        <v/>
      </c>
      <c r="K1311">
        <f>IF(J1311="", "", IF(J1311&gt;=8,"ALTA",IF(J1311&gt;=6,"MEDIA","BAJA")))</f>
        <v/>
      </c>
      <c r="L1311">
        <f>IF(INVENTARIO!Y1311="","",INVENTARIO!Y1311)</f>
        <v/>
      </c>
      <c r="M1311">
        <f>IF(INVENTARIO!Z1311="","",INVENTARIO!Z1311)</f>
        <v/>
      </c>
      <c r="N1311">
        <f>IF(INVENTARIO!AA1311="","",INVENTARIO!AA1311)</f>
        <v/>
      </c>
      <c r="O1311">
        <f>IF(INVENTARIO!AB1311="","",INVENTARIO!AB1311)</f>
        <v/>
      </c>
      <c r="P1311">
        <f>IF(INVENTARIO!AC1311="","",INVENTARIO!AC1311)</f>
        <v/>
      </c>
      <c r="Q1311">
        <f>IF(AND(K1311="",N1311="",L1311=""),"",IF(AND((K1311="ALTA"),OR(LEFT(N1311,2)="L0",LEFT(N1311,2)="L1",L1311="No Iniciado")),"CRÍTICO - Incumplimiento Normativo SEPS",IF(AND(OR(LEFT(N1311,2)="L4",LEFT(N1311,2)="L5"),AND(P1311&lt;&gt;"",P1311&lt;&gt;"N/A")),"CONFORME - Control Efectivo ISO 27001","OBSERVACIÓN - Revisar Controles")))</f>
        <v/>
      </c>
    </row>
    <row r="1312">
      <c r="A1312">
        <f>IF(INVENTARIO!A1312="","",INVENTARIO!A1312)</f>
        <v/>
      </c>
      <c r="B1312">
        <f>IF(INVENTARIO!E1312="","",INVENTARIO!E1312)</f>
        <v/>
      </c>
      <c r="C1312">
        <f>IF(INVENTARIO!F1312="","",INVENTARIO!F1312)</f>
        <v/>
      </c>
      <c r="D1312">
        <f>IF(INVENTARIO!H1312="","",INVENTARIO!H1312)</f>
        <v/>
      </c>
      <c r="E1312">
        <f>IF(INVENTARIO!I1312="","",INVENTARIO!I1312)</f>
        <v/>
      </c>
      <c r="F1312">
        <f>IF(INVENTARIO!N1312="","",INVENTARIO!N1312)</f>
        <v/>
      </c>
      <c r="G1312">
        <f>IF(INVENTARIO!P1312="","",INVENTARIO!P1312)</f>
        <v/>
      </c>
      <c r="H1312">
        <f>IF(INVENTARIO!Q1312="","",INVENTARIO!Q1312)</f>
        <v/>
      </c>
      <c r="I1312">
        <f>IF(INVENTARIO!R1312="","",INVENTARIO!R1312)</f>
        <v/>
      </c>
      <c r="J1312">
        <f>IF(G1312="PUBLICA(1)",1,IF(G1312="USO INTERNO(2)",2,IF(G1312="RESTRINGIDO(3)",3,0)))+IF(H1312="BAJA(1)",1,IF(H1312="MEDIA(2)",2,IF(H1312="ALTA(3)",3,0)))+IF(I1312="BAJA(1)",1,IF(I1312="MEDIA(2)",2,IF(I1312="ALTA(3)",3,0)))</f>
        <v/>
      </c>
      <c r="K1312">
        <f>IF(J1312="", "", IF(J1312&gt;=8,"ALTA",IF(J1312&gt;=6,"MEDIA","BAJA")))</f>
        <v/>
      </c>
      <c r="L1312">
        <f>IF(INVENTARIO!Y1312="","",INVENTARIO!Y1312)</f>
        <v/>
      </c>
      <c r="M1312">
        <f>IF(INVENTARIO!Z1312="","",INVENTARIO!Z1312)</f>
        <v/>
      </c>
      <c r="N1312">
        <f>IF(INVENTARIO!AA1312="","",INVENTARIO!AA1312)</f>
        <v/>
      </c>
      <c r="O1312">
        <f>IF(INVENTARIO!AB1312="","",INVENTARIO!AB1312)</f>
        <v/>
      </c>
      <c r="P1312">
        <f>IF(INVENTARIO!AC1312="","",INVENTARIO!AC1312)</f>
        <v/>
      </c>
      <c r="Q1312">
        <f>IF(AND(K1312="",N1312="",L1312=""),"",IF(AND((K1312="ALTA"),OR(LEFT(N1312,2)="L0",LEFT(N1312,2)="L1",L1312="No Iniciado")),"CRÍTICO - Incumplimiento Normativo SEPS",IF(AND(OR(LEFT(N1312,2)="L4",LEFT(N1312,2)="L5"),AND(P1312&lt;&gt;"",P1312&lt;&gt;"N/A")),"CONFORME - Control Efectivo ISO 27001","OBSERVACIÓN - Revisar Controles")))</f>
        <v/>
      </c>
    </row>
    <row r="1313">
      <c r="A1313">
        <f>IF(INVENTARIO!A1313="","",INVENTARIO!A1313)</f>
        <v/>
      </c>
      <c r="B1313">
        <f>IF(INVENTARIO!E1313="","",INVENTARIO!E1313)</f>
        <v/>
      </c>
      <c r="C1313">
        <f>IF(INVENTARIO!F1313="","",INVENTARIO!F1313)</f>
        <v/>
      </c>
      <c r="D1313">
        <f>IF(INVENTARIO!H1313="","",INVENTARIO!H1313)</f>
        <v/>
      </c>
      <c r="E1313">
        <f>IF(INVENTARIO!I1313="","",INVENTARIO!I1313)</f>
        <v/>
      </c>
      <c r="F1313">
        <f>IF(INVENTARIO!N1313="","",INVENTARIO!N1313)</f>
        <v/>
      </c>
      <c r="G1313">
        <f>IF(INVENTARIO!P1313="","",INVENTARIO!P1313)</f>
        <v/>
      </c>
      <c r="H1313">
        <f>IF(INVENTARIO!Q1313="","",INVENTARIO!Q1313)</f>
        <v/>
      </c>
      <c r="I1313">
        <f>IF(INVENTARIO!R1313="","",INVENTARIO!R1313)</f>
        <v/>
      </c>
      <c r="J1313">
        <f>IF(G1313="PUBLICA(1)",1,IF(G1313="USO INTERNO(2)",2,IF(G1313="RESTRINGIDO(3)",3,0)))+IF(H1313="BAJA(1)",1,IF(H1313="MEDIA(2)",2,IF(H1313="ALTA(3)",3,0)))+IF(I1313="BAJA(1)",1,IF(I1313="MEDIA(2)",2,IF(I1313="ALTA(3)",3,0)))</f>
        <v/>
      </c>
      <c r="K1313">
        <f>IF(J1313="", "", IF(J1313&gt;=8,"ALTA",IF(J1313&gt;=6,"MEDIA","BAJA")))</f>
        <v/>
      </c>
      <c r="L1313">
        <f>IF(INVENTARIO!Y1313="","",INVENTARIO!Y1313)</f>
        <v/>
      </c>
      <c r="M1313">
        <f>IF(INVENTARIO!Z1313="","",INVENTARIO!Z1313)</f>
        <v/>
      </c>
      <c r="N1313">
        <f>IF(INVENTARIO!AA1313="","",INVENTARIO!AA1313)</f>
        <v/>
      </c>
      <c r="O1313">
        <f>IF(INVENTARIO!AB1313="","",INVENTARIO!AB1313)</f>
        <v/>
      </c>
      <c r="P1313">
        <f>IF(INVENTARIO!AC1313="","",INVENTARIO!AC1313)</f>
        <v/>
      </c>
      <c r="Q1313">
        <f>IF(AND(K1313="",N1313="",L1313=""),"",IF(AND((K1313="ALTA"),OR(LEFT(N1313,2)="L0",LEFT(N1313,2)="L1",L1313="No Iniciado")),"CRÍTICO - Incumplimiento Normativo SEPS",IF(AND(OR(LEFT(N1313,2)="L4",LEFT(N1313,2)="L5"),AND(P1313&lt;&gt;"",P1313&lt;&gt;"N/A")),"CONFORME - Control Efectivo ISO 27001","OBSERVACIÓN - Revisar Controles")))</f>
        <v/>
      </c>
    </row>
    <row r="1314">
      <c r="A1314">
        <f>IF(INVENTARIO!A1314="","",INVENTARIO!A1314)</f>
        <v/>
      </c>
      <c r="B1314">
        <f>IF(INVENTARIO!E1314="","",INVENTARIO!E1314)</f>
        <v/>
      </c>
      <c r="C1314">
        <f>IF(INVENTARIO!F1314="","",INVENTARIO!F1314)</f>
        <v/>
      </c>
      <c r="D1314">
        <f>IF(INVENTARIO!H1314="","",INVENTARIO!H1314)</f>
        <v/>
      </c>
      <c r="E1314">
        <f>IF(INVENTARIO!I1314="","",INVENTARIO!I1314)</f>
        <v/>
      </c>
      <c r="F1314">
        <f>IF(INVENTARIO!N1314="","",INVENTARIO!N1314)</f>
        <v/>
      </c>
      <c r="G1314">
        <f>IF(INVENTARIO!P1314="","",INVENTARIO!P1314)</f>
        <v/>
      </c>
      <c r="H1314">
        <f>IF(INVENTARIO!Q1314="","",INVENTARIO!Q1314)</f>
        <v/>
      </c>
      <c r="I1314">
        <f>IF(INVENTARIO!R1314="","",INVENTARIO!R1314)</f>
        <v/>
      </c>
      <c r="J1314">
        <f>IF(G1314="PUBLICA(1)",1,IF(G1314="USO INTERNO(2)",2,IF(G1314="RESTRINGIDO(3)",3,0)))+IF(H1314="BAJA(1)",1,IF(H1314="MEDIA(2)",2,IF(H1314="ALTA(3)",3,0)))+IF(I1314="BAJA(1)",1,IF(I1314="MEDIA(2)",2,IF(I1314="ALTA(3)",3,0)))</f>
        <v/>
      </c>
      <c r="K1314">
        <f>IF(J1314="", "", IF(J1314&gt;=8,"ALTA",IF(J1314&gt;=6,"MEDIA","BAJA")))</f>
        <v/>
      </c>
      <c r="L1314">
        <f>IF(INVENTARIO!Y1314="","",INVENTARIO!Y1314)</f>
        <v/>
      </c>
      <c r="M1314">
        <f>IF(INVENTARIO!Z1314="","",INVENTARIO!Z1314)</f>
        <v/>
      </c>
      <c r="N1314">
        <f>IF(INVENTARIO!AA1314="","",INVENTARIO!AA1314)</f>
        <v/>
      </c>
      <c r="O1314">
        <f>IF(INVENTARIO!AB1314="","",INVENTARIO!AB1314)</f>
        <v/>
      </c>
      <c r="P1314">
        <f>IF(INVENTARIO!AC1314="","",INVENTARIO!AC1314)</f>
        <v/>
      </c>
      <c r="Q1314">
        <f>IF(AND(K1314="",N1314="",L1314=""),"",IF(AND((K1314="ALTA"),OR(LEFT(N1314,2)="L0",LEFT(N1314,2)="L1",L1314="No Iniciado")),"CRÍTICO - Incumplimiento Normativo SEPS",IF(AND(OR(LEFT(N1314,2)="L4",LEFT(N1314,2)="L5"),AND(P1314&lt;&gt;"",P1314&lt;&gt;"N/A")),"CONFORME - Control Efectivo ISO 27001","OBSERVACIÓN - Revisar Controles")))</f>
        <v/>
      </c>
    </row>
    <row r="1315">
      <c r="A1315">
        <f>IF(INVENTARIO!A1315="","",INVENTARIO!A1315)</f>
        <v/>
      </c>
      <c r="B1315">
        <f>IF(INVENTARIO!E1315="","",INVENTARIO!E1315)</f>
        <v/>
      </c>
      <c r="C1315">
        <f>IF(INVENTARIO!F1315="","",INVENTARIO!F1315)</f>
        <v/>
      </c>
      <c r="D1315">
        <f>IF(INVENTARIO!H1315="","",INVENTARIO!H1315)</f>
        <v/>
      </c>
      <c r="E1315">
        <f>IF(INVENTARIO!I1315="","",INVENTARIO!I1315)</f>
        <v/>
      </c>
      <c r="F1315">
        <f>IF(INVENTARIO!N1315="","",INVENTARIO!N1315)</f>
        <v/>
      </c>
      <c r="G1315">
        <f>IF(INVENTARIO!P1315="","",INVENTARIO!P1315)</f>
        <v/>
      </c>
      <c r="H1315">
        <f>IF(INVENTARIO!Q1315="","",INVENTARIO!Q1315)</f>
        <v/>
      </c>
      <c r="I1315">
        <f>IF(INVENTARIO!R1315="","",INVENTARIO!R1315)</f>
        <v/>
      </c>
      <c r="J1315">
        <f>IF(G1315="PUBLICA(1)",1,IF(G1315="USO INTERNO(2)",2,IF(G1315="RESTRINGIDO(3)",3,0)))+IF(H1315="BAJA(1)",1,IF(H1315="MEDIA(2)",2,IF(H1315="ALTA(3)",3,0)))+IF(I1315="BAJA(1)",1,IF(I1315="MEDIA(2)",2,IF(I1315="ALTA(3)",3,0)))</f>
        <v/>
      </c>
      <c r="K1315">
        <f>IF(J1315="", "", IF(J1315&gt;=8,"ALTA",IF(J1315&gt;=6,"MEDIA","BAJA")))</f>
        <v/>
      </c>
      <c r="L1315">
        <f>IF(INVENTARIO!Y1315="","",INVENTARIO!Y1315)</f>
        <v/>
      </c>
      <c r="M1315">
        <f>IF(INVENTARIO!Z1315="","",INVENTARIO!Z1315)</f>
        <v/>
      </c>
      <c r="N1315">
        <f>IF(INVENTARIO!AA1315="","",INVENTARIO!AA1315)</f>
        <v/>
      </c>
      <c r="O1315">
        <f>IF(INVENTARIO!AB1315="","",INVENTARIO!AB1315)</f>
        <v/>
      </c>
      <c r="P1315">
        <f>IF(INVENTARIO!AC1315="","",INVENTARIO!AC1315)</f>
        <v/>
      </c>
      <c r="Q1315">
        <f>IF(AND(K1315="",N1315="",L1315=""),"",IF(AND((K1315="ALTA"),OR(LEFT(N1315,2)="L0",LEFT(N1315,2)="L1",L1315="No Iniciado")),"CRÍTICO - Incumplimiento Normativo SEPS",IF(AND(OR(LEFT(N1315,2)="L4",LEFT(N1315,2)="L5"),AND(P1315&lt;&gt;"",P1315&lt;&gt;"N/A")),"CONFORME - Control Efectivo ISO 27001","OBSERVACIÓN - Revisar Controles")))</f>
        <v/>
      </c>
    </row>
    <row r="1316">
      <c r="A1316">
        <f>IF(INVENTARIO!A1316="","",INVENTARIO!A1316)</f>
        <v/>
      </c>
      <c r="B1316">
        <f>IF(INVENTARIO!E1316="","",INVENTARIO!E1316)</f>
        <v/>
      </c>
      <c r="C1316">
        <f>IF(INVENTARIO!F1316="","",INVENTARIO!F1316)</f>
        <v/>
      </c>
      <c r="D1316">
        <f>IF(INVENTARIO!H1316="","",INVENTARIO!H1316)</f>
        <v/>
      </c>
      <c r="E1316">
        <f>IF(INVENTARIO!I1316="","",INVENTARIO!I1316)</f>
        <v/>
      </c>
      <c r="F1316">
        <f>IF(INVENTARIO!N1316="","",INVENTARIO!N1316)</f>
        <v/>
      </c>
      <c r="G1316">
        <f>IF(INVENTARIO!P1316="","",INVENTARIO!P1316)</f>
        <v/>
      </c>
      <c r="H1316">
        <f>IF(INVENTARIO!Q1316="","",INVENTARIO!Q1316)</f>
        <v/>
      </c>
      <c r="I1316">
        <f>IF(INVENTARIO!R1316="","",INVENTARIO!R1316)</f>
        <v/>
      </c>
      <c r="J1316">
        <f>IF(G1316="PUBLICA(1)",1,IF(G1316="USO INTERNO(2)",2,IF(G1316="RESTRINGIDO(3)",3,0)))+IF(H1316="BAJA(1)",1,IF(H1316="MEDIA(2)",2,IF(H1316="ALTA(3)",3,0)))+IF(I1316="BAJA(1)",1,IF(I1316="MEDIA(2)",2,IF(I1316="ALTA(3)",3,0)))</f>
        <v/>
      </c>
      <c r="K1316">
        <f>IF(J1316="", "", IF(J1316&gt;=8,"ALTA",IF(J1316&gt;=6,"MEDIA","BAJA")))</f>
        <v/>
      </c>
      <c r="L1316">
        <f>IF(INVENTARIO!Y1316="","",INVENTARIO!Y1316)</f>
        <v/>
      </c>
      <c r="M1316">
        <f>IF(INVENTARIO!Z1316="","",INVENTARIO!Z1316)</f>
        <v/>
      </c>
      <c r="N1316">
        <f>IF(INVENTARIO!AA1316="","",INVENTARIO!AA1316)</f>
        <v/>
      </c>
      <c r="O1316">
        <f>IF(INVENTARIO!AB1316="","",INVENTARIO!AB1316)</f>
        <v/>
      </c>
      <c r="P1316">
        <f>IF(INVENTARIO!AC1316="","",INVENTARIO!AC1316)</f>
        <v/>
      </c>
      <c r="Q1316">
        <f>IF(AND(K1316="",N1316="",L1316=""),"",IF(AND((K1316="ALTA"),OR(LEFT(N1316,2)="L0",LEFT(N1316,2)="L1",L1316="No Iniciado")),"CRÍTICO - Incumplimiento Normativo SEPS",IF(AND(OR(LEFT(N1316,2)="L4",LEFT(N1316,2)="L5"),AND(P1316&lt;&gt;"",P1316&lt;&gt;"N/A")),"CONFORME - Control Efectivo ISO 27001","OBSERVACIÓN - Revisar Controles")))</f>
        <v/>
      </c>
    </row>
    <row r="1317">
      <c r="A1317">
        <f>IF(INVENTARIO!A1317="","",INVENTARIO!A1317)</f>
        <v/>
      </c>
      <c r="B1317">
        <f>IF(INVENTARIO!E1317="","",INVENTARIO!E1317)</f>
        <v/>
      </c>
      <c r="C1317">
        <f>IF(INVENTARIO!F1317="","",INVENTARIO!F1317)</f>
        <v/>
      </c>
      <c r="D1317">
        <f>IF(INVENTARIO!H1317="","",INVENTARIO!H1317)</f>
        <v/>
      </c>
      <c r="E1317">
        <f>IF(INVENTARIO!I1317="","",INVENTARIO!I1317)</f>
        <v/>
      </c>
      <c r="F1317">
        <f>IF(INVENTARIO!N1317="","",INVENTARIO!N1317)</f>
        <v/>
      </c>
      <c r="G1317">
        <f>IF(INVENTARIO!P1317="","",INVENTARIO!P1317)</f>
        <v/>
      </c>
      <c r="H1317">
        <f>IF(INVENTARIO!Q1317="","",INVENTARIO!Q1317)</f>
        <v/>
      </c>
      <c r="I1317">
        <f>IF(INVENTARIO!R1317="","",INVENTARIO!R1317)</f>
        <v/>
      </c>
      <c r="J1317">
        <f>IF(G1317="PUBLICA(1)",1,IF(G1317="USO INTERNO(2)",2,IF(G1317="RESTRINGIDO(3)",3,0)))+IF(H1317="BAJA(1)",1,IF(H1317="MEDIA(2)",2,IF(H1317="ALTA(3)",3,0)))+IF(I1317="BAJA(1)",1,IF(I1317="MEDIA(2)",2,IF(I1317="ALTA(3)",3,0)))</f>
        <v/>
      </c>
      <c r="K1317">
        <f>IF(J1317="", "", IF(J1317&gt;=8,"ALTA",IF(J1317&gt;=6,"MEDIA","BAJA")))</f>
        <v/>
      </c>
      <c r="L1317">
        <f>IF(INVENTARIO!Y1317="","",INVENTARIO!Y1317)</f>
        <v/>
      </c>
      <c r="M1317">
        <f>IF(INVENTARIO!Z1317="","",INVENTARIO!Z1317)</f>
        <v/>
      </c>
      <c r="N1317">
        <f>IF(INVENTARIO!AA1317="","",INVENTARIO!AA1317)</f>
        <v/>
      </c>
      <c r="O1317">
        <f>IF(INVENTARIO!AB1317="","",INVENTARIO!AB1317)</f>
        <v/>
      </c>
      <c r="P1317">
        <f>IF(INVENTARIO!AC1317="","",INVENTARIO!AC1317)</f>
        <v/>
      </c>
      <c r="Q1317">
        <f>IF(AND(K1317="",N1317="",L1317=""),"",IF(AND((K1317="ALTA"),OR(LEFT(N1317,2)="L0",LEFT(N1317,2)="L1",L1317="No Iniciado")),"CRÍTICO - Incumplimiento Normativo SEPS",IF(AND(OR(LEFT(N1317,2)="L4",LEFT(N1317,2)="L5"),AND(P1317&lt;&gt;"",P1317&lt;&gt;"N/A")),"CONFORME - Control Efectivo ISO 27001","OBSERVACIÓN - Revisar Controles")))</f>
        <v/>
      </c>
    </row>
    <row r="1318">
      <c r="A1318">
        <f>IF(INVENTARIO!A1318="","",INVENTARIO!A1318)</f>
        <v/>
      </c>
      <c r="B1318">
        <f>IF(INVENTARIO!E1318="","",INVENTARIO!E1318)</f>
        <v/>
      </c>
      <c r="C1318">
        <f>IF(INVENTARIO!F1318="","",INVENTARIO!F1318)</f>
        <v/>
      </c>
      <c r="D1318">
        <f>IF(INVENTARIO!H1318="","",INVENTARIO!H1318)</f>
        <v/>
      </c>
      <c r="E1318">
        <f>IF(INVENTARIO!I1318="","",INVENTARIO!I1318)</f>
        <v/>
      </c>
      <c r="F1318">
        <f>IF(INVENTARIO!N1318="","",INVENTARIO!N1318)</f>
        <v/>
      </c>
      <c r="G1318">
        <f>IF(INVENTARIO!P1318="","",INVENTARIO!P1318)</f>
        <v/>
      </c>
      <c r="H1318">
        <f>IF(INVENTARIO!Q1318="","",INVENTARIO!Q1318)</f>
        <v/>
      </c>
      <c r="I1318">
        <f>IF(INVENTARIO!R1318="","",INVENTARIO!R1318)</f>
        <v/>
      </c>
      <c r="J1318">
        <f>IF(G1318="PUBLICA(1)",1,IF(G1318="USO INTERNO(2)",2,IF(G1318="RESTRINGIDO(3)",3,0)))+IF(H1318="BAJA(1)",1,IF(H1318="MEDIA(2)",2,IF(H1318="ALTA(3)",3,0)))+IF(I1318="BAJA(1)",1,IF(I1318="MEDIA(2)",2,IF(I1318="ALTA(3)",3,0)))</f>
        <v/>
      </c>
      <c r="K1318">
        <f>IF(J1318="", "", IF(J1318&gt;=8,"ALTA",IF(J1318&gt;=6,"MEDIA","BAJA")))</f>
        <v/>
      </c>
      <c r="L1318">
        <f>IF(INVENTARIO!Y1318="","",INVENTARIO!Y1318)</f>
        <v/>
      </c>
      <c r="M1318">
        <f>IF(INVENTARIO!Z1318="","",INVENTARIO!Z1318)</f>
        <v/>
      </c>
      <c r="N1318">
        <f>IF(INVENTARIO!AA1318="","",INVENTARIO!AA1318)</f>
        <v/>
      </c>
      <c r="O1318">
        <f>IF(INVENTARIO!AB1318="","",INVENTARIO!AB1318)</f>
        <v/>
      </c>
      <c r="P1318">
        <f>IF(INVENTARIO!AC1318="","",INVENTARIO!AC1318)</f>
        <v/>
      </c>
      <c r="Q1318">
        <f>IF(AND(K1318="",N1318="",L1318=""),"",IF(AND((K1318="ALTA"),OR(LEFT(N1318,2)="L0",LEFT(N1318,2)="L1",L1318="No Iniciado")),"CRÍTICO - Incumplimiento Normativo SEPS",IF(AND(OR(LEFT(N1318,2)="L4",LEFT(N1318,2)="L5"),AND(P1318&lt;&gt;"",P1318&lt;&gt;"N/A")),"CONFORME - Control Efectivo ISO 27001","OBSERVACIÓN - Revisar Controles")))</f>
        <v/>
      </c>
    </row>
    <row r="1319">
      <c r="A1319">
        <f>IF(INVENTARIO!A1319="","",INVENTARIO!A1319)</f>
        <v/>
      </c>
      <c r="B1319">
        <f>IF(INVENTARIO!E1319="","",INVENTARIO!E1319)</f>
        <v/>
      </c>
      <c r="C1319">
        <f>IF(INVENTARIO!F1319="","",INVENTARIO!F1319)</f>
        <v/>
      </c>
      <c r="D1319">
        <f>IF(INVENTARIO!H1319="","",INVENTARIO!H1319)</f>
        <v/>
      </c>
      <c r="E1319">
        <f>IF(INVENTARIO!I1319="","",INVENTARIO!I1319)</f>
        <v/>
      </c>
      <c r="F1319">
        <f>IF(INVENTARIO!N1319="","",INVENTARIO!N1319)</f>
        <v/>
      </c>
      <c r="G1319">
        <f>IF(INVENTARIO!P1319="","",INVENTARIO!P1319)</f>
        <v/>
      </c>
      <c r="H1319">
        <f>IF(INVENTARIO!Q1319="","",INVENTARIO!Q1319)</f>
        <v/>
      </c>
      <c r="I1319">
        <f>IF(INVENTARIO!R1319="","",INVENTARIO!R1319)</f>
        <v/>
      </c>
      <c r="J1319">
        <f>IF(G1319="PUBLICA(1)",1,IF(G1319="USO INTERNO(2)",2,IF(G1319="RESTRINGIDO(3)",3,0)))+IF(H1319="BAJA(1)",1,IF(H1319="MEDIA(2)",2,IF(H1319="ALTA(3)",3,0)))+IF(I1319="BAJA(1)",1,IF(I1319="MEDIA(2)",2,IF(I1319="ALTA(3)",3,0)))</f>
        <v/>
      </c>
      <c r="K1319">
        <f>IF(J1319="", "", IF(J1319&gt;=8,"ALTA",IF(J1319&gt;=6,"MEDIA","BAJA")))</f>
        <v/>
      </c>
      <c r="L1319">
        <f>IF(INVENTARIO!Y1319="","",INVENTARIO!Y1319)</f>
        <v/>
      </c>
      <c r="M1319">
        <f>IF(INVENTARIO!Z1319="","",INVENTARIO!Z1319)</f>
        <v/>
      </c>
      <c r="N1319">
        <f>IF(INVENTARIO!AA1319="","",INVENTARIO!AA1319)</f>
        <v/>
      </c>
      <c r="O1319">
        <f>IF(INVENTARIO!AB1319="","",INVENTARIO!AB1319)</f>
        <v/>
      </c>
      <c r="P1319">
        <f>IF(INVENTARIO!AC1319="","",INVENTARIO!AC1319)</f>
        <v/>
      </c>
      <c r="Q1319">
        <f>IF(AND(K1319="",N1319="",L1319=""),"",IF(AND((K1319="ALTA"),OR(LEFT(N1319,2)="L0",LEFT(N1319,2)="L1",L1319="No Iniciado")),"CRÍTICO - Incumplimiento Normativo SEPS",IF(AND(OR(LEFT(N1319,2)="L4",LEFT(N1319,2)="L5"),AND(P1319&lt;&gt;"",P1319&lt;&gt;"N/A")),"CONFORME - Control Efectivo ISO 27001","OBSERVACIÓN - Revisar Controles")))</f>
        <v/>
      </c>
    </row>
    <row r="1320">
      <c r="A1320">
        <f>IF(INVENTARIO!A1320="","",INVENTARIO!A1320)</f>
        <v/>
      </c>
      <c r="B1320">
        <f>IF(INVENTARIO!E1320="","",INVENTARIO!E1320)</f>
        <v/>
      </c>
      <c r="C1320">
        <f>IF(INVENTARIO!F1320="","",INVENTARIO!F1320)</f>
        <v/>
      </c>
      <c r="D1320">
        <f>IF(INVENTARIO!H1320="","",INVENTARIO!H1320)</f>
        <v/>
      </c>
      <c r="E1320">
        <f>IF(INVENTARIO!I1320="","",INVENTARIO!I1320)</f>
        <v/>
      </c>
      <c r="F1320">
        <f>IF(INVENTARIO!N1320="","",INVENTARIO!N1320)</f>
        <v/>
      </c>
      <c r="G1320">
        <f>IF(INVENTARIO!P1320="","",INVENTARIO!P1320)</f>
        <v/>
      </c>
      <c r="H1320">
        <f>IF(INVENTARIO!Q1320="","",INVENTARIO!Q1320)</f>
        <v/>
      </c>
      <c r="I1320">
        <f>IF(INVENTARIO!R1320="","",INVENTARIO!R1320)</f>
        <v/>
      </c>
      <c r="J1320">
        <f>IF(G1320="PUBLICA(1)",1,IF(G1320="USO INTERNO(2)",2,IF(G1320="RESTRINGIDO(3)",3,0)))+IF(H1320="BAJA(1)",1,IF(H1320="MEDIA(2)",2,IF(H1320="ALTA(3)",3,0)))+IF(I1320="BAJA(1)",1,IF(I1320="MEDIA(2)",2,IF(I1320="ALTA(3)",3,0)))</f>
        <v/>
      </c>
      <c r="K1320">
        <f>IF(J1320="", "", IF(J1320&gt;=8,"ALTA",IF(J1320&gt;=6,"MEDIA","BAJA")))</f>
        <v/>
      </c>
      <c r="L1320">
        <f>IF(INVENTARIO!Y1320="","",INVENTARIO!Y1320)</f>
        <v/>
      </c>
      <c r="M1320">
        <f>IF(INVENTARIO!Z1320="","",INVENTARIO!Z1320)</f>
        <v/>
      </c>
      <c r="N1320">
        <f>IF(INVENTARIO!AA1320="","",INVENTARIO!AA1320)</f>
        <v/>
      </c>
      <c r="O1320">
        <f>IF(INVENTARIO!AB1320="","",INVENTARIO!AB1320)</f>
        <v/>
      </c>
      <c r="P1320">
        <f>IF(INVENTARIO!AC1320="","",INVENTARIO!AC1320)</f>
        <v/>
      </c>
      <c r="Q1320">
        <f>IF(AND(K1320="",N1320="",L1320=""),"",IF(AND((K1320="ALTA"),OR(LEFT(N1320,2)="L0",LEFT(N1320,2)="L1",L1320="No Iniciado")),"CRÍTICO - Incumplimiento Normativo SEPS",IF(AND(OR(LEFT(N1320,2)="L4",LEFT(N1320,2)="L5"),AND(P1320&lt;&gt;"",P1320&lt;&gt;"N/A")),"CONFORME - Control Efectivo ISO 27001","OBSERVACIÓN - Revisar Controles")))</f>
        <v/>
      </c>
    </row>
    <row r="1321">
      <c r="A1321">
        <f>IF(INVENTARIO!A1321="","",INVENTARIO!A1321)</f>
        <v/>
      </c>
      <c r="B1321">
        <f>IF(INVENTARIO!E1321="","",INVENTARIO!E1321)</f>
        <v/>
      </c>
      <c r="C1321">
        <f>IF(INVENTARIO!F1321="","",INVENTARIO!F1321)</f>
        <v/>
      </c>
      <c r="D1321">
        <f>IF(INVENTARIO!H1321="","",INVENTARIO!H1321)</f>
        <v/>
      </c>
      <c r="E1321">
        <f>IF(INVENTARIO!I1321="","",INVENTARIO!I1321)</f>
        <v/>
      </c>
      <c r="F1321">
        <f>IF(INVENTARIO!N1321="","",INVENTARIO!N1321)</f>
        <v/>
      </c>
      <c r="G1321">
        <f>IF(INVENTARIO!P1321="","",INVENTARIO!P1321)</f>
        <v/>
      </c>
      <c r="H1321">
        <f>IF(INVENTARIO!Q1321="","",INVENTARIO!Q1321)</f>
        <v/>
      </c>
      <c r="I1321">
        <f>IF(INVENTARIO!R1321="","",INVENTARIO!R1321)</f>
        <v/>
      </c>
      <c r="J1321">
        <f>IF(G1321="PUBLICA(1)",1,IF(G1321="USO INTERNO(2)",2,IF(G1321="RESTRINGIDO(3)",3,0)))+IF(H1321="BAJA(1)",1,IF(H1321="MEDIA(2)",2,IF(H1321="ALTA(3)",3,0)))+IF(I1321="BAJA(1)",1,IF(I1321="MEDIA(2)",2,IF(I1321="ALTA(3)",3,0)))</f>
        <v/>
      </c>
      <c r="K1321">
        <f>IF(J1321="", "", IF(J1321&gt;=8,"ALTA",IF(J1321&gt;=6,"MEDIA","BAJA")))</f>
        <v/>
      </c>
      <c r="L1321">
        <f>IF(INVENTARIO!Y1321="","",INVENTARIO!Y1321)</f>
        <v/>
      </c>
      <c r="M1321">
        <f>IF(INVENTARIO!Z1321="","",INVENTARIO!Z1321)</f>
        <v/>
      </c>
      <c r="N1321">
        <f>IF(INVENTARIO!AA1321="","",INVENTARIO!AA1321)</f>
        <v/>
      </c>
      <c r="O1321">
        <f>IF(INVENTARIO!AB1321="","",INVENTARIO!AB1321)</f>
        <v/>
      </c>
      <c r="P1321">
        <f>IF(INVENTARIO!AC1321="","",INVENTARIO!AC1321)</f>
        <v/>
      </c>
      <c r="Q1321">
        <f>IF(AND(K1321="",N1321="",L1321=""),"",IF(AND((K1321="ALTA"),OR(LEFT(N1321,2)="L0",LEFT(N1321,2)="L1",L1321="No Iniciado")),"CRÍTICO - Incumplimiento Normativo SEPS",IF(AND(OR(LEFT(N1321,2)="L4",LEFT(N1321,2)="L5"),AND(P1321&lt;&gt;"",P1321&lt;&gt;"N/A")),"CONFORME - Control Efectivo ISO 27001","OBSERVACIÓN - Revisar Controles")))</f>
        <v/>
      </c>
    </row>
    <row r="1322">
      <c r="A1322">
        <f>IF(INVENTARIO!A1322="","",INVENTARIO!A1322)</f>
        <v/>
      </c>
      <c r="B1322">
        <f>IF(INVENTARIO!E1322="","",INVENTARIO!E1322)</f>
        <v/>
      </c>
      <c r="C1322">
        <f>IF(INVENTARIO!F1322="","",INVENTARIO!F1322)</f>
        <v/>
      </c>
      <c r="D1322">
        <f>IF(INVENTARIO!H1322="","",INVENTARIO!H1322)</f>
        <v/>
      </c>
      <c r="E1322">
        <f>IF(INVENTARIO!I1322="","",INVENTARIO!I1322)</f>
        <v/>
      </c>
      <c r="F1322">
        <f>IF(INVENTARIO!N1322="","",INVENTARIO!N1322)</f>
        <v/>
      </c>
      <c r="G1322">
        <f>IF(INVENTARIO!P1322="","",INVENTARIO!P1322)</f>
        <v/>
      </c>
      <c r="H1322">
        <f>IF(INVENTARIO!Q1322="","",INVENTARIO!Q1322)</f>
        <v/>
      </c>
      <c r="I1322">
        <f>IF(INVENTARIO!R1322="","",INVENTARIO!R1322)</f>
        <v/>
      </c>
      <c r="J1322">
        <f>IF(G1322="PUBLICA(1)",1,IF(G1322="USO INTERNO(2)",2,IF(G1322="RESTRINGIDO(3)",3,0)))+IF(H1322="BAJA(1)",1,IF(H1322="MEDIA(2)",2,IF(H1322="ALTA(3)",3,0)))+IF(I1322="BAJA(1)",1,IF(I1322="MEDIA(2)",2,IF(I1322="ALTA(3)",3,0)))</f>
        <v/>
      </c>
      <c r="K1322">
        <f>IF(J1322="", "", IF(J1322&gt;=8,"ALTA",IF(J1322&gt;=6,"MEDIA","BAJA")))</f>
        <v/>
      </c>
      <c r="L1322">
        <f>IF(INVENTARIO!Y1322="","",INVENTARIO!Y1322)</f>
        <v/>
      </c>
      <c r="M1322">
        <f>IF(INVENTARIO!Z1322="","",INVENTARIO!Z1322)</f>
        <v/>
      </c>
      <c r="N1322">
        <f>IF(INVENTARIO!AA1322="","",INVENTARIO!AA1322)</f>
        <v/>
      </c>
      <c r="O1322">
        <f>IF(INVENTARIO!AB1322="","",INVENTARIO!AB1322)</f>
        <v/>
      </c>
      <c r="P1322">
        <f>IF(INVENTARIO!AC1322="","",INVENTARIO!AC1322)</f>
        <v/>
      </c>
      <c r="Q1322">
        <f>IF(AND(K1322="",N1322="",L1322=""),"",IF(AND((K1322="ALTA"),OR(LEFT(N1322,2)="L0",LEFT(N1322,2)="L1",L1322="No Iniciado")),"CRÍTICO - Incumplimiento Normativo SEPS",IF(AND(OR(LEFT(N1322,2)="L4",LEFT(N1322,2)="L5"),AND(P1322&lt;&gt;"",P1322&lt;&gt;"N/A")),"CONFORME - Control Efectivo ISO 27001","OBSERVACIÓN - Revisar Controles")))</f>
        <v/>
      </c>
    </row>
    <row r="1323">
      <c r="A1323">
        <f>IF(INVENTARIO!A1323="","",INVENTARIO!A1323)</f>
        <v/>
      </c>
      <c r="B1323">
        <f>IF(INVENTARIO!E1323="","",INVENTARIO!E1323)</f>
        <v/>
      </c>
      <c r="C1323">
        <f>IF(INVENTARIO!F1323="","",INVENTARIO!F1323)</f>
        <v/>
      </c>
      <c r="D1323">
        <f>IF(INVENTARIO!H1323="","",INVENTARIO!H1323)</f>
        <v/>
      </c>
      <c r="E1323">
        <f>IF(INVENTARIO!I1323="","",INVENTARIO!I1323)</f>
        <v/>
      </c>
      <c r="F1323">
        <f>IF(INVENTARIO!N1323="","",INVENTARIO!N1323)</f>
        <v/>
      </c>
      <c r="G1323">
        <f>IF(INVENTARIO!P1323="","",INVENTARIO!P1323)</f>
        <v/>
      </c>
      <c r="H1323">
        <f>IF(INVENTARIO!Q1323="","",INVENTARIO!Q1323)</f>
        <v/>
      </c>
      <c r="I1323">
        <f>IF(INVENTARIO!R1323="","",INVENTARIO!R1323)</f>
        <v/>
      </c>
      <c r="J1323">
        <f>IF(G1323="PUBLICA(1)",1,IF(G1323="USO INTERNO(2)",2,IF(G1323="RESTRINGIDO(3)",3,0)))+IF(H1323="BAJA(1)",1,IF(H1323="MEDIA(2)",2,IF(H1323="ALTA(3)",3,0)))+IF(I1323="BAJA(1)",1,IF(I1323="MEDIA(2)",2,IF(I1323="ALTA(3)",3,0)))</f>
        <v/>
      </c>
      <c r="K1323">
        <f>IF(J1323="", "", IF(J1323&gt;=8,"ALTA",IF(J1323&gt;=6,"MEDIA","BAJA")))</f>
        <v/>
      </c>
      <c r="L1323">
        <f>IF(INVENTARIO!Y1323="","",INVENTARIO!Y1323)</f>
        <v/>
      </c>
      <c r="M1323">
        <f>IF(INVENTARIO!Z1323="","",INVENTARIO!Z1323)</f>
        <v/>
      </c>
      <c r="N1323">
        <f>IF(INVENTARIO!AA1323="","",INVENTARIO!AA1323)</f>
        <v/>
      </c>
      <c r="O1323">
        <f>IF(INVENTARIO!AB1323="","",INVENTARIO!AB1323)</f>
        <v/>
      </c>
      <c r="P1323">
        <f>IF(INVENTARIO!AC1323="","",INVENTARIO!AC1323)</f>
        <v/>
      </c>
      <c r="Q1323">
        <f>IF(AND(K1323="",N1323="",L1323=""),"",IF(AND((K1323="ALTA"),OR(LEFT(N1323,2)="L0",LEFT(N1323,2)="L1",L1323="No Iniciado")),"CRÍTICO - Incumplimiento Normativo SEPS",IF(AND(OR(LEFT(N1323,2)="L4",LEFT(N1323,2)="L5"),AND(P1323&lt;&gt;"",P1323&lt;&gt;"N/A")),"CONFORME - Control Efectivo ISO 27001","OBSERVACIÓN - Revisar Controles")))</f>
        <v/>
      </c>
    </row>
    <row r="1324">
      <c r="A1324">
        <f>IF(INVENTARIO!A1324="","",INVENTARIO!A1324)</f>
        <v/>
      </c>
      <c r="B1324">
        <f>IF(INVENTARIO!E1324="","",INVENTARIO!E1324)</f>
        <v/>
      </c>
      <c r="C1324">
        <f>IF(INVENTARIO!F1324="","",INVENTARIO!F1324)</f>
        <v/>
      </c>
      <c r="D1324">
        <f>IF(INVENTARIO!H1324="","",INVENTARIO!H1324)</f>
        <v/>
      </c>
      <c r="E1324">
        <f>IF(INVENTARIO!I1324="","",INVENTARIO!I1324)</f>
        <v/>
      </c>
      <c r="F1324">
        <f>IF(INVENTARIO!N1324="","",INVENTARIO!N1324)</f>
        <v/>
      </c>
      <c r="G1324">
        <f>IF(INVENTARIO!P1324="","",INVENTARIO!P1324)</f>
        <v/>
      </c>
      <c r="H1324">
        <f>IF(INVENTARIO!Q1324="","",INVENTARIO!Q1324)</f>
        <v/>
      </c>
      <c r="I1324">
        <f>IF(INVENTARIO!R1324="","",INVENTARIO!R1324)</f>
        <v/>
      </c>
      <c r="J1324">
        <f>IF(G1324="PUBLICA(1)",1,IF(G1324="USO INTERNO(2)",2,IF(G1324="RESTRINGIDO(3)",3,0)))+IF(H1324="BAJA(1)",1,IF(H1324="MEDIA(2)",2,IF(H1324="ALTA(3)",3,0)))+IF(I1324="BAJA(1)",1,IF(I1324="MEDIA(2)",2,IF(I1324="ALTA(3)",3,0)))</f>
        <v/>
      </c>
      <c r="K1324">
        <f>IF(J1324="", "", IF(J1324&gt;=8,"ALTA",IF(J1324&gt;=6,"MEDIA","BAJA")))</f>
        <v/>
      </c>
      <c r="L1324">
        <f>IF(INVENTARIO!Y1324="","",INVENTARIO!Y1324)</f>
        <v/>
      </c>
      <c r="M1324">
        <f>IF(INVENTARIO!Z1324="","",INVENTARIO!Z1324)</f>
        <v/>
      </c>
      <c r="N1324">
        <f>IF(INVENTARIO!AA1324="","",INVENTARIO!AA1324)</f>
        <v/>
      </c>
      <c r="O1324">
        <f>IF(INVENTARIO!AB1324="","",INVENTARIO!AB1324)</f>
        <v/>
      </c>
      <c r="P1324">
        <f>IF(INVENTARIO!AC1324="","",INVENTARIO!AC1324)</f>
        <v/>
      </c>
      <c r="Q1324">
        <f>IF(AND(K1324="",N1324="",L1324=""),"",IF(AND((K1324="ALTA"),OR(LEFT(N1324,2)="L0",LEFT(N1324,2)="L1",L1324="No Iniciado")),"CRÍTICO - Incumplimiento Normativo SEPS",IF(AND(OR(LEFT(N1324,2)="L4",LEFT(N1324,2)="L5"),AND(P1324&lt;&gt;"",P1324&lt;&gt;"N/A")),"CONFORME - Control Efectivo ISO 27001","OBSERVACIÓN - Revisar Controles")))</f>
        <v/>
      </c>
    </row>
    <row r="1325">
      <c r="A1325">
        <f>IF(INVENTARIO!A1325="","",INVENTARIO!A1325)</f>
        <v/>
      </c>
      <c r="B1325">
        <f>IF(INVENTARIO!E1325="","",INVENTARIO!E1325)</f>
        <v/>
      </c>
      <c r="C1325">
        <f>IF(INVENTARIO!F1325="","",INVENTARIO!F1325)</f>
        <v/>
      </c>
      <c r="D1325">
        <f>IF(INVENTARIO!H1325="","",INVENTARIO!H1325)</f>
        <v/>
      </c>
      <c r="E1325">
        <f>IF(INVENTARIO!I1325="","",INVENTARIO!I1325)</f>
        <v/>
      </c>
      <c r="F1325">
        <f>IF(INVENTARIO!N1325="","",INVENTARIO!N1325)</f>
        <v/>
      </c>
      <c r="G1325">
        <f>IF(INVENTARIO!P1325="","",INVENTARIO!P1325)</f>
        <v/>
      </c>
      <c r="H1325">
        <f>IF(INVENTARIO!Q1325="","",INVENTARIO!Q1325)</f>
        <v/>
      </c>
      <c r="I1325">
        <f>IF(INVENTARIO!R1325="","",INVENTARIO!R1325)</f>
        <v/>
      </c>
      <c r="J1325">
        <f>IF(G1325="PUBLICA(1)",1,IF(G1325="USO INTERNO(2)",2,IF(G1325="RESTRINGIDO(3)",3,0)))+IF(H1325="BAJA(1)",1,IF(H1325="MEDIA(2)",2,IF(H1325="ALTA(3)",3,0)))+IF(I1325="BAJA(1)",1,IF(I1325="MEDIA(2)",2,IF(I1325="ALTA(3)",3,0)))</f>
        <v/>
      </c>
      <c r="K1325">
        <f>IF(J1325="", "", IF(J1325&gt;=8,"ALTA",IF(J1325&gt;=6,"MEDIA","BAJA")))</f>
        <v/>
      </c>
      <c r="L1325">
        <f>IF(INVENTARIO!Y1325="","",INVENTARIO!Y1325)</f>
        <v/>
      </c>
      <c r="M1325">
        <f>IF(INVENTARIO!Z1325="","",INVENTARIO!Z1325)</f>
        <v/>
      </c>
      <c r="N1325">
        <f>IF(INVENTARIO!AA1325="","",INVENTARIO!AA1325)</f>
        <v/>
      </c>
      <c r="O1325">
        <f>IF(INVENTARIO!AB1325="","",INVENTARIO!AB1325)</f>
        <v/>
      </c>
      <c r="P1325">
        <f>IF(INVENTARIO!AC1325="","",INVENTARIO!AC1325)</f>
        <v/>
      </c>
      <c r="Q1325">
        <f>IF(AND(K1325="",N1325="",L1325=""),"",IF(AND((K1325="ALTA"),OR(LEFT(N1325,2)="L0",LEFT(N1325,2)="L1",L1325="No Iniciado")),"CRÍTICO - Incumplimiento Normativo SEPS",IF(AND(OR(LEFT(N1325,2)="L4",LEFT(N1325,2)="L5"),AND(P1325&lt;&gt;"",P1325&lt;&gt;"N/A")),"CONFORME - Control Efectivo ISO 27001","OBSERVACIÓN - Revisar Controles")))</f>
        <v/>
      </c>
    </row>
    <row r="1326">
      <c r="A1326">
        <f>IF(INVENTARIO!A1326="","",INVENTARIO!A1326)</f>
        <v/>
      </c>
      <c r="B1326">
        <f>IF(INVENTARIO!E1326="","",INVENTARIO!E1326)</f>
        <v/>
      </c>
      <c r="C1326">
        <f>IF(INVENTARIO!F1326="","",INVENTARIO!F1326)</f>
        <v/>
      </c>
      <c r="D1326">
        <f>IF(INVENTARIO!H1326="","",INVENTARIO!H1326)</f>
        <v/>
      </c>
      <c r="E1326">
        <f>IF(INVENTARIO!I1326="","",INVENTARIO!I1326)</f>
        <v/>
      </c>
      <c r="F1326">
        <f>IF(INVENTARIO!N1326="","",INVENTARIO!N1326)</f>
        <v/>
      </c>
      <c r="G1326">
        <f>IF(INVENTARIO!P1326="","",INVENTARIO!P1326)</f>
        <v/>
      </c>
      <c r="H1326">
        <f>IF(INVENTARIO!Q1326="","",INVENTARIO!Q1326)</f>
        <v/>
      </c>
      <c r="I1326">
        <f>IF(INVENTARIO!R1326="","",INVENTARIO!R1326)</f>
        <v/>
      </c>
      <c r="J1326">
        <f>IF(G1326="PUBLICA(1)",1,IF(G1326="USO INTERNO(2)",2,IF(G1326="RESTRINGIDO(3)",3,0)))+IF(H1326="BAJA(1)",1,IF(H1326="MEDIA(2)",2,IF(H1326="ALTA(3)",3,0)))+IF(I1326="BAJA(1)",1,IF(I1326="MEDIA(2)",2,IF(I1326="ALTA(3)",3,0)))</f>
        <v/>
      </c>
      <c r="K1326">
        <f>IF(J1326="", "", IF(J1326&gt;=8,"ALTA",IF(J1326&gt;=6,"MEDIA","BAJA")))</f>
        <v/>
      </c>
      <c r="L1326">
        <f>IF(INVENTARIO!Y1326="","",INVENTARIO!Y1326)</f>
        <v/>
      </c>
      <c r="M1326">
        <f>IF(INVENTARIO!Z1326="","",INVENTARIO!Z1326)</f>
        <v/>
      </c>
      <c r="N1326">
        <f>IF(INVENTARIO!AA1326="","",INVENTARIO!AA1326)</f>
        <v/>
      </c>
      <c r="O1326">
        <f>IF(INVENTARIO!AB1326="","",INVENTARIO!AB1326)</f>
        <v/>
      </c>
      <c r="P1326">
        <f>IF(INVENTARIO!AC1326="","",INVENTARIO!AC1326)</f>
        <v/>
      </c>
      <c r="Q1326">
        <f>IF(AND(K1326="",N1326="",L1326=""),"",IF(AND((K1326="ALTA"),OR(LEFT(N1326,2)="L0",LEFT(N1326,2)="L1",L1326="No Iniciado")),"CRÍTICO - Incumplimiento Normativo SEPS",IF(AND(OR(LEFT(N1326,2)="L4",LEFT(N1326,2)="L5"),AND(P1326&lt;&gt;"",P1326&lt;&gt;"N/A")),"CONFORME - Control Efectivo ISO 27001","OBSERVACIÓN - Revisar Controles")))</f>
        <v/>
      </c>
    </row>
    <row r="1327">
      <c r="A1327">
        <f>IF(INVENTARIO!A1327="","",INVENTARIO!A1327)</f>
        <v/>
      </c>
      <c r="B1327">
        <f>IF(INVENTARIO!E1327="","",INVENTARIO!E1327)</f>
        <v/>
      </c>
      <c r="C1327">
        <f>IF(INVENTARIO!F1327="","",INVENTARIO!F1327)</f>
        <v/>
      </c>
      <c r="D1327">
        <f>IF(INVENTARIO!H1327="","",INVENTARIO!H1327)</f>
        <v/>
      </c>
      <c r="E1327">
        <f>IF(INVENTARIO!I1327="","",INVENTARIO!I1327)</f>
        <v/>
      </c>
      <c r="F1327">
        <f>IF(INVENTARIO!N1327="","",INVENTARIO!N1327)</f>
        <v/>
      </c>
      <c r="G1327">
        <f>IF(INVENTARIO!P1327="","",INVENTARIO!P1327)</f>
        <v/>
      </c>
      <c r="H1327">
        <f>IF(INVENTARIO!Q1327="","",INVENTARIO!Q1327)</f>
        <v/>
      </c>
      <c r="I1327">
        <f>IF(INVENTARIO!R1327="","",INVENTARIO!R1327)</f>
        <v/>
      </c>
      <c r="J1327">
        <f>IF(G1327="PUBLICA(1)",1,IF(G1327="USO INTERNO(2)",2,IF(G1327="RESTRINGIDO(3)",3,0)))+IF(H1327="BAJA(1)",1,IF(H1327="MEDIA(2)",2,IF(H1327="ALTA(3)",3,0)))+IF(I1327="BAJA(1)",1,IF(I1327="MEDIA(2)",2,IF(I1327="ALTA(3)",3,0)))</f>
        <v/>
      </c>
      <c r="K1327">
        <f>IF(J1327="", "", IF(J1327&gt;=8,"ALTA",IF(J1327&gt;=6,"MEDIA","BAJA")))</f>
        <v/>
      </c>
      <c r="L1327">
        <f>IF(INVENTARIO!Y1327="","",INVENTARIO!Y1327)</f>
        <v/>
      </c>
      <c r="M1327">
        <f>IF(INVENTARIO!Z1327="","",INVENTARIO!Z1327)</f>
        <v/>
      </c>
      <c r="N1327">
        <f>IF(INVENTARIO!AA1327="","",INVENTARIO!AA1327)</f>
        <v/>
      </c>
      <c r="O1327">
        <f>IF(INVENTARIO!AB1327="","",INVENTARIO!AB1327)</f>
        <v/>
      </c>
      <c r="P1327">
        <f>IF(INVENTARIO!AC1327="","",INVENTARIO!AC1327)</f>
        <v/>
      </c>
      <c r="Q1327">
        <f>IF(AND(K1327="",N1327="",L1327=""),"",IF(AND((K1327="ALTA"),OR(LEFT(N1327,2)="L0",LEFT(N1327,2)="L1",L1327="No Iniciado")),"CRÍTICO - Incumplimiento Normativo SEPS",IF(AND(OR(LEFT(N1327,2)="L4",LEFT(N1327,2)="L5"),AND(P1327&lt;&gt;"",P1327&lt;&gt;"N/A")),"CONFORME - Control Efectivo ISO 27001","OBSERVACIÓN - Revisar Controles")))</f>
        <v/>
      </c>
    </row>
    <row r="1328">
      <c r="A1328">
        <f>IF(INVENTARIO!A1328="","",INVENTARIO!A1328)</f>
        <v/>
      </c>
      <c r="B1328">
        <f>IF(INVENTARIO!E1328="","",INVENTARIO!E1328)</f>
        <v/>
      </c>
      <c r="C1328">
        <f>IF(INVENTARIO!F1328="","",INVENTARIO!F1328)</f>
        <v/>
      </c>
      <c r="D1328">
        <f>IF(INVENTARIO!H1328="","",INVENTARIO!H1328)</f>
        <v/>
      </c>
      <c r="E1328">
        <f>IF(INVENTARIO!I1328="","",INVENTARIO!I1328)</f>
        <v/>
      </c>
      <c r="F1328">
        <f>IF(INVENTARIO!N1328="","",INVENTARIO!N1328)</f>
        <v/>
      </c>
      <c r="G1328">
        <f>IF(INVENTARIO!P1328="","",INVENTARIO!P1328)</f>
        <v/>
      </c>
      <c r="H1328">
        <f>IF(INVENTARIO!Q1328="","",INVENTARIO!Q1328)</f>
        <v/>
      </c>
      <c r="I1328">
        <f>IF(INVENTARIO!R1328="","",INVENTARIO!R1328)</f>
        <v/>
      </c>
      <c r="J1328">
        <f>IF(G1328="PUBLICA(1)",1,IF(G1328="USO INTERNO(2)",2,IF(G1328="RESTRINGIDO(3)",3,0)))+IF(H1328="BAJA(1)",1,IF(H1328="MEDIA(2)",2,IF(H1328="ALTA(3)",3,0)))+IF(I1328="BAJA(1)",1,IF(I1328="MEDIA(2)",2,IF(I1328="ALTA(3)",3,0)))</f>
        <v/>
      </c>
      <c r="K1328">
        <f>IF(J1328="", "", IF(J1328&gt;=8,"ALTA",IF(J1328&gt;=6,"MEDIA","BAJA")))</f>
        <v/>
      </c>
      <c r="L1328">
        <f>IF(INVENTARIO!Y1328="","",INVENTARIO!Y1328)</f>
        <v/>
      </c>
      <c r="M1328">
        <f>IF(INVENTARIO!Z1328="","",INVENTARIO!Z1328)</f>
        <v/>
      </c>
      <c r="N1328">
        <f>IF(INVENTARIO!AA1328="","",INVENTARIO!AA1328)</f>
        <v/>
      </c>
      <c r="O1328">
        <f>IF(INVENTARIO!AB1328="","",INVENTARIO!AB1328)</f>
        <v/>
      </c>
      <c r="P1328">
        <f>IF(INVENTARIO!AC1328="","",INVENTARIO!AC1328)</f>
        <v/>
      </c>
      <c r="Q1328">
        <f>IF(AND(K1328="",N1328="",L1328=""),"",IF(AND((K1328="ALTA"),OR(LEFT(N1328,2)="L0",LEFT(N1328,2)="L1",L1328="No Iniciado")),"CRÍTICO - Incumplimiento Normativo SEPS",IF(AND(OR(LEFT(N1328,2)="L4",LEFT(N1328,2)="L5"),AND(P1328&lt;&gt;"",P1328&lt;&gt;"N/A")),"CONFORME - Control Efectivo ISO 27001","OBSERVACIÓN - Revisar Controles")))</f>
        <v/>
      </c>
    </row>
    <row r="1329">
      <c r="A1329">
        <f>IF(INVENTARIO!A1329="","",INVENTARIO!A1329)</f>
        <v/>
      </c>
      <c r="B1329">
        <f>IF(INVENTARIO!E1329="","",INVENTARIO!E1329)</f>
        <v/>
      </c>
      <c r="C1329">
        <f>IF(INVENTARIO!F1329="","",INVENTARIO!F1329)</f>
        <v/>
      </c>
      <c r="D1329">
        <f>IF(INVENTARIO!H1329="","",INVENTARIO!H1329)</f>
        <v/>
      </c>
      <c r="E1329">
        <f>IF(INVENTARIO!I1329="","",INVENTARIO!I1329)</f>
        <v/>
      </c>
      <c r="F1329">
        <f>IF(INVENTARIO!N1329="","",INVENTARIO!N1329)</f>
        <v/>
      </c>
      <c r="G1329">
        <f>IF(INVENTARIO!P1329="","",INVENTARIO!P1329)</f>
        <v/>
      </c>
      <c r="H1329">
        <f>IF(INVENTARIO!Q1329="","",INVENTARIO!Q1329)</f>
        <v/>
      </c>
      <c r="I1329">
        <f>IF(INVENTARIO!R1329="","",INVENTARIO!R1329)</f>
        <v/>
      </c>
      <c r="J1329">
        <f>IF(G1329="PUBLICA(1)",1,IF(G1329="USO INTERNO(2)",2,IF(G1329="RESTRINGIDO(3)",3,0)))+IF(H1329="BAJA(1)",1,IF(H1329="MEDIA(2)",2,IF(H1329="ALTA(3)",3,0)))+IF(I1329="BAJA(1)",1,IF(I1329="MEDIA(2)",2,IF(I1329="ALTA(3)",3,0)))</f>
        <v/>
      </c>
      <c r="K1329">
        <f>IF(J1329="", "", IF(J1329&gt;=8,"ALTA",IF(J1329&gt;=6,"MEDIA","BAJA")))</f>
        <v/>
      </c>
      <c r="L1329">
        <f>IF(INVENTARIO!Y1329="","",INVENTARIO!Y1329)</f>
        <v/>
      </c>
      <c r="M1329">
        <f>IF(INVENTARIO!Z1329="","",INVENTARIO!Z1329)</f>
        <v/>
      </c>
      <c r="N1329">
        <f>IF(INVENTARIO!AA1329="","",INVENTARIO!AA1329)</f>
        <v/>
      </c>
      <c r="O1329">
        <f>IF(INVENTARIO!AB1329="","",INVENTARIO!AB1329)</f>
        <v/>
      </c>
      <c r="P1329">
        <f>IF(INVENTARIO!AC1329="","",INVENTARIO!AC1329)</f>
        <v/>
      </c>
      <c r="Q1329">
        <f>IF(AND(K1329="",N1329="",L1329=""),"",IF(AND((K1329="ALTA"),OR(LEFT(N1329,2)="L0",LEFT(N1329,2)="L1",L1329="No Iniciado")),"CRÍTICO - Incumplimiento Normativo SEPS",IF(AND(OR(LEFT(N1329,2)="L4",LEFT(N1329,2)="L5"),AND(P1329&lt;&gt;"",P1329&lt;&gt;"N/A")),"CONFORME - Control Efectivo ISO 27001","OBSERVACIÓN - Revisar Controles")))</f>
        <v/>
      </c>
    </row>
    <row r="1330">
      <c r="A1330">
        <f>IF(INVENTARIO!A1330="","",INVENTARIO!A1330)</f>
        <v/>
      </c>
      <c r="B1330">
        <f>IF(INVENTARIO!E1330="","",INVENTARIO!E1330)</f>
        <v/>
      </c>
      <c r="C1330">
        <f>IF(INVENTARIO!F1330="","",INVENTARIO!F1330)</f>
        <v/>
      </c>
      <c r="D1330">
        <f>IF(INVENTARIO!H1330="","",INVENTARIO!H1330)</f>
        <v/>
      </c>
      <c r="E1330">
        <f>IF(INVENTARIO!I1330="","",INVENTARIO!I1330)</f>
        <v/>
      </c>
      <c r="F1330">
        <f>IF(INVENTARIO!N1330="","",INVENTARIO!N1330)</f>
        <v/>
      </c>
      <c r="G1330">
        <f>IF(INVENTARIO!P1330="","",INVENTARIO!P1330)</f>
        <v/>
      </c>
      <c r="H1330">
        <f>IF(INVENTARIO!Q1330="","",INVENTARIO!Q1330)</f>
        <v/>
      </c>
      <c r="I1330">
        <f>IF(INVENTARIO!R1330="","",INVENTARIO!R1330)</f>
        <v/>
      </c>
      <c r="J1330">
        <f>IF(G1330="PUBLICA(1)",1,IF(G1330="USO INTERNO(2)",2,IF(G1330="RESTRINGIDO(3)",3,0)))+IF(H1330="BAJA(1)",1,IF(H1330="MEDIA(2)",2,IF(H1330="ALTA(3)",3,0)))+IF(I1330="BAJA(1)",1,IF(I1330="MEDIA(2)",2,IF(I1330="ALTA(3)",3,0)))</f>
        <v/>
      </c>
      <c r="K1330">
        <f>IF(J1330="", "", IF(J1330&gt;=8,"ALTA",IF(J1330&gt;=6,"MEDIA","BAJA")))</f>
        <v/>
      </c>
      <c r="L1330">
        <f>IF(INVENTARIO!Y1330="","",INVENTARIO!Y1330)</f>
        <v/>
      </c>
      <c r="M1330">
        <f>IF(INVENTARIO!Z1330="","",INVENTARIO!Z1330)</f>
        <v/>
      </c>
      <c r="N1330">
        <f>IF(INVENTARIO!AA1330="","",INVENTARIO!AA1330)</f>
        <v/>
      </c>
      <c r="O1330">
        <f>IF(INVENTARIO!AB1330="","",INVENTARIO!AB1330)</f>
        <v/>
      </c>
      <c r="P1330">
        <f>IF(INVENTARIO!AC1330="","",INVENTARIO!AC1330)</f>
        <v/>
      </c>
      <c r="Q1330">
        <f>IF(AND(K1330="",N1330="",L1330=""),"",IF(AND((K1330="ALTA"),OR(LEFT(N1330,2)="L0",LEFT(N1330,2)="L1",L1330="No Iniciado")),"CRÍTICO - Incumplimiento Normativo SEPS",IF(AND(OR(LEFT(N1330,2)="L4",LEFT(N1330,2)="L5"),AND(P1330&lt;&gt;"",P1330&lt;&gt;"N/A")),"CONFORME - Control Efectivo ISO 27001","OBSERVACIÓN - Revisar Controles")))</f>
        <v/>
      </c>
    </row>
    <row r="1331">
      <c r="A1331">
        <f>IF(INVENTARIO!A1331="","",INVENTARIO!A1331)</f>
        <v/>
      </c>
      <c r="B1331">
        <f>IF(INVENTARIO!E1331="","",INVENTARIO!E1331)</f>
        <v/>
      </c>
      <c r="C1331">
        <f>IF(INVENTARIO!F1331="","",INVENTARIO!F1331)</f>
        <v/>
      </c>
      <c r="D1331">
        <f>IF(INVENTARIO!H1331="","",INVENTARIO!H1331)</f>
        <v/>
      </c>
      <c r="E1331">
        <f>IF(INVENTARIO!I1331="","",INVENTARIO!I1331)</f>
        <v/>
      </c>
      <c r="F1331">
        <f>IF(INVENTARIO!N1331="","",INVENTARIO!N1331)</f>
        <v/>
      </c>
      <c r="G1331">
        <f>IF(INVENTARIO!P1331="","",INVENTARIO!P1331)</f>
        <v/>
      </c>
      <c r="H1331">
        <f>IF(INVENTARIO!Q1331="","",INVENTARIO!Q1331)</f>
        <v/>
      </c>
      <c r="I1331">
        <f>IF(INVENTARIO!R1331="","",INVENTARIO!R1331)</f>
        <v/>
      </c>
      <c r="J1331">
        <f>IF(G1331="PUBLICA(1)",1,IF(G1331="USO INTERNO(2)",2,IF(G1331="RESTRINGIDO(3)",3,0)))+IF(H1331="BAJA(1)",1,IF(H1331="MEDIA(2)",2,IF(H1331="ALTA(3)",3,0)))+IF(I1331="BAJA(1)",1,IF(I1331="MEDIA(2)",2,IF(I1331="ALTA(3)",3,0)))</f>
        <v/>
      </c>
      <c r="K1331">
        <f>IF(J1331="", "", IF(J1331&gt;=8,"ALTA",IF(J1331&gt;=6,"MEDIA","BAJA")))</f>
        <v/>
      </c>
      <c r="L1331">
        <f>IF(INVENTARIO!Y1331="","",INVENTARIO!Y1331)</f>
        <v/>
      </c>
      <c r="M1331">
        <f>IF(INVENTARIO!Z1331="","",INVENTARIO!Z1331)</f>
        <v/>
      </c>
      <c r="N1331">
        <f>IF(INVENTARIO!AA1331="","",INVENTARIO!AA1331)</f>
        <v/>
      </c>
      <c r="O1331">
        <f>IF(INVENTARIO!AB1331="","",INVENTARIO!AB1331)</f>
        <v/>
      </c>
      <c r="P1331">
        <f>IF(INVENTARIO!AC1331="","",INVENTARIO!AC1331)</f>
        <v/>
      </c>
      <c r="Q1331">
        <f>IF(AND(K1331="",N1331="",L1331=""),"",IF(AND((K1331="ALTA"),OR(LEFT(N1331,2)="L0",LEFT(N1331,2)="L1",L1331="No Iniciado")),"CRÍTICO - Incumplimiento Normativo SEPS",IF(AND(OR(LEFT(N1331,2)="L4",LEFT(N1331,2)="L5"),AND(P1331&lt;&gt;"",P1331&lt;&gt;"N/A")),"CONFORME - Control Efectivo ISO 27001","OBSERVACIÓN - Revisar Controles")))</f>
        <v/>
      </c>
    </row>
    <row r="1332">
      <c r="A1332">
        <f>IF(INVENTARIO!A1332="","",INVENTARIO!A1332)</f>
        <v/>
      </c>
      <c r="B1332">
        <f>IF(INVENTARIO!E1332="","",INVENTARIO!E1332)</f>
        <v/>
      </c>
      <c r="C1332">
        <f>IF(INVENTARIO!F1332="","",INVENTARIO!F1332)</f>
        <v/>
      </c>
      <c r="D1332">
        <f>IF(INVENTARIO!H1332="","",INVENTARIO!H1332)</f>
        <v/>
      </c>
      <c r="E1332">
        <f>IF(INVENTARIO!I1332="","",INVENTARIO!I1332)</f>
        <v/>
      </c>
      <c r="F1332">
        <f>IF(INVENTARIO!N1332="","",INVENTARIO!N1332)</f>
        <v/>
      </c>
      <c r="G1332">
        <f>IF(INVENTARIO!P1332="","",INVENTARIO!P1332)</f>
        <v/>
      </c>
      <c r="H1332">
        <f>IF(INVENTARIO!Q1332="","",INVENTARIO!Q1332)</f>
        <v/>
      </c>
      <c r="I1332">
        <f>IF(INVENTARIO!R1332="","",INVENTARIO!R1332)</f>
        <v/>
      </c>
      <c r="J1332">
        <f>IF(G1332="PUBLICA(1)",1,IF(G1332="USO INTERNO(2)",2,IF(G1332="RESTRINGIDO(3)",3,0)))+IF(H1332="BAJA(1)",1,IF(H1332="MEDIA(2)",2,IF(H1332="ALTA(3)",3,0)))+IF(I1332="BAJA(1)",1,IF(I1332="MEDIA(2)",2,IF(I1332="ALTA(3)",3,0)))</f>
        <v/>
      </c>
      <c r="K1332">
        <f>IF(J1332="", "", IF(J1332&gt;=8,"ALTA",IF(J1332&gt;=6,"MEDIA","BAJA")))</f>
        <v/>
      </c>
      <c r="L1332">
        <f>IF(INVENTARIO!Y1332="","",INVENTARIO!Y1332)</f>
        <v/>
      </c>
      <c r="M1332">
        <f>IF(INVENTARIO!Z1332="","",INVENTARIO!Z1332)</f>
        <v/>
      </c>
      <c r="N1332">
        <f>IF(INVENTARIO!AA1332="","",INVENTARIO!AA1332)</f>
        <v/>
      </c>
      <c r="O1332">
        <f>IF(INVENTARIO!AB1332="","",INVENTARIO!AB1332)</f>
        <v/>
      </c>
      <c r="P1332">
        <f>IF(INVENTARIO!AC1332="","",INVENTARIO!AC1332)</f>
        <v/>
      </c>
      <c r="Q1332">
        <f>IF(AND(K1332="",N1332="",L1332=""),"",IF(AND((K1332="ALTA"),OR(LEFT(N1332,2)="L0",LEFT(N1332,2)="L1",L1332="No Iniciado")),"CRÍTICO - Incumplimiento Normativo SEPS",IF(AND(OR(LEFT(N1332,2)="L4",LEFT(N1332,2)="L5"),AND(P1332&lt;&gt;"",P1332&lt;&gt;"N/A")),"CONFORME - Control Efectivo ISO 27001","OBSERVACIÓN - Revisar Controles")))</f>
        <v/>
      </c>
    </row>
    <row r="1333">
      <c r="A1333">
        <f>IF(INVENTARIO!A1333="","",INVENTARIO!A1333)</f>
        <v/>
      </c>
      <c r="B1333">
        <f>IF(INVENTARIO!E1333="","",INVENTARIO!E1333)</f>
        <v/>
      </c>
      <c r="C1333">
        <f>IF(INVENTARIO!F1333="","",INVENTARIO!F1333)</f>
        <v/>
      </c>
      <c r="D1333">
        <f>IF(INVENTARIO!H1333="","",INVENTARIO!H1333)</f>
        <v/>
      </c>
      <c r="E1333">
        <f>IF(INVENTARIO!I1333="","",INVENTARIO!I1333)</f>
        <v/>
      </c>
      <c r="F1333">
        <f>IF(INVENTARIO!N1333="","",INVENTARIO!N1333)</f>
        <v/>
      </c>
      <c r="G1333">
        <f>IF(INVENTARIO!P1333="","",INVENTARIO!P1333)</f>
        <v/>
      </c>
      <c r="H1333">
        <f>IF(INVENTARIO!Q1333="","",INVENTARIO!Q1333)</f>
        <v/>
      </c>
      <c r="I1333">
        <f>IF(INVENTARIO!R1333="","",INVENTARIO!R1333)</f>
        <v/>
      </c>
      <c r="J1333">
        <f>IF(G1333="PUBLICA(1)",1,IF(G1333="USO INTERNO(2)",2,IF(G1333="RESTRINGIDO(3)",3,0)))+IF(H1333="BAJA(1)",1,IF(H1333="MEDIA(2)",2,IF(H1333="ALTA(3)",3,0)))+IF(I1333="BAJA(1)",1,IF(I1333="MEDIA(2)",2,IF(I1333="ALTA(3)",3,0)))</f>
        <v/>
      </c>
      <c r="K1333">
        <f>IF(J1333="", "", IF(J1333&gt;=8,"ALTA",IF(J1333&gt;=6,"MEDIA","BAJA")))</f>
        <v/>
      </c>
      <c r="L1333">
        <f>IF(INVENTARIO!Y1333="","",INVENTARIO!Y1333)</f>
        <v/>
      </c>
      <c r="M1333">
        <f>IF(INVENTARIO!Z1333="","",INVENTARIO!Z1333)</f>
        <v/>
      </c>
      <c r="N1333">
        <f>IF(INVENTARIO!AA1333="","",INVENTARIO!AA1333)</f>
        <v/>
      </c>
      <c r="O1333">
        <f>IF(INVENTARIO!AB1333="","",INVENTARIO!AB1333)</f>
        <v/>
      </c>
      <c r="P1333">
        <f>IF(INVENTARIO!AC1333="","",INVENTARIO!AC1333)</f>
        <v/>
      </c>
      <c r="Q1333">
        <f>IF(AND(K1333="",N1333="",L1333=""),"",IF(AND((K1333="ALTA"),OR(LEFT(N1333,2)="L0",LEFT(N1333,2)="L1",L1333="No Iniciado")),"CRÍTICO - Incumplimiento Normativo SEPS",IF(AND(OR(LEFT(N1333,2)="L4",LEFT(N1333,2)="L5"),AND(P1333&lt;&gt;"",P1333&lt;&gt;"N/A")),"CONFORME - Control Efectivo ISO 27001","OBSERVACIÓN - Revisar Controles")))</f>
        <v/>
      </c>
    </row>
    <row r="1334">
      <c r="A1334">
        <f>IF(INVENTARIO!A1334="","",INVENTARIO!A1334)</f>
        <v/>
      </c>
      <c r="B1334">
        <f>IF(INVENTARIO!E1334="","",INVENTARIO!E1334)</f>
        <v/>
      </c>
      <c r="C1334">
        <f>IF(INVENTARIO!F1334="","",INVENTARIO!F1334)</f>
        <v/>
      </c>
      <c r="D1334">
        <f>IF(INVENTARIO!H1334="","",INVENTARIO!H1334)</f>
        <v/>
      </c>
      <c r="E1334">
        <f>IF(INVENTARIO!I1334="","",INVENTARIO!I1334)</f>
        <v/>
      </c>
      <c r="F1334">
        <f>IF(INVENTARIO!N1334="","",INVENTARIO!N1334)</f>
        <v/>
      </c>
      <c r="G1334">
        <f>IF(INVENTARIO!P1334="","",INVENTARIO!P1334)</f>
        <v/>
      </c>
      <c r="H1334">
        <f>IF(INVENTARIO!Q1334="","",INVENTARIO!Q1334)</f>
        <v/>
      </c>
      <c r="I1334">
        <f>IF(INVENTARIO!R1334="","",INVENTARIO!R1334)</f>
        <v/>
      </c>
      <c r="J1334">
        <f>IF(G1334="PUBLICA(1)",1,IF(G1334="USO INTERNO(2)",2,IF(G1334="RESTRINGIDO(3)",3,0)))+IF(H1334="BAJA(1)",1,IF(H1334="MEDIA(2)",2,IF(H1334="ALTA(3)",3,0)))+IF(I1334="BAJA(1)",1,IF(I1334="MEDIA(2)",2,IF(I1334="ALTA(3)",3,0)))</f>
        <v/>
      </c>
      <c r="K1334">
        <f>IF(J1334="", "", IF(J1334&gt;=8,"ALTA",IF(J1334&gt;=6,"MEDIA","BAJA")))</f>
        <v/>
      </c>
      <c r="L1334">
        <f>IF(INVENTARIO!Y1334="","",INVENTARIO!Y1334)</f>
        <v/>
      </c>
      <c r="M1334">
        <f>IF(INVENTARIO!Z1334="","",INVENTARIO!Z1334)</f>
        <v/>
      </c>
      <c r="N1334">
        <f>IF(INVENTARIO!AA1334="","",INVENTARIO!AA1334)</f>
        <v/>
      </c>
      <c r="O1334">
        <f>IF(INVENTARIO!AB1334="","",INVENTARIO!AB1334)</f>
        <v/>
      </c>
      <c r="P1334">
        <f>IF(INVENTARIO!AC1334="","",INVENTARIO!AC1334)</f>
        <v/>
      </c>
      <c r="Q1334">
        <f>IF(AND(K1334="",N1334="",L1334=""),"",IF(AND((K1334="ALTA"),OR(LEFT(N1334,2)="L0",LEFT(N1334,2)="L1",L1334="No Iniciado")),"CRÍTICO - Incumplimiento Normativo SEPS",IF(AND(OR(LEFT(N1334,2)="L4",LEFT(N1334,2)="L5"),AND(P1334&lt;&gt;"",P1334&lt;&gt;"N/A")),"CONFORME - Control Efectivo ISO 27001","OBSERVACIÓN - Revisar Controles")))</f>
        <v/>
      </c>
    </row>
    <row r="1335">
      <c r="A1335">
        <f>IF(INVENTARIO!A1335="","",INVENTARIO!A1335)</f>
        <v/>
      </c>
      <c r="B1335">
        <f>IF(INVENTARIO!E1335="","",INVENTARIO!E1335)</f>
        <v/>
      </c>
      <c r="C1335">
        <f>IF(INVENTARIO!F1335="","",INVENTARIO!F1335)</f>
        <v/>
      </c>
      <c r="D1335">
        <f>IF(INVENTARIO!H1335="","",INVENTARIO!H1335)</f>
        <v/>
      </c>
      <c r="E1335">
        <f>IF(INVENTARIO!I1335="","",INVENTARIO!I1335)</f>
        <v/>
      </c>
      <c r="F1335">
        <f>IF(INVENTARIO!N1335="","",INVENTARIO!N1335)</f>
        <v/>
      </c>
      <c r="G1335">
        <f>IF(INVENTARIO!P1335="","",INVENTARIO!P1335)</f>
        <v/>
      </c>
      <c r="H1335">
        <f>IF(INVENTARIO!Q1335="","",INVENTARIO!Q1335)</f>
        <v/>
      </c>
      <c r="I1335">
        <f>IF(INVENTARIO!R1335="","",INVENTARIO!R1335)</f>
        <v/>
      </c>
      <c r="J1335">
        <f>IF(G1335="PUBLICA(1)",1,IF(G1335="USO INTERNO(2)",2,IF(G1335="RESTRINGIDO(3)",3,0)))+IF(H1335="BAJA(1)",1,IF(H1335="MEDIA(2)",2,IF(H1335="ALTA(3)",3,0)))+IF(I1335="BAJA(1)",1,IF(I1335="MEDIA(2)",2,IF(I1335="ALTA(3)",3,0)))</f>
        <v/>
      </c>
      <c r="K1335">
        <f>IF(J1335="", "", IF(J1335&gt;=8,"ALTA",IF(J1335&gt;=6,"MEDIA","BAJA")))</f>
        <v/>
      </c>
      <c r="L1335">
        <f>IF(INVENTARIO!Y1335="","",INVENTARIO!Y1335)</f>
        <v/>
      </c>
      <c r="M1335">
        <f>IF(INVENTARIO!Z1335="","",INVENTARIO!Z1335)</f>
        <v/>
      </c>
      <c r="N1335">
        <f>IF(INVENTARIO!AA1335="","",INVENTARIO!AA1335)</f>
        <v/>
      </c>
      <c r="O1335">
        <f>IF(INVENTARIO!AB1335="","",INVENTARIO!AB1335)</f>
        <v/>
      </c>
      <c r="P1335">
        <f>IF(INVENTARIO!AC1335="","",INVENTARIO!AC1335)</f>
        <v/>
      </c>
      <c r="Q1335">
        <f>IF(AND(K1335="",N1335="",L1335=""),"",IF(AND((K1335="ALTA"),OR(LEFT(N1335,2)="L0",LEFT(N1335,2)="L1",L1335="No Iniciado")),"CRÍTICO - Incumplimiento Normativo SEPS",IF(AND(OR(LEFT(N1335,2)="L4",LEFT(N1335,2)="L5"),AND(P1335&lt;&gt;"",P1335&lt;&gt;"N/A")),"CONFORME - Control Efectivo ISO 27001","OBSERVACIÓN - Revisar Controles")))</f>
        <v/>
      </c>
    </row>
    <row r="1336">
      <c r="A1336">
        <f>IF(INVENTARIO!A1336="","",INVENTARIO!A1336)</f>
        <v/>
      </c>
      <c r="B1336">
        <f>IF(INVENTARIO!E1336="","",INVENTARIO!E1336)</f>
        <v/>
      </c>
      <c r="C1336">
        <f>IF(INVENTARIO!F1336="","",INVENTARIO!F1336)</f>
        <v/>
      </c>
      <c r="D1336">
        <f>IF(INVENTARIO!H1336="","",INVENTARIO!H1336)</f>
        <v/>
      </c>
      <c r="E1336">
        <f>IF(INVENTARIO!I1336="","",INVENTARIO!I1336)</f>
        <v/>
      </c>
      <c r="F1336">
        <f>IF(INVENTARIO!N1336="","",INVENTARIO!N1336)</f>
        <v/>
      </c>
      <c r="G1336">
        <f>IF(INVENTARIO!P1336="","",INVENTARIO!P1336)</f>
        <v/>
      </c>
      <c r="H1336">
        <f>IF(INVENTARIO!Q1336="","",INVENTARIO!Q1336)</f>
        <v/>
      </c>
      <c r="I1336">
        <f>IF(INVENTARIO!R1336="","",INVENTARIO!R1336)</f>
        <v/>
      </c>
      <c r="J1336">
        <f>IF(G1336="PUBLICA(1)",1,IF(G1336="USO INTERNO(2)",2,IF(G1336="RESTRINGIDO(3)",3,0)))+IF(H1336="BAJA(1)",1,IF(H1336="MEDIA(2)",2,IF(H1336="ALTA(3)",3,0)))+IF(I1336="BAJA(1)",1,IF(I1336="MEDIA(2)",2,IF(I1336="ALTA(3)",3,0)))</f>
        <v/>
      </c>
      <c r="K1336">
        <f>IF(J1336="", "", IF(J1336&gt;=8,"ALTA",IF(J1336&gt;=6,"MEDIA","BAJA")))</f>
        <v/>
      </c>
      <c r="L1336">
        <f>IF(INVENTARIO!Y1336="","",INVENTARIO!Y1336)</f>
        <v/>
      </c>
      <c r="M1336">
        <f>IF(INVENTARIO!Z1336="","",INVENTARIO!Z1336)</f>
        <v/>
      </c>
      <c r="N1336">
        <f>IF(INVENTARIO!AA1336="","",INVENTARIO!AA1336)</f>
        <v/>
      </c>
      <c r="O1336">
        <f>IF(INVENTARIO!AB1336="","",INVENTARIO!AB1336)</f>
        <v/>
      </c>
      <c r="P1336">
        <f>IF(INVENTARIO!AC1336="","",INVENTARIO!AC1336)</f>
        <v/>
      </c>
      <c r="Q1336">
        <f>IF(AND(K1336="",N1336="",L1336=""),"",IF(AND((K1336="ALTA"),OR(LEFT(N1336,2)="L0",LEFT(N1336,2)="L1",L1336="No Iniciado")),"CRÍTICO - Incumplimiento Normativo SEPS",IF(AND(OR(LEFT(N1336,2)="L4",LEFT(N1336,2)="L5"),AND(P1336&lt;&gt;"",P1336&lt;&gt;"N/A")),"CONFORME - Control Efectivo ISO 27001","OBSERVACIÓN - Revisar Controles")))</f>
        <v/>
      </c>
    </row>
    <row r="1337">
      <c r="A1337">
        <f>IF(INVENTARIO!A1337="","",INVENTARIO!A1337)</f>
        <v/>
      </c>
      <c r="B1337">
        <f>IF(INVENTARIO!E1337="","",INVENTARIO!E1337)</f>
        <v/>
      </c>
      <c r="C1337">
        <f>IF(INVENTARIO!F1337="","",INVENTARIO!F1337)</f>
        <v/>
      </c>
      <c r="D1337">
        <f>IF(INVENTARIO!H1337="","",INVENTARIO!H1337)</f>
        <v/>
      </c>
      <c r="E1337">
        <f>IF(INVENTARIO!I1337="","",INVENTARIO!I1337)</f>
        <v/>
      </c>
      <c r="F1337">
        <f>IF(INVENTARIO!N1337="","",INVENTARIO!N1337)</f>
        <v/>
      </c>
      <c r="G1337">
        <f>IF(INVENTARIO!P1337="","",INVENTARIO!P1337)</f>
        <v/>
      </c>
      <c r="H1337">
        <f>IF(INVENTARIO!Q1337="","",INVENTARIO!Q1337)</f>
        <v/>
      </c>
      <c r="I1337">
        <f>IF(INVENTARIO!R1337="","",INVENTARIO!R1337)</f>
        <v/>
      </c>
      <c r="J1337">
        <f>IF(G1337="PUBLICA(1)",1,IF(G1337="USO INTERNO(2)",2,IF(G1337="RESTRINGIDO(3)",3,0)))+IF(H1337="BAJA(1)",1,IF(H1337="MEDIA(2)",2,IF(H1337="ALTA(3)",3,0)))+IF(I1337="BAJA(1)",1,IF(I1337="MEDIA(2)",2,IF(I1337="ALTA(3)",3,0)))</f>
        <v/>
      </c>
      <c r="K1337">
        <f>IF(J1337="", "", IF(J1337&gt;=8,"ALTA",IF(J1337&gt;=6,"MEDIA","BAJA")))</f>
        <v/>
      </c>
      <c r="L1337">
        <f>IF(INVENTARIO!Y1337="","",INVENTARIO!Y1337)</f>
        <v/>
      </c>
      <c r="M1337">
        <f>IF(INVENTARIO!Z1337="","",INVENTARIO!Z1337)</f>
        <v/>
      </c>
      <c r="N1337">
        <f>IF(INVENTARIO!AA1337="","",INVENTARIO!AA1337)</f>
        <v/>
      </c>
      <c r="O1337">
        <f>IF(INVENTARIO!AB1337="","",INVENTARIO!AB1337)</f>
        <v/>
      </c>
      <c r="P1337">
        <f>IF(INVENTARIO!AC1337="","",INVENTARIO!AC1337)</f>
        <v/>
      </c>
      <c r="Q1337">
        <f>IF(AND(K1337="",N1337="",L1337=""),"",IF(AND((K1337="ALTA"),OR(LEFT(N1337,2)="L0",LEFT(N1337,2)="L1",L1337="No Iniciado")),"CRÍTICO - Incumplimiento Normativo SEPS",IF(AND(OR(LEFT(N1337,2)="L4",LEFT(N1337,2)="L5"),AND(P1337&lt;&gt;"",P1337&lt;&gt;"N/A")),"CONFORME - Control Efectivo ISO 27001","OBSERVACIÓN - Revisar Controles")))</f>
        <v/>
      </c>
    </row>
    <row r="1338">
      <c r="A1338">
        <f>IF(INVENTARIO!A1338="","",INVENTARIO!A1338)</f>
        <v/>
      </c>
      <c r="B1338">
        <f>IF(INVENTARIO!E1338="","",INVENTARIO!E1338)</f>
        <v/>
      </c>
      <c r="C1338">
        <f>IF(INVENTARIO!F1338="","",INVENTARIO!F1338)</f>
        <v/>
      </c>
      <c r="D1338">
        <f>IF(INVENTARIO!H1338="","",INVENTARIO!H1338)</f>
        <v/>
      </c>
      <c r="E1338">
        <f>IF(INVENTARIO!I1338="","",INVENTARIO!I1338)</f>
        <v/>
      </c>
      <c r="F1338">
        <f>IF(INVENTARIO!N1338="","",INVENTARIO!N1338)</f>
        <v/>
      </c>
      <c r="G1338">
        <f>IF(INVENTARIO!P1338="","",INVENTARIO!P1338)</f>
        <v/>
      </c>
      <c r="H1338">
        <f>IF(INVENTARIO!Q1338="","",INVENTARIO!Q1338)</f>
        <v/>
      </c>
      <c r="I1338">
        <f>IF(INVENTARIO!R1338="","",INVENTARIO!R1338)</f>
        <v/>
      </c>
      <c r="J1338">
        <f>IF(G1338="PUBLICA(1)",1,IF(G1338="USO INTERNO(2)",2,IF(G1338="RESTRINGIDO(3)",3,0)))+IF(H1338="BAJA(1)",1,IF(H1338="MEDIA(2)",2,IF(H1338="ALTA(3)",3,0)))+IF(I1338="BAJA(1)",1,IF(I1338="MEDIA(2)",2,IF(I1338="ALTA(3)",3,0)))</f>
        <v/>
      </c>
      <c r="K1338">
        <f>IF(J1338="", "", IF(J1338&gt;=8,"ALTA",IF(J1338&gt;=6,"MEDIA","BAJA")))</f>
        <v/>
      </c>
      <c r="L1338">
        <f>IF(INVENTARIO!Y1338="","",INVENTARIO!Y1338)</f>
        <v/>
      </c>
      <c r="M1338">
        <f>IF(INVENTARIO!Z1338="","",INVENTARIO!Z1338)</f>
        <v/>
      </c>
      <c r="N1338">
        <f>IF(INVENTARIO!AA1338="","",INVENTARIO!AA1338)</f>
        <v/>
      </c>
      <c r="O1338">
        <f>IF(INVENTARIO!AB1338="","",INVENTARIO!AB1338)</f>
        <v/>
      </c>
      <c r="P1338">
        <f>IF(INVENTARIO!AC1338="","",INVENTARIO!AC1338)</f>
        <v/>
      </c>
      <c r="Q1338">
        <f>IF(AND(K1338="",N1338="",L1338=""),"",IF(AND((K1338="ALTA"),OR(LEFT(N1338,2)="L0",LEFT(N1338,2)="L1",L1338="No Iniciado")),"CRÍTICO - Incumplimiento Normativo SEPS",IF(AND(OR(LEFT(N1338,2)="L4",LEFT(N1338,2)="L5"),AND(P1338&lt;&gt;"",P1338&lt;&gt;"N/A")),"CONFORME - Control Efectivo ISO 27001","OBSERVACIÓN - Revisar Controles")))</f>
        <v/>
      </c>
    </row>
    <row r="1339">
      <c r="A1339">
        <f>IF(INVENTARIO!A1339="","",INVENTARIO!A1339)</f>
        <v/>
      </c>
      <c r="B1339">
        <f>IF(INVENTARIO!E1339="","",INVENTARIO!E1339)</f>
        <v/>
      </c>
      <c r="C1339">
        <f>IF(INVENTARIO!F1339="","",INVENTARIO!F1339)</f>
        <v/>
      </c>
      <c r="D1339">
        <f>IF(INVENTARIO!H1339="","",INVENTARIO!H1339)</f>
        <v/>
      </c>
      <c r="E1339">
        <f>IF(INVENTARIO!I1339="","",INVENTARIO!I1339)</f>
        <v/>
      </c>
      <c r="F1339">
        <f>IF(INVENTARIO!N1339="","",INVENTARIO!N1339)</f>
        <v/>
      </c>
      <c r="G1339">
        <f>IF(INVENTARIO!P1339="","",INVENTARIO!P1339)</f>
        <v/>
      </c>
      <c r="H1339">
        <f>IF(INVENTARIO!Q1339="","",INVENTARIO!Q1339)</f>
        <v/>
      </c>
      <c r="I1339">
        <f>IF(INVENTARIO!R1339="","",INVENTARIO!R1339)</f>
        <v/>
      </c>
      <c r="J1339">
        <f>IF(G1339="PUBLICA(1)",1,IF(G1339="USO INTERNO(2)",2,IF(G1339="RESTRINGIDO(3)",3,0)))+IF(H1339="BAJA(1)",1,IF(H1339="MEDIA(2)",2,IF(H1339="ALTA(3)",3,0)))+IF(I1339="BAJA(1)",1,IF(I1339="MEDIA(2)",2,IF(I1339="ALTA(3)",3,0)))</f>
        <v/>
      </c>
      <c r="K1339">
        <f>IF(J1339="", "", IF(J1339&gt;=8,"ALTA",IF(J1339&gt;=6,"MEDIA","BAJA")))</f>
        <v/>
      </c>
      <c r="L1339">
        <f>IF(INVENTARIO!Y1339="","",INVENTARIO!Y1339)</f>
        <v/>
      </c>
      <c r="M1339">
        <f>IF(INVENTARIO!Z1339="","",INVENTARIO!Z1339)</f>
        <v/>
      </c>
      <c r="N1339">
        <f>IF(INVENTARIO!AA1339="","",INVENTARIO!AA1339)</f>
        <v/>
      </c>
      <c r="O1339">
        <f>IF(INVENTARIO!AB1339="","",INVENTARIO!AB1339)</f>
        <v/>
      </c>
      <c r="P1339">
        <f>IF(INVENTARIO!AC1339="","",INVENTARIO!AC1339)</f>
        <v/>
      </c>
      <c r="Q1339">
        <f>IF(AND(K1339="",N1339="",L1339=""),"",IF(AND((K1339="ALTA"),OR(LEFT(N1339,2)="L0",LEFT(N1339,2)="L1",L1339="No Iniciado")),"CRÍTICO - Incumplimiento Normativo SEPS",IF(AND(OR(LEFT(N1339,2)="L4",LEFT(N1339,2)="L5"),AND(P1339&lt;&gt;"",P1339&lt;&gt;"N/A")),"CONFORME - Control Efectivo ISO 27001","OBSERVACIÓN - Revisar Controles")))</f>
        <v/>
      </c>
    </row>
    <row r="1340">
      <c r="A1340">
        <f>IF(INVENTARIO!A1340="","",INVENTARIO!A1340)</f>
        <v/>
      </c>
      <c r="B1340">
        <f>IF(INVENTARIO!E1340="","",INVENTARIO!E1340)</f>
        <v/>
      </c>
      <c r="C1340">
        <f>IF(INVENTARIO!F1340="","",INVENTARIO!F1340)</f>
        <v/>
      </c>
      <c r="D1340">
        <f>IF(INVENTARIO!H1340="","",INVENTARIO!H1340)</f>
        <v/>
      </c>
      <c r="E1340">
        <f>IF(INVENTARIO!I1340="","",INVENTARIO!I1340)</f>
        <v/>
      </c>
      <c r="F1340">
        <f>IF(INVENTARIO!N1340="","",INVENTARIO!N1340)</f>
        <v/>
      </c>
      <c r="G1340">
        <f>IF(INVENTARIO!P1340="","",INVENTARIO!P1340)</f>
        <v/>
      </c>
      <c r="H1340">
        <f>IF(INVENTARIO!Q1340="","",INVENTARIO!Q1340)</f>
        <v/>
      </c>
      <c r="I1340">
        <f>IF(INVENTARIO!R1340="","",INVENTARIO!R1340)</f>
        <v/>
      </c>
      <c r="J1340">
        <f>IF(G1340="PUBLICA(1)",1,IF(G1340="USO INTERNO(2)",2,IF(G1340="RESTRINGIDO(3)",3,0)))+IF(H1340="BAJA(1)",1,IF(H1340="MEDIA(2)",2,IF(H1340="ALTA(3)",3,0)))+IF(I1340="BAJA(1)",1,IF(I1340="MEDIA(2)",2,IF(I1340="ALTA(3)",3,0)))</f>
        <v/>
      </c>
      <c r="K1340">
        <f>IF(J1340="", "", IF(J1340&gt;=8,"ALTA",IF(J1340&gt;=6,"MEDIA","BAJA")))</f>
        <v/>
      </c>
      <c r="L1340">
        <f>IF(INVENTARIO!Y1340="","",INVENTARIO!Y1340)</f>
        <v/>
      </c>
      <c r="M1340">
        <f>IF(INVENTARIO!Z1340="","",INVENTARIO!Z1340)</f>
        <v/>
      </c>
      <c r="N1340">
        <f>IF(INVENTARIO!AA1340="","",INVENTARIO!AA1340)</f>
        <v/>
      </c>
      <c r="O1340">
        <f>IF(INVENTARIO!AB1340="","",INVENTARIO!AB1340)</f>
        <v/>
      </c>
      <c r="P1340">
        <f>IF(INVENTARIO!AC1340="","",INVENTARIO!AC1340)</f>
        <v/>
      </c>
      <c r="Q1340">
        <f>IF(AND(K1340="",N1340="",L1340=""),"",IF(AND((K1340="ALTA"),OR(LEFT(N1340,2)="L0",LEFT(N1340,2)="L1",L1340="No Iniciado")),"CRÍTICO - Incumplimiento Normativo SEPS",IF(AND(OR(LEFT(N1340,2)="L4",LEFT(N1340,2)="L5"),AND(P1340&lt;&gt;"",P1340&lt;&gt;"N/A")),"CONFORME - Control Efectivo ISO 27001","OBSERVACIÓN - Revisar Controles")))</f>
        <v/>
      </c>
    </row>
    <row r="1341">
      <c r="A1341">
        <f>IF(INVENTARIO!A1341="","",INVENTARIO!A1341)</f>
        <v/>
      </c>
      <c r="B1341">
        <f>IF(INVENTARIO!E1341="","",INVENTARIO!E1341)</f>
        <v/>
      </c>
      <c r="C1341">
        <f>IF(INVENTARIO!F1341="","",INVENTARIO!F1341)</f>
        <v/>
      </c>
      <c r="D1341">
        <f>IF(INVENTARIO!H1341="","",INVENTARIO!H1341)</f>
        <v/>
      </c>
      <c r="E1341">
        <f>IF(INVENTARIO!I1341="","",INVENTARIO!I1341)</f>
        <v/>
      </c>
      <c r="F1341">
        <f>IF(INVENTARIO!N1341="","",INVENTARIO!N1341)</f>
        <v/>
      </c>
      <c r="G1341">
        <f>IF(INVENTARIO!P1341="","",INVENTARIO!P1341)</f>
        <v/>
      </c>
      <c r="H1341">
        <f>IF(INVENTARIO!Q1341="","",INVENTARIO!Q1341)</f>
        <v/>
      </c>
      <c r="I1341">
        <f>IF(INVENTARIO!R1341="","",INVENTARIO!R1341)</f>
        <v/>
      </c>
      <c r="J1341">
        <f>IF(G1341="PUBLICA(1)",1,IF(G1341="USO INTERNO(2)",2,IF(G1341="RESTRINGIDO(3)",3,0)))+IF(H1341="BAJA(1)",1,IF(H1341="MEDIA(2)",2,IF(H1341="ALTA(3)",3,0)))+IF(I1341="BAJA(1)",1,IF(I1341="MEDIA(2)",2,IF(I1341="ALTA(3)",3,0)))</f>
        <v/>
      </c>
      <c r="K1341">
        <f>IF(J1341="", "", IF(J1341&gt;=8,"ALTA",IF(J1341&gt;=6,"MEDIA","BAJA")))</f>
        <v/>
      </c>
      <c r="L1341">
        <f>IF(INVENTARIO!Y1341="","",INVENTARIO!Y1341)</f>
        <v/>
      </c>
      <c r="M1341">
        <f>IF(INVENTARIO!Z1341="","",INVENTARIO!Z1341)</f>
        <v/>
      </c>
      <c r="N1341">
        <f>IF(INVENTARIO!AA1341="","",INVENTARIO!AA1341)</f>
        <v/>
      </c>
      <c r="O1341">
        <f>IF(INVENTARIO!AB1341="","",INVENTARIO!AB1341)</f>
        <v/>
      </c>
      <c r="P1341">
        <f>IF(INVENTARIO!AC1341="","",INVENTARIO!AC1341)</f>
        <v/>
      </c>
      <c r="Q1341">
        <f>IF(AND(K1341="",N1341="",L1341=""),"",IF(AND((K1341="ALTA"),OR(LEFT(N1341,2)="L0",LEFT(N1341,2)="L1",L1341="No Iniciado")),"CRÍTICO - Incumplimiento Normativo SEPS",IF(AND(OR(LEFT(N1341,2)="L4",LEFT(N1341,2)="L5"),AND(P1341&lt;&gt;"",P1341&lt;&gt;"N/A")),"CONFORME - Control Efectivo ISO 27001","OBSERVACIÓN - Revisar Controles")))</f>
        <v/>
      </c>
    </row>
    <row r="1342">
      <c r="A1342">
        <f>IF(INVENTARIO!A1342="","",INVENTARIO!A1342)</f>
        <v/>
      </c>
      <c r="B1342">
        <f>IF(INVENTARIO!E1342="","",INVENTARIO!E1342)</f>
        <v/>
      </c>
      <c r="C1342">
        <f>IF(INVENTARIO!F1342="","",INVENTARIO!F1342)</f>
        <v/>
      </c>
      <c r="D1342">
        <f>IF(INVENTARIO!H1342="","",INVENTARIO!H1342)</f>
        <v/>
      </c>
      <c r="E1342">
        <f>IF(INVENTARIO!I1342="","",INVENTARIO!I1342)</f>
        <v/>
      </c>
      <c r="F1342">
        <f>IF(INVENTARIO!N1342="","",INVENTARIO!N1342)</f>
        <v/>
      </c>
      <c r="G1342">
        <f>IF(INVENTARIO!P1342="","",INVENTARIO!P1342)</f>
        <v/>
      </c>
      <c r="H1342">
        <f>IF(INVENTARIO!Q1342="","",INVENTARIO!Q1342)</f>
        <v/>
      </c>
      <c r="I1342">
        <f>IF(INVENTARIO!R1342="","",INVENTARIO!R1342)</f>
        <v/>
      </c>
      <c r="J1342">
        <f>IF(G1342="PUBLICA(1)",1,IF(G1342="USO INTERNO(2)",2,IF(G1342="RESTRINGIDO(3)",3,0)))+IF(H1342="BAJA(1)",1,IF(H1342="MEDIA(2)",2,IF(H1342="ALTA(3)",3,0)))+IF(I1342="BAJA(1)",1,IF(I1342="MEDIA(2)",2,IF(I1342="ALTA(3)",3,0)))</f>
        <v/>
      </c>
      <c r="K1342">
        <f>IF(J1342="", "", IF(J1342&gt;=8,"ALTA",IF(J1342&gt;=6,"MEDIA","BAJA")))</f>
        <v/>
      </c>
      <c r="L1342">
        <f>IF(INVENTARIO!Y1342="","",INVENTARIO!Y1342)</f>
        <v/>
      </c>
      <c r="M1342">
        <f>IF(INVENTARIO!Z1342="","",INVENTARIO!Z1342)</f>
        <v/>
      </c>
      <c r="N1342">
        <f>IF(INVENTARIO!AA1342="","",INVENTARIO!AA1342)</f>
        <v/>
      </c>
      <c r="O1342">
        <f>IF(INVENTARIO!AB1342="","",INVENTARIO!AB1342)</f>
        <v/>
      </c>
      <c r="P1342">
        <f>IF(INVENTARIO!AC1342="","",INVENTARIO!AC1342)</f>
        <v/>
      </c>
      <c r="Q1342">
        <f>IF(AND(K1342="",N1342="",L1342=""),"",IF(AND((K1342="ALTA"),OR(LEFT(N1342,2)="L0",LEFT(N1342,2)="L1",L1342="No Iniciado")),"CRÍTICO - Incumplimiento Normativo SEPS",IF(AND(OR(LEFT(N1342,2)="L4",LEFT(N1342,2)="L5"),AND(P1342&lt;&gt;"",P1342&lt;&gt;"N/A")),"CONFORME - Control Efectivo ISO 27001","OBSERVACIÓN - Revisar Controles")))</f>
        <v/>
      </c>
    </row>
    <row r="1343">
      <c r="A1343">
        <f>IF(INVENTARIO!A1343="","",INVENTARIO!A1343)</f>
        <v/>
      </c>
      <c r="B1343">
        <f>IF(INVENTARIO!E1343="","",INVENTARIO!E1343)</f>
        <v/>
      </c>
      <c r="C1343">
        <f>IF(INVENTARIO!F1343="","",INVENTARIO!F1343)</f>
        <v/>
      </c>
      <c r="D1343">
        <f>IF(INVENTARIO!H1343="","",INVENTARIO!H1343)</f>
        <v/>
      </c>
      <c r="E1343">
        <f>IF(INVENTARIO!I1343="","",INVENTARIO!I1343)</f>
        <v/>
      </c>
      <c r="F1343">
        <f>IF(INVENTARIO!N1343="","",INVENTARIO!N1343)</f>
        <v/>
      </c>
      <c r="G1343">
        <f>IF(INVENTARIO!P1343="","",INVENTARIO!P1343)</f>
        <v/>
      </c>
      <c r="H1343">
        <f>IF(INVENTARIO!Q1343="","",INVENTARIO!Q1343)</f>
        <v/>
      </c>
      <c r="I1343">
        <f>IF(INVENTARIO!R1343="","",INVENTARIO!R1343)</f>
        <v/>
      </c>
      <c r="J1343">
        <f>IF(G1343="PUBLICA(1)",1,IF(G1343="USO INTERNO(2)",2,IF(G1343="RESTRINGIDO(3)",3,0)))+IF(H1343="BAJA(1)",1,IF(H1343="MEDIA(2)",2,IF(H1343="ALTA(3)",3,0)))+IF(I1343="BAJA(1)",1,IF(I1343="MEDIA(2)",2,IF(I1343="ALTA(3)",3,0)))</f>
        <v/>
      </c>
      <c r="K1343">
        <f>IF(J1343="", "", IF(J1343&gt;=8,"ALTA",IF(J1343&gt;=6,"MEDIA","BAJA")))</f>
        <v/>
      </c>
      <c r="L1343">
        <f>IF(INVENTARIO!Y1343="","",INVENTARIO!Y1343)</f>
        <v/>
      </c>
      <c r="M1343">
        <f>IF(INVENTARIO!Z1343="","",INVENTARIO!Z1343)</f>
        <v/>
      </c>
      <c r="N1343">
        <f>IF(INVENTARIO!AA1343="","",INVENTARIO!AA1343)</f>
        <v/>
      </c>
      <c r="O1343">
        <f>IF(INVENTARIO!AB1343="","",INVENTARIO!AB1343)</f>
        <v/>
      </c>
      <c r="P1343">
        <f>IF(INVENTARIO!AC1343="","",INVENTARIO!AC1343)</f>
        <v/>
      </c>
      <c r="Q1343">
        <f>IF(AND(K1343="",N1343="",L1343=""),"",IF(AND((K1343="ALTA"),OR(LEFT(N1343,2)="L0",LEFT(N1343,2)="L1",L1343="No Iniciado")),"CRÍTICO - Incumplimiento Normativo SEPS",IF(AND(OR(LEFT(N1343,2)="L4",LEFT(N1343,2)="L5"),AND(P1343&lt;&gt;"",P1343&lt;&gt;"N/A")),"CONFORME - Control Efectivo ISO 27001","OBSERVACIÓN - Revisar Controles")))</f>
        <v/>
      </c>
    </row>
    <row r="1344">
      <c r="A1344">
        <f>IF(INVENTARIO!A1344="","",INVENTARIO!A1344)</f>
        <v/>
      </c>
      <c r="B1344">
        <f>IF(INVENTARIO!E1344="","",INVENTARIO!E1344)</f>
        <v/>
      </c>
      <c r="C1344">
        <f>IF(INVENTARIO!F1344="","",INVENTARIO!F1344)</f>
        <v/>
      </c>
      <c r="D1344">
        <f>IF(INVENTARIO!H1344="","",INVENTARIO!H1344)</f>
        <v/>
      </c>
      <c r="E1344">
        <f>IF(INVENTARIO!I1344="","",INVENTARIO!I1344)</f>
        <v/>
      </c>
      <c r="F1344">
        <f>IF(INVENTARIO!N1344="","",INVENTARIO!N1344)</f>
        <v/>
      </c>
      <c r="G1344">
        <f>IF(INVENTARIO!P1344="","",INVENTARIO!P1344)</f>
        <v/>
      </c>
      <c r="H1344">
        <f>IF(INVENTARIO!Q1344="","",INVENTARIO!Q1344)</f>
        <v/>
      </c>
      <c r="I1344">
        <f>IF(INVENTARIO!R1344="","",INVENTARIO!R1344)</f>
        <v/>
      </c>
      <c r="J1344">
        <f>IF(G1344="PUBLICA(1)",1,IF(G1344="USO INTERNO(2)",2,IF(G1344="RESTRINGIDO(3)",3,0)))+IF(H1344="BAJA(1)",1,IF(H1344="MEDIA(2)",2,IF(H1344="ALTA(3)",3,0)))+IF(I1344="BAJA(1)",1,IF(I1344="MEDIA(2)",2,IF(I1344="ALTA(3)",3,0)))</f>
        <v/>
      </c>
      <c r="K1344">
        <f>IF(J1344="", "", IF(J1344&gt;=8,"ALTA",IF(J1344&gt;=6,"MEDIA","BAJA")))</f>
        <v/>
      </c>
      <c r="L1344">
        <f>IF(INVENTARIO!Y1344="","",INVENTARIO!Y1344)</f>
        <v/>
      </c>
      <c r="M1344">
        <f>IF(INVENTARIO!Z1344="","",INVENTARIO!Z1344)</f>
        <v/>
      </c>
      <c r="N1344">
        <f>IF(INVENTARIO!AA1344="","",INVENTARIO!AA1344)</f>
        <v/>
      </c>
      <c r="O1344">
        <f>IF(INVENTARIO!AB1344="","",INVENTARIO!AB1344)</f>
        <v/>
      </c>
      <c r="P1344">
        <f>IF(INVENTARIO!AC1344="","",INVENTARIO!AC1344)</f>
        <v/>
      </c>
      <c r="Q1344">
        <f>IF(AND(K1344="",N1344="",L1344=""),"",IF(AND((K1344="ALTA"),OR(LEFT(N1344,2)="L0",LEFT(N1344,2)="L1",L1344="No Iniciado")),"CRÍTICO - Incumplimiento Normativo SEPS",IF(AND(OR(LEFT(N1344,2)="L4",LEFT(N1344,2)="L5"),AND(P1344&lt;&gt;"",P1344&lt;&gt;"N/A")),"CONFORME - Control Efectivo ISO 27001","OBSERVACIÓN - Revisar Controles")))</f>
        <v/>
      </c>
    </row>
    <row r="1345">
      <c r="A1345">
        <f>IF(INVENTARIO!A1345="","",INVENTARIO!A1345)</f>
        <v/>
      </c>
      <c r="B1345">
        <f>IF(INVENTARIO!E1345="","",INVENTARIO!E1345)</f>
        <v/>
      </c>
      <c r="C1345">
        <f>IF(INVENTARIO!F1345="","",INVENTARIO!F1345)</f>
        <v/>
      </c>
      <c r="D1345">
        <f>IF(INVENTARIO!H1345="","",INVENTARIO!H1345)</f>
        <v/>
      </c>
      <c r="E1345">
        <f>IF(INVENTARIO!I1345="","",INVENTARIO!I1345)</f>
        <v/>
      </c>
      <c r="F1345">
        <f>IF(INVENTARIO!N1345="","",INVENTARIO!N1345)</f>
        <v/>
      </c>
      <c r="G1345">
        <f>IF(INVENTARIO!P1345="","",INVENTARIO!P1345)</f>
        <v/>
      </c>
      <c r="H1345">
        <f>IF(INVENTARIO!Q1345="","",INVENTARIO!Q1345)</f>
        <v/>
      </c>
      <c r="I1345">
        <f>IF(INVENTARIO!R1345="","",INVENTARIO!R1345)</f>
        <v/>
      </c>
      <c r="J1345">
        <f>IF(G1345="PUBLICA(1)",1,IF(G1345="USO INTERNO(2)",2,IF(G1345="RESTRINGIDO(3)",3,0)))+IF(H1345="BAJA(1)",1,IF(H1345="MEDIA(2)",2,IF(H1345="ALTA(3)",3,0)))+IF(I1345="BAJA(1)",1,IF(I1345="MEDIA(2)",2,IF(I1345="ALTA(3)",3,0)))</f>
        <v/>
      </c>
      <c r="K1345">
        <f>IF(J1345="", "", IF(J1345&gt;=8,"ALTA",IF(J1345&gt;=6,"MEDIA","BAJA")))</f>
        <v/>
      </c>
      <c r="L1345">
        <f>IF(INVENTARIO!Y1345="","",INVENTARIO!Y1345)</f>
        <v/>
      </c>
      <c r="M1345">
        <f>IF(INVENTARIO!Z1345="","",INVENTARIO!Z1345)</f>
        <v/>
      </c>
      <c r="N1345">
        <f>IF(INVENTARIO!AA1345="","",INVENTARIO!AA1345)</f>
        <v/>
      </c>
      <c r="O1345">
        <f>IF(INVENTARIO!AB1345="","",INVENTARIO!AB1345)</f>
        <v/>
      </c>
      <c r="P1345">
        <f>IF(INVENTARIO!AC1345="","",INVENTARIO!AC1345)</f>
        <v/>
      </c>
      <c r="Q1345">
        <f>IF(AND(K1345="",N1345="",L1345=""),"",IF(AND((K1345="ALTA"),OR(LEFT(N1345,2)="L0",LEFT(N1345,2)="L1",L1345="No Iniciado")),"CRÍTICO - Incumplimiento Normativo SEPS",IF(AND(OR(LEFT(N1345,2)="L4",LEFT(N1345,2)="L5"),AND(P1345&lt;&gt;"",P1345&lt;&gt;"N/A")),"CONFORME - Control Efectivo ISO 27001","OBSERVACIÓN - Revisar Controles")))</f>
        <v/>
      </c>
    </row>
    <row r="1346">
      <c r="A1346">
        <f>IF(INVENTARIO!A1346="","",INVENTARIO!A1346)</f>
        <v/>
      </c>
      <c r="B1346">
        <f>IF(INVENTARIO!E1346="","",INVENTARIO!E1346)</f>
        <v/>
      </c>
      <c r="C1346">
        <f>IF(INVENTARIO!F1346="","",INVENTARIO!F1346)</f>
        <v/>
      </c>
      <c r="D1346">
        <f>IF(INVENTARIO!H1346="","",INVENTARIO!H1346)</f>
        <v/>
      </c>
      <c r="E1346">
        <f>IF(INVENTARIO!I1346="","",INVENTARIO!I1346)</f>
        <v/>
      </c>
      <c r="F1346">
        <f>IF(INVENTARIO!N1346="","",INVENTARIO!N1346)</f>
        <v/>
      </c>
      <c r="G1346">
        <f>IF(INVENTARIO!P1346="","",INVENTARIO!P1346)</f>
        <v/>
      </c>
      <c r="H1346">
        <f>IF(INVENTARIO!Q1346="","",INVENTARIO!Q1346)</f>
        <v/>
      </c>
      <c r="I1346">
        <f>IF(INVENTARIO!R1346="","",INVENTARIO!R1346)</f>
        <v/>
      </c>
      <c r="J1346">
        <f>IF(G1346="PUBLICA(1)",1,IF(G1346="USO INTERNO(2)",2,IF(G1346="RESTRINGIDO(3)",3,0)))+IF(H1346="BAJA(1)",1,IF(H1346="MEDIA(2)",2,IF(H1346="ALTA(3)",3,0)))+IF(I1346="BAJA(1)",1,IF(I1346="MEDIA(2)",2,IF(I1346="ALTA(3)",3,0)))</f>
        <v/>
      </c>
      <c r="K1346">
        <f>IF(J1346="", "", IF(J1346&gt;=8,"ALTA",IF(J1346&gt;=6,"MEDIA","BAJA")))</f>
        <v/>
      </c>
      <c r="L1346">
        <f>IF(INVENTARIO!Y1346="","",INVENTARIO!Y1346)</f>
        <v/>
      </c>
      <c r="M1346">
        <f>IF(INVENTARIO!Z1346="","",INVENTARIO!Z1346)</f>
        <v/>
      </c>
      <c r="N1346">
        <f>IF(INVENTARIO!AA1346="","",INVENTARIO!AA1346)</f>
        <v/>
      </c>
      <c r="O1346">
        <f>IF(INVENTARIO!AB1346="","",INVENTARIO!AB1346)</f>
        <v/>
      </c>
      <c r="P1346">
        <f>IF(INVENTARIO!AC1346="","",INVENTARIO!AC1346)</f>
        <v/>
      </c>
      <c r="Q1346">
        <f>IF(AND(K1346="",N1346="",L1346=""),"",IF(AND((K1346="ALTA"),OR(LEFT(N1346,2)="L0",LEFT(N1346,2)="L1",L1346="No Iniciado")),"CRÍTICO - Incumplimiento Normativo SEPS",IF(AND(OR(LEFT(N1346,2)="L4",LEFT(N1346,2)="L5"),AND(P1346&lt;&gt;"",P1346&lt;&gt;"N/A")),"CONFORME - Control Efectivo ISO 27001","OBSERVACIÓN - Revisar Controles")))</f>
        <v/>
      </c>
    </row>
    <row r="1347">
      <c r="A1347">
        <f>IF(INVENTARIO!A1347="","",INVENTARIO!A1347)</f>
        <v/>
      </c>
      <c r="B1347">
        <f>IF(INVENTARIO!E1347="","",INVENTARIO!E1347)</f>
        <v/>
      </c>
      <c r="C1347">
        <f>IF(INVENTARIO!F1347="","",INVENTARIO!F1347)</f>
        <v/>
      </c>
      <c r="D1347">
        <f>IF(INVENTARIO!H1347="","",INVENTARIO!H1347)</f>
        <v/>
      </c>
      <c r="E1347">
        <f>IF(INVENTARIO!I1347="","",INVENTARIO!I1347)</f>
        <v/>
      </c>
      <c r="F1347">
        <f>IF(INVENTARIO!N1347="","",INVENTARIO!N1347)</f>
        <v/>
      </c>
      <c r="G1347">
        <f>IF(INVENTARIO!P1347="","",INVENTARIO!P1347)</f>
        <v/>
      </c>
      <c r="H1347">
        <f>IF(INVENTARIO!Q1347="","",INVENTARIO!Q1347)</f>
        <v/>
      </c>
      <c r="I1347">
        <f>IF(INVENTARIO!R1347="","",INVENTARIO!R1347)</f>
        <v/>
      </c>
      <c r="J1347">
        <f>IF(G1347="PUBLICA(1)",1,IF(G1347="USO INTERNO(2)",2,IF(G1347="RESTRINGIDO(3)",3,0)))+IF(H1347="BAJA(1)",1,IF(H1347="MEDIA(2)",2,IF(H1347="ALTA(3)",3,0)))+IF(I1347="BAJA(1)",1,IF(I1347="MEDIA(2)",2,IF(I1347="ALTA(3)",3,0)))</f>
        <v/>
      </c>
      <c r="K1347">
        <f>IF(J1347="", "", IF(J1347&gt;=8,"ALTA",IF(J1347&gt;=6,"MEDIA","BAJA")))</f>
        <v/>
      </c>
      <c r="L1347">
        <f>IF(INVENTARIO!Y1347="","",INVENTARIO!Y1347)</f>
        <v/>
      </c>
      <c r="M1347">
        <f>IF(INVENTARIO!Z1347="","",INVENTARIO!Z1347)</f>
        <v/>
      </c>
      <c r="N1347">
        <f>IF(INVENTARIO!AA1347="","",INVENTARIO!AA1347)</f>
        <v/>
      </c>
      <c r="O1347">
        <f>IF(INVENTARIO!AB1347="","",INVENTARIO!AB1347)</f>
        <v/>
      </c>
      <c r="P1347">
        <f>IF(INVENTARIO!AC1347="","",INVENTARIO!AC1347)</f>
        <v/>
      </c>
      <c r="Q1347">
        <f>IF(AND(K1347="",N1347="",L1347=""),"",IF(AND((K1347="ALTA"),OR(LEFT(N1347,2)="L0",LEFT(N1347,2)="L1",L1347="No Iniciado")),"CRÍTICO - Incumplimiento Normativo SEPS",IF(AND(OR(LEFT(N1347,2)="L4",LEFT(N1347,2)="L5"),AND(P1347&lt;&gt;"",P1347&lt;&gt;"N/A")),"CONFORME - Control Efectivo ISO 27001","OBSERVACIÓN - Revisar Controles")))</f>
        <v/>
      </c>
    </row>
    <row r="1348">
      <c r="A1348">
        <f>IF(INVENTARIO!A1348="","",INVENTARIO!A1348)</f>
        <v/>
      </c>
      <c r="B1348">
        <f>IF(INVENTARIO!E1348="","",INVENTARIO!E1348)</f>
        <v/>
      </c>
      <c r="C1348">
        <f>IF(INVENTARIO!F1348="","",INVENTARIO!F1348)</f>
        <v/>
      </c>
      <c r="D1348">
        <f>IF(INVENTARIO!H1348="","",INVENTARIO!H1348)</f>
        <v/>
      </c>
      <c r="E1348">
        <f>IF(INVENTARIO!I1348="","",INVENTARIO!I1348)</f>
        <v/>
      </c>
      <c r="F1348">
        <f>IF(INVENTARIO!N1348="","",INVENTARIO!N1348)</f>
        <v/>
      </c>
      <c r="G1348">
        <f>IF(INVENTARIO!P1348="","",INVENTARIO!P1348)</f>
        <v/>
      </c>
      <c r="H1348">
        <f>IF(INVENTARIO!Q1348="","",INVENTARIO!Q1348)</f>
        <v/>
      </c>
      <c r="I1348">
        <f>IF(INVENTARIO!R1348="","",INVENTARIO!R1348)</f>
        <v/>
      </c>
      <c r="J1348">
        <f>IF(G1348="PUBLICA(1)",1,IF(G1348="USO INTERNO(2)",2,IF(G1348="RESTRINGIDO(3)",3,0)))+IF(H1348="BAJA(1)",1,IF(H1348="MEDIA(2)",2,IF(H1348="ALTA(3)",3,0)))+IF(I1348="BAJA(1)",1,IF(I1348="MEDIA(2)",2,IF(I1348="ALTA(3)",3,0)))</f>
        <v/>
      </c>
      <c r="K1348">
        <f>IF(J1348="", "", IF(J1348&gt;=8,"ALTA",IF(J1348&gt;=6,"MEDIA","BAJA")))</f>
        <v/>
      </c>
      <c r="L1348">
        <f>IF(INVENTARIO!Y1348="","",INVENTARIO!Y1348)</f>
        <v/>
      </c>
      <c r="M1348">
        <f>IF(INVENTARIO!Z1348="","",INVENTARIO!Z1348)</f>
        <v/>
      </c>
      <c r="N1348">
        <f>IF(INVENTARIO!AA1348="","",INVENTARIO!AA1348)</f>
        <v/>
      </c>
      <c r="O1348">
        <f>IF(INVENTARIO!AB1348="","",INVENTARIO!AB1348)</f>
        <v/>
      </c>
      <c r="P1348">
        <f>IF(INVENTARIO!AC1348="","",INVENTARIO!AC1348)</f>
        <v/>
      </c>
      <c r="Q1348">
        <f>IF(AND(K1348="",N1348="",L1348=""),"",IF(AND((K1348="ALTA"),OR(LEFT(N1348,2)="L0",LEFT(N1348,2)="L1",L1348="No Iniciado")),"CRÍTICO - Incumplimiento Normativo SEPS",IF(AND(OR(LEFT(N1348,2)="L4",LEFT(N1348,2)="L5"),AND(P1348&lt;&gt;"",P1348&lt;&gt;"N/A")),"CONFORME - Control Efectivo ISO 27001","OBSERVACIÓN - Revisar Controles")))</f>
        <v/>
      </c>
    </row>
    <row r="1349">
      <c r="A1349">
        <f>IF(INVENTARIO!A1349="","",INVENTARIO!A1349)</f>
        <v/>
      </c>
      <c r="B1349">
        <f>IF(INVENTARIO!E1349="","",INVENTARIO!E1349)</f>
        <v/>
      </c>
      <c r="C1349">
        <f>IF(INVENTARIO!F1349="","",INVENTARIO!F1349)</f>
        <v/>
      </c>
      <c r="D1349">
        <f>IF(INVENTARIO!H1349="","",INVENTARIO!H1349)</f>
        <v/>
      </c>
      <c r="E1349">
        <f>IF(INVENTARIO!I1349="","",INVENTARIO!I1349)</f>
        <v/>
      </c>
      <c r="F1349">
        <f>IF(INVENTARIO!N1349="","",INVENTARIO!N1349)</f>
        <v/>
      </c>
      <c r="G1349">
        <f>IF(INVENTARIO!P1349="","",INVENTARIO!P1349)</f>
        <v/>
      </c>
      <c r="H1349">
        <f>IF(INVENTARIO!Q1349="","",INVENTARIO!Q1349)</f>
        <v/>
      </c>
      <c r="I1349">
        <f>IF(INVENTARIO!R1349="","",INVENTARIO!R1349)</f>
        <v/>
      </c>
      <c r="J1349">
        <f>IF(G1349="PUBLICA(1)",1,IF(G1349="USO INTERNO(2)",2,IF(G1349="RESTRINGIDO(3)",3,0)))+IF(H1349="BAJA(1)",1,IF(H1349="MEDIA(2)",2,IF(H1349="ALTA(3)",3,0)))+IF(I1349="BAJA(1)",1,IF(I1349="MEDIA(2)",2,IF(I1349="ALTA(3)",3,0)))</f>
        <v/>
      </c>
      <c r="K1349">
        <f>IF(J1349="", "", IF(J1349&gt;=8,"ALTA",IF(J1349&gt;=6,"MEDIA","BAJA")))</f>
        <v/>
      </c>
      <c r="L1349">
        <f>IF(INVENTARIO!Y1349="","",INVENTARIO!Y1349)</f>
        <v/>
      </c>
      <c r="M1349">
        <f>IF(INVENTARIO!Z1349="","",INVENTARIO!Z1349)</f>
        <v/>
      </c>
      <c r="N1349">
        <f>IF(INVENTARIO!AA1349="","",INVENTARIO!AA1349)</f>
        <v/>
      </c>
      <c r="O1349">
        <f>IF(INVENTARIO!AB1349="","",INVENTARIO!AB1349)</f>
        <v/>
      </c>
      <c r="P1349">
        <f>IF(INVENTARIO!AC1349="","",INVENTARIO!AC1349)</f>
        <v/>
      </c>
      <c r="Q1349">
        <f>IF(AND(K1349="",N1349="",L1349=""),"",IF(AND((K1349="ALTA"),OR(LEFT(N1349,2)="L0",LEFT(N1349,2)="L1",L1349="No Iniciado")),"CRÍTICO - Incumplimiento Normativo SEPS",IF(AND(OR(LEFT(N1349,2)="L4",LEFT(N1349,2)="L5"),AND(P1349&lt;&gt;"",P1349&lt;&gt;"N/A")),"CONFORME - Control Efectivo ISO 27001","OBSERVACIÓN - Revisar Controles")))</f>
        <v/>
      </c>
    </row>
    <row r="1350">
      <c r="A1350">
        <f>IF(INVENTARIO!A1350="","",INVENTARIO!A1350)</f>
        <v/>
      </c>
      <c r="B1350">
        <f>IF(INVENTARIO!E1350="","",INVENTARIO!E1350)</f>
        <v/>
      </c>
      <c r="C1350">
        <f>IF(INVENTARIO!F1350="","",INVENTARIO!F1350)</f>
        <v/>
      </c>
      <c r="D1350">
        <f>IF(INVENTARIO!H1350="","",INVENTARIO!H1350)</f>
        <v/>
      </c>
      <c r="E1350">
        <f>IF(INVENTARIO!I1350="","",INVENTARIO!I1350)</f>
        <v/>
      </c>
      <c r="F1350">
        <f>IF(INVENTARIO!N1350="","",INVENTARIO!N1350)</f>
        <v/>
      </c>
      <c r="G1350">
        <f>IF(INVENTARIO!P1350="","",INVENTARIO!P1350)</f>
        <v/>
      </c>
      <c r="H1350">
        <f>IF(INVENTARIO!Q1350="","",INVENTARIO!Q1350)</f>
        <v/>
      </c>
      <c r="I1350">
        <f>IF(INVENTARIO!R1350="","",INVENTARIO!R1350)</f>
        <v/>
      </c>
      <c r="J1350">
        <f>IF(G1350="PUBLICA(1)",1,IF(G1350="USO INTERNO(2)",2,IF(G1350="RESTRINGIDO(3)",3,0)))+IF(H1350="BAJA(1)",1,IF(H1350="MEDIA(2)",2,IF(H1350="ALTA(3)",3,0)))+IF(I1350="BAJA(1)",1,IF(I1350="MEDIA(2)",2,IF(I1350="ALTA(3)",3,0)))</f>
        <v/>
      </c>
      <c r="K1350">
        <f>IF(J1350="", "", IF(J1350&gt;=8,"ALTA",IF(J1350&gt;=6,"MEDIA","BAJA")))</f>
        <v/>
      </c>
      <c r="L1350">
        <f>IF(INVENTARIO!Y1350="","",INVENTARIO!Y1350)</f>
        <v/>
      </c>
      <c r="M1350">
        <f>IF(INVENTARIO!Z1350="","",INVENTARIO!Z1350)</f>
        <v/>
      </c>
      <c r="N1350">
        <f>IF(INVENTARIO!AA1350="","",INVENTARIO!AA1350)</f>
        <v/>
      </c>
      <c r="O1350">
        <f>IF(INVENTARIO!AB1350="","",INVENTARIO!AB1350)</f>
        <v/>
      </c>
      <c r="P1350">
        <f>IF(INVENTARIO!AC1350="","",INVENTARIO!AC1350)</f>
        <v/>
      </c>
      <c r="Q1350">
        <f>IF(AND(K1350="",N1350="",L1350=""),"",IF(AND((K1350="ALTA"),OR(LEFT(N1350,2)="L0",LEFT(N1350,2)="L1",L1350="No Iniciado")),"CRÍTICO - Incumplimiento Normativo SEPS",IF(AND(OR(LEFT(N1350,2)="L4",LEFT(N1350,2)="L5"),AND(P1350&lt;&gt;"",P1350&lt;&gt;"N/A")),"CONFORME - Control Efectivo ISO 27001","OBSERVACIÓN - Revisar Controles")))</f>
        <v/>
      </c>
    </row>
    <row r="1351">
      <c r="A1351">
        <f>IF(INVENTARIO!A1351="","",INVENTARIO!A1351)</f>
        <v/>
      </c>
      <c r="B1351">
        <f>IF(INVENTARIO!E1351="","",INVENTARIO!E1351)</f>
        <v/>
      </c>
      <c r="C1351">
        <f>IF(INVENTARIO!F1351="","",INVENTARIO!F1351)</f>
        <v/>
      </c>
      <c r="D1351">
        <f>IF(INVENTARIO!H1351="","",INVENTARIO!H1351)</f>
        <v/>
      </c>
      <c r="E1351">
        <f>IF(INVENTARIO!I1351="","",INVENTARIO!I1351)</f>
        <v/>
      </c>
      <c r="F1351">
        <f>IF(INVENTARIO!N1351="","",INVENTARIO!N1351)</f>
        <v/>
      </c>
      <c r="G1351">
        <f>IF(INVENTARIO!P1351="","",INVENTARIO!P1351)</f>
        <v/>
      </c>
      <c r="H1351">
        <f>IF(INVENTARIO!Q1351="","",INVENTARIO!Q1351)</f>
        <v/>
      </c>
      <c r="I1351">
        <f>IF(INVENTARIO!R1351="","",INVENTARIO!R1351)</f>
        <v/>
      </c>
      <c r="J1351">
        <f>IF(G1351="PUBLICA(1)",1,IF(G1351="USO INTERNO(2)",2,IF(G1351="RESTRINGIDO(3)",3,0)))+IF(H1351="BAJA(1)",1,IF(H1351="MEDIA(2)",2,IF(H1351="ALTA(3)",3,0)))+IF(I1351="BAJA(1)",1,IF(I1351="MEDIA(2)",2,IF(I1351="ALTA(3)",3,0)))</f>
        <v/>
      </c>
      <c r="K1351">
        <f>IF(J1351="", "", IF(J1351&gt;=8,"ALTA",IF(J1351&gt;=6,"MEDIA","BAJA")))</f>
        <v/>
      </c>
      <c r="L1351">
        <f>IF(INVENTARIO!Y1351="","",INVENTARIO!Y1351)</f>
        <v/>
      </c>
      <c r="M1351">
        <f>IF(INVENTARIO!Z1351="","",INVENTARIO!Z1351)</f>
        <v/>
      </c>
      <c r="N1351">
        <f>IF(INVENTARIO!AA1351="","",INVENTARIO!AA1351)</f>
        <v/>
      </c>
      <c r="O1351">
        <f>IF(INVENTARIO!AB1351="","",INVENTARIO!AB1351)</f>
        <v/>
      </c>
      <c r="P1351">
        <f>IF(INVENTARIO!AC1351="","",INVENTARIO!AC1351)</f>
        <v/>
      </c>
      <c r="Q1351">
        <f>IF(AND(K1351="",N1351="",L1351=""),"",IF(AND((K1351="ALTA"),OR(LEFT(N1351,2)="L0",LEFT(N1351,2)="L1",L1351="No Iniciado")),"CRÍTICO - Incumplimiento Normativo SEPS",IF(AND(OR(LEFT(N1351,2)="L4",LEFT(N1351,2)="L5"),AND(P1351&lt;&gt;"",P1351&lt;&gt;"N/A")),"CONFORME - Control Efectivo ISO 27001","OBSERVACIÓN - Revisar Controles")))</f>
        <v/>
      </c>
    </row>
    <row r="1352">
      <c r="A1352">
        <f>IF(INVENTARIO!A1352="","",INVENTARIO!A1352)</f>
        <v/>
      </c>
      <c r="B1352">
        <f>IF(INVENTARIO!E1352="","",INVENTARIO!E1352)</f>
        <v/>
      </c>
      <c r="C1352">
        <f>IF(INVENTARIO!F1352="","",INVENTARIO!F1352)</f>
        <v/>
      </c>
      <c r="D1352">
        <f>IF(INVENTARIO!H1352="","",INVENTARIO!H1352)</f>
        <v/>
      </c>
      <c r="E1352">
        <f>IF(INVENTARIO!I1352="","",INVENTARIO!I1352)</f>
        <v/>
      </c>
      <c r="F1352">
        <f>IF(INVENTARIO!N1352="","",INVENTARIO!N1352)</f>
        <v/>
      </c>
      <c r="G1352">
        <f>IF(INVENTARIO!P1352="","",INVENTARIO!P1352)</f>
        <v/>
      </c>
      <c r="H1352">
        <f>IF(INVENTARIO!Q1352="","",INVENTARIO!Q1352)</f>
        <v/>
      </c>
      <c r="I1352">
        <f>IF(INVENTARIO!R1352="","",INVENTARIO!R1352)</f>
        <v/>
      </c>
      <c r="J1352">
        <f>IF(G1352="PUBLICA(1)",1,IF(G1352="USO INTERNO(2)",2,IF(G1352="RESTRINGIDO(3)",3,0)))+IF(H1352="BAJA(1)",1,IF(H1352="MEDIA(2)",2,IF(H1352="ALTA(3)",3,0)))+IF(I1352="BAJA(1)",1,IF(I1352="MEDIA(2)",2,IF(I1352="ALTA(3)",3,0)))</f>
        <v/>
      </c>
      <c r="K1352">
        <f>IF(J1352="", "", IF(J1352&gt;=8,"ALTA",IF(J1352&gt;=6,"MEDIA","BAJA")))</f>
        <v/>
      </c>
      <c r="L1352">
        <f>IF(INVENTARIO!Y1352="","",INVENTARIO!Y1352)</f>
        <v/>
      </c>
      <c r="M1352">
        <f>IF(INVENTARIO!Z1352="","",INVENTARIO!Z1352)</f>
        <v/>
      </c>
      <c r="N1352">
        <f>IF(INVENTARIO!AA1352="","",INVENTARIO!AA1352)</f>
        <v/>
      </c>
      <c r="O1352">
        <f>IF(INVENTARIO!AB1352="","",INVENTARIO!AB1352)</f>
        <v/>
      </c>
      <c r="P1352">
        <f>IF(INVENTARIO!AC1352="","",INVENTARIO!AC1352)</f>
        <v/>
      </c>
      <c r="Q1352">
        <f>IF(AND(K1352="",N1352="",L1352=""),"",IF(AND((K1352="ALTA"),OR(LEFT(N1352,2)="L0",LEFT(N1352,2)="L1",L1352="No Iniciado")),"CRÍTICO - Incumplimiento Normativo SEPS",IF(AND(OR(LEFT(N1352,2)="L4",LEFT(N1352,2)="L5"),AND(P1352&lt;&gt;"",P1352&lt;&gt;"N/A")),"CONFORME - Control Efectivo ISO 27001","OBSERVACIÓN - Revisar Controles")))</f>
        <v/>
      </c>
    </row>
    <row r="1353">
      <c r="A1353">
        <f>IF(INVENTARIO!A1353="","",INVENTARIO!A1353)</f>
        <v/>
      </c>
      <c r="B1353">
        <f>IF(INVENTARIO!E1353="","",INVENTARIO!E1353)</f>
        <v/>
      </c>
      <c r="C1353">
        <f>IF(INVENTARIO!F1353="","",INVENTARIO!F1353)</f>
        <v/>
      </c>
      <c r="D1353">
        <f>IF(INVENTARIO!H1353="","",INVENTARIO!H1353)</f>
        <v/>
      </c>
      <c r="E1353">
        <f>IF(INVENTARIO!I1353="","",INVENTARIO!I1353)</f>
        <v/>
      </c>
      <c r="F1353">
        <f>IF(INVENTARIO!N1353="","",INVENTARIO!N1353)</f>
        <v/>
      </c>
      <c r="G1353">
        <f>IF(INVENTARIO!P1353="","",INVENTARIO!P1353)</f>
        <v/>
      </c>
      <c r="H1353">
        <f>IF(INVENTARIO!Q1353="","",INVENTARIO!Q1353)</f>
        <v/>
      </c>
      <c r="I1353">
        <f>IF(INVENTARIO!R1353="","",INVENTARIO!R1353)</f>
        <v/>
      </c>
      <c r="J1353">
        <f>IF(G1353="PUBLICA(1)",1,IF(G1353="USO INTERNO(2)",2,IF(G1353="RESTRINGIDO(3)",3,0)))+IF(H1353="BAJA(1)",1,IF(H1353="MEDIA(2)",2,IF(H1353="ALTA(3)",3,0)))+IF(I1353="BAJA(1)",1,IF(I1353="MEDIA(2)",2,IF(I1353="ALTA(3)",3,0)))</f>
        <v/>
      </c>
      <c r="K1353">
        <f>IF(J1353="", "", IF(J1353&gt;=8,"ALTA",IF(J1353&gt;=6,"MEDIA","BAJA")))</f>
        <v/>
      </c>
      <c r="L1353">
        <f>IF(INVENTARIO!Y1353="","",INVENTARIO!Y1353)</f>
        <v/>
      </c>
      <c r="M1353">
        <f>IF(INVENTARIO!Z1353="","",INVENTARIO!Z1353)</f>
        <v/>
      </c>
      <c r="N1353">
        <f>IF(INVENTARIO!AA1353="","",INVENTARIO!AA1353)</f>
        <v/>
      </c>
      <c r="O1353">
        <f>IF(INVENTARIO!AB1353="","",INVENTARIO!AB1353)</f>
        <v/>
      </c>
      <c r="P1353">
        <f>IF(INVENTARIO!AC1353="","",INVENTARIO!AC1353)</f>
        <v/>
      </c>
      <c r="Q1353">
        <f>IF(AND(K1353="",N1353="",L1353=""),"",IF(AND((K1353="ALTA"),OR(LEFT(N1353,2)="L0",LEFT(N1353,2)="L1",L1353="No Iniciado")),"CRÍTICO - Incumplimiento Normativo SEPS",IF(AND(OR(LEFT(N1353,2)="L4",LEFT(N1353,2)="L5"),AND(P1353&lt;&gt;"",P1353&lt;&gt;"N/A")),"CONFORME - Control Efectivo ISO 27001","OBSERVACIÓN - Revisar Controles")))</f>
        <v/>
      </c>
    </row>
    <row r="1354">
      <c r="A1354">
        <f>IF(INVENTARIO!A1354="","",INVENTARIO!A1354)</f>
        <v/>
      </c>
      <c r="B1354">
        <f>IF(INVENTARIO!E1354="","",INVENTARIO!E1354)</f>
        <v/>
      </c>
      <c r="C1354">
        <f>IF(INVENTARIO!F1354="","",INVENTARIO!F1354)</f>
        <v/>
      </c>
      <c r="D1354">
        <f>IF(INVENTARIO!H1354="","",INVENTARIO!H1354)</f>
        <v/>
      </c>
      <c r="E1354">
        <f>IF(INVENTARIO!I1354="","",INVENTARIO!I1354)</f>
        <v/>
      </c>
      <c r="F1354">
        <f>IF(INVENTARIO!N1354="","",INVENTARIO!N1354)</f>
        <v/>
      </c>
      <c r="G1354">
        <f>IF(INVENTARIO!P1354="","",INVENTARIO!P1354)</f>
        <v/>
      </c>
      <c r="H1354">
        <f>IF(INVENTARIO!Q1354="","",INVENTARIO!Q1354)</f>
        <v/>
      </c>
      <c r="I1354">
        <f>IF(INVENTARIO!R1354="","",INVENTARIO!R1354)</f>
        <v/>
      </c>
      <c r="J1354">
        <f>IF(G1354="PUBLICA(1)",1,IF(G1354="USO INTERNO(2)",2,IF(G1354="RESTRINGIDO(3)",3,0)))+IF(H1354="BAJA(1)",1,IF(H1354="MEDIA(2)",2,IF(H1354="ALTA(3)",3,0)))+IF(I1354="BAJA(1)",1,IF(I1354="MEDIA(2)",2,IF(I1354="ALTA(3)",3,0)))</f>
        <v/>
      </c>
      <c r="K1354">
        <f>IF(J1354="", "", IF(J1354&gt;=8,"ALTA",IF(J1354&gt;=6,"MEDIA","BAJA")))</f>
        <v/>
      </c>
      <c r="L1354">
        <f>IF(INVENTARIO!Y1354="","",INVENTARIO!Y1354)</f>
        <v/>
      </c>
      <c r="M1354">
        <f>IF(INVENTARIO!Z1354="","",INVENTARIO!Z1354)</f>
        <v/>
      </c>
      <c r="N1354">
        <f>IF(INVENTARIO!AA1354="","",INVENTARIO!AA1354)</f>
        <v/>
      </c>
      <c r="O1354">
        <f>IF(INVENTARIO!AB1354="","",INVENTARIO!AB1354)</f>
        <v/>
      </c>
      <c r="P1354">
        <f>IF(INVENTARIO!AC1354="","",INVENTARIO!AC1354)</f>
        <v/>
      </c>
      <c r="Q1354">
        <f>IF(AND(K1354="",N1354="",L1354=""),"",IF(AND((K1354="ALTA"),OR(LEFT(N1354,2)="L0",LEFT(N1354,2)="L1",L1354="No Iniciado")),"CRÍTICO - Incumplimiento Normativo SEPS",IF(AND(OR(LEFT(N1354,2)="L4",LEFT(N1354,2)="L5"),AND(P1354&lt;&gt;"",P1354&lt;&gt;"N/A")),"CONFORME - Control Efectivo ISO 27001","OBSERVACIÓN - Revisar Controles")))</f>
        <v/>
      </c>
    </row>
    <row r="1355">
      <c r="A1355">
        <f>IF(INVENTARIO!A1355="","",INVENTARIO!A1355)</f>
        <v/>
      </c>
      <c r="B1355">
        <f>IF(INVENTARIO!E1355="","",INVENTARIO!E1355)</f>
        <v/>
      </c>
      <c r="C1355">
        <f>IF(INVENTARIO!F1355="","",INVENTARIO!F1355)</f>
        <v/>
      </c>
      <c r="D1355">
        <f>IF(INVENTARIO!H1355="","",INVENTARIO!H1355)</f>
        <v/>
      </c>
      <c r="E1355">
        <f>IF(INVENTARIO!I1355="","",INVENTARIO!I1355)</f>
        <v/>
      </c>
      <c r="F1355">
        <f>IF(INVENTARIO!N1355="","",INVENTARIO!N1355)</f>
        <v/>
      </c>
      <c r="G1355">
        <f>IF(INVENTARIO!P1355="","",INVENTARIO!P1355)</f>
        <v/>
      </c>
      <c r="H1355">
        <f>IF(INVENTARIO!Q1355="","",INVENTARIO!Q1355)</f>
        <v/>
      </c>
      <c r="I1355">
        <f>IF(INVENTARIO!R1355="","",INVENTARIO!R1355)</f>
        <v/>
      </c>
      <c r="J1355">
        <f>IF(G1355="PUBLICA(1)",1,IF(G1355="USO INTERNO(2)",2,IF(G1355="RESTRINGIDO(3)",3,0)))+IF(H1355="BAJA(1)",1,IF(H1355="MEDIA(2)",2,IF(H1355="ALTA(3)",3,0)))+IF(I1355="BAJA(1)",1,IF(I1355="MEDIA(2)",2,IF(I1355="ALTA(3)",3,0)))</f>
        <v/>
      </c>
      <c r="K1355">
        <f>IF(J1355="", "", IF(J1355&gt;=8,"ALTA",IF(J1355&gt;=6,"MEDIA","BAJA")))</f>
        <v/>
      </c>
      <c r="L1355">
        <f>IF(INVENTARIO!Y1355="","",INVENTARIO!Y1355)</f>
        <v/>
      </c>
      <c r="M1355">
        <f>IF(INVENTARIO!Z1355="","",INVENTARIO!Z1355)</f>
        <v/>
      </c>
      <c r="N1355">
        <f>IF(INVENTARIO!AA1355="","",INVENTARIO!AA1355)</f>
        <v/>
      </c>
      <c r="O1355">
        <f>IF(INVENTARIO!AB1355="","",INVENTARIO!AB1355)</f>
        <v/>
      </c>
      <c r="P1355">
        <f>IF(INVENTARIO!AC1355="","",INVENTARIO!AC1355)</f>
        <v/>
      </c>
      <c r="Q1355">
        <f>IF(AND(K1355="",N1355="",L1355=""),"",IF(AND((K1355="ALTA"),OR(LEFT(N1355,2)="L0",LEFT(N1355,2)="L1",L1355="No Iniciado")),"CRÍTICO - Incumplimiento Normativo SEPS",IF(AND(OR(LEFT(N1355,2)="L4",LEFT(N1355,2)="L5"),AND(P1355&lt;&gt;"",P1355&lt;&gt;"N/A")),"CONFORME - Control Efectivo ISO 27001","OBSERVACIÓN - Revisar Controles")))</f>
        <v/>
      </c>
    </row>
    <row r="1356">
      <c r="A1356">
        <f>IF(INVENTARIO!A1356="","",INVENTARIO!A1356)</f>
        <v/>
      </c>
      <c r="B1356">
        <f>IF(INVENTARIO!E1356="","",INVENTARIO!E1356)</f>
        <v/>
      </c>
      <c r="C1356">
        <f>IF(INVENTARIO!F1356="","",INVENTARIO!F1356)</f>
        <v/>
      </c>
      <c r="D1356">
        <f>IF(INVENTARIO!H1356="","",INVENTARIO!H1356)</f>
        <v/>
      </c>
      <c r="E1356">
        <f>IF(INVENTARIO!I1356="","",INVENTARIO!I1356)</f>
        <v/>
      </c>
      <c r="F1356">
        <f>IF(INVENTARIO!N1356="","",INVENTARIO!N1356)</f>
        <v/>
      </c>
      <c r="G1356">
        <f>IF(INVENTARIO!P1356="","",INVENTARIO!P1356)</f>
        <v/>
      </c>
      <c r="H1356">
        <f>IF(INVENTARIO!Q1356="","",INVENTARIO!Q1356)</f>
        <v/>
      </c>
      <c r="I1356">
        <f>IF(INVENTARIO!R1356="","",INVENTARIO!R1356)</f>
        <v/>
      </c>
      <c r="J1356">
        <f>IF(G1356="PUBLICA(1)",1,IF(G1356="USO INTERNO(2)",2,IF(G1356="RESTRINGIDO(3)",3,0)))+IF(H1356="BAJA(1)",1,IF(H1356="MEDIA(2)",2,IF(H1356="ALTA(3)",3,0)))+IF(I1356="BAJA(1)",1,IF(I1356="MEDIA(2)",2,IF(I1356="ALTA(3)",3,0)))</f>
        <v/>
      </c>
      <c r="K1356">
        <f>IF(J1356="", "", IF(J1356&gt;=8,"ALTA",IF(J1356&gt;=6,"MEDIA","BAJA")))</f>
        <v/>
      </c>
      <c r="L1356">
        <f>IF(INVENTARIO!Y1356="","",INVENTARIO!Y1356)</f>
        <v/>
      </c>
      <c r="M1356">
        <f>IF(INVENTARIO!Z1356="","",INVENTARIO!Z1356)</f>
        <v/>
      </c>
      <c r="N1356">
        <f>IF(INVENTARIO!AA1356="","",INVENTARIO!AA1356)</f>
        <v/>
      </c>
      <c r="O1356">
        <f>IF(INVENTARIO!AB1356="","",INVENTARIO!AB1356)</f>
        <v/>
      </c>
      <c r="P1356">
        <f>IF(INVENTARIO!AC1356="","",INVENTARIO!AC1356)</f>
        <v/>
      </c>
      <c r="Q1356">
        <f>IF(AND(K1356="",N1356="",L1356=""),"",IF(AND((K1356="ALTA"),OR(LEFT(N1356,2)="L0",LEFT(N1356,2)="L1",L1356="No Iniciado")),"CRÍTICO - Incumplimiento Normativo SEPS",IF(AND(OR(LEFT(N1356,2)="L4",LEFT(N1356,2)="L5"),AND(P1356&lt;&gt;"",P1356&lt;&gt;"N/A")),"CONFORME - Control Efectivo ISO 27001","OBSERVACIÓN - Revisar Controles")))</f>
        <v/>
      </c>
    </row>
    <row r="1357">
      <c r="A1357">
        <f>IF(INVENTARIO!A1357="","",INVENTARIO!A1357)</f>
        <v/>
      </c>
      <c r="B1357">
        <f>IF(INVENTARIO!E1357="","",INVENTARIO!E1357)</f>
        <v/>
      </c>
      <c r="C1357">
        <f>IF(INVENTARIO!F1357="","",INVENTARIO!F1357)</f>
        <v/>
      </c>
      <c r="D1357">
        <f>IF(INVENTARIO!H1357="","",INVENTARIO!H1357)</f>
        <v/>
      </c>
      <c r="E1357">
        <f>IF(INVENTARIO!I1357="","",INVENTARIO!I1357)</f>
        <v/>
      </c>
      <c r="F1357">
        <f>IF(INVENTARIO!N1357="","",INVENTARIO!N1357)</f>
        <v/>
      </c>
      <c r="G1357">
        <f>IF(INVENTARIO!P1357="","",INVENTARIO!P1357)</f>
        <v/>
      </c>
      <c r="H1357">
        <f>IF(INVENTARIO!Q1357="","",INVENTARIO!Q1357)</f>
        <v/>
      </c>
      <c r="I1357">
        <f>IF(INVENTARIO!R1357="","",INVENTARIO!R1357)</f>
        <v/>
      </c>
      <c r="J1357">
        <f>IF(G1357="PUBLICA(1)",1,IF(G1357="USO INTERNO(2)",2,IF(G1357="RESTRINGIDO(3)",3,0)))+IF(H1357="BAJA(1)",1,IF(H1357="MEDIA(2)",2,IF(H1357="ALTA(3)",3,0)))+IF(I1357="BAJA(1)",1,IF(I1357="MEDIA(2)",2,IF(I1357="ALTA(3)",3,0)))</f>
        <v/>
      </c>
      <c r="K1357">
        <f>IF(J1357="", "", IF(J1357&gt;=8,"ALTA",IF(J1357&gt;=6,"MEDIA","BAJA")))</f>
        <v/>
      </c>
      <c r="L1357">
        <f>IF(INVENTARIO!Y1357="","",INVENTARIO!Y1357)</f>
        <v/>
      </c>
      <c r="M1357">
        <f>IF(INVENTARIO!Z1357="","",INVENTARIO!Z1357)</f>
        <v/>
      </c>
      <c r="N1357">
        <f>IF(INVENTARIO!AA1357="","",INVENTARIO!AA1357)</f>
        <v/>
      </c>
      <c r="O1357">
        <f>IF(INVENTARIO!AB1357="","",INVENTARIO!AB1357)</f>
        <v/>
      </c>
      <c r="P1357">
        <f>IF(INVENTARIO!AC1357="","",INVENTARIO!AC1357)</f>
        <v/>
      </c>
      <c r="Q1357">
        <f>IF(AND(K1357="",N1357="",L1357=""),"",IF(AND((K1357="ALTA"),OR(LEFT(N1357,2)="L0",LEFT(N1357,2)="L1",L1357="No Iniciado")),"CRÍTICO - Incumplimiento Normativo SEPS",IF(AND(OR(LEFT(N1357,2)="L4",LEFT(N1357,2)="L5"),AND(P1357&lt;&gt;"",P1357&lt;&gt;"N/A")),"CONFORME - Control Efectivo ISO 27001","OBSERVACIÓN - Revisar Controles")))</f>
        <v/>
      </c>
    </row>
    <row r="1358">
      <c r="A1358">
        <f>IF(INVENTARIO!A1358="","",INVENTARIO!A1358)</f>
        <v/>
      </c>
      <c r="B1358">
        <f>IF(INVENTARIO!E1358="","",INVENTARIO!E1358)</f>
        <v/>
      </c>
      <c r="C1358">
        <f>IF(INVENTARIO!F1358="","",INVENTARIO!F1358)</f>
        <v/>
      </c>
      <c r="D1358">
        <f>IF(INVENTARIO!H1358="","",INVENTARIO!H1358)</f>
        <v/>
      </c>
      <c r="E1358">
        <f>IF(INVENTARIO!I1358="","",INVENTARIO!I1358)</f>
        <v/>
      </c>
      <c r="F1358">
        <f>IF(INVENTARIO!N1358="","",INVENTARIO!N1358)</f>
        <v/>
      </c>
      <c r="G1358">
        <f>IF(INVENTARIO!P1358="","",INVENTARIO!P1358)</f>
        <v/>
      </c>
      <c r="H1358">
        <f>IF(INVENTARIO!Q1358="","",INVENTARIO!Q1358)</f>
        <v/>
      </c>
      <c r="I1358">
        <f>IF(INVENTARIO!R1358="","",INVENTARIO!R1358)</f>
        <v/>
      </c>
      <c r="J1358">
        <f>IF(G1358="PUBLICA(1)",1,IF(G1358="USO INTERNO(2)",2,IF(G1358="RESTRINGIDO(3)",3,0)))+IF(H1358="BAJA(1)",1,IF(H1358="MEDIA(2)",2,IF(H1358="ALTA(3)",3,0)))+IF(I1358="BAJA(1)",1,IF(I1358="MEDIA(2)",2,IF(I1358="ALTA(3)",3,0)))</f>
        <v/>
      </c>
      <c r="K1358">
        <f>IF(J1358="", "", IF(J1358&gt;=8,"ALTA",IF(J1358&gt;=6,"MEDIA","BAJA")))</f>
        <v/>
      </c>
      <c r="L1358">
        <f>IF(INVENTARIO!Y1358="","",INVENTARIO!Y1358)</f>
        <v/>
      </c>
      <c r="M1358">
        <f>IF(INVENTARIO!Z1358="","",INVENTARIO!Z1358)</f>
        <v/>
      </c>
      <c r="N1358">
        <f>IF(INVENTARIO!AA1358="","",INVENTARIO!AA1358)</f>
        <v/>
      </c>
      <c r="O1358">
        <f>IF(INVENTARIO!AB1358="","",INVENTARIO!AB1358)</f>
        <v/>
      </c>
      <c r="P1358">
        <f>IF(INVENTARIO!AC1358="","",INVENTARIO!AC1358)</f>
        <v/>
      </c>
      <c r="Q1358">
        <f>IF(AND(K1358="",N1358="",L1358=""),"",IF(AND((K1358="ALTA"),OR(LEFT(N1358,2)="L0",LEFT(N1358,2)="L1",L1358="No Iniciado")),"CRÍTICO - Incumplimiento Normativo SEPS",IF(AND(OR(LEFT(N1358,2)="L4",LEFT(N1358,2)="L5"),AND(P1358&lt;&gt;"",P1358&lt;&gt;"N/A")),"CONFORME - Control Efectivo ISO 27001","OBSERVACIÓN - Revisar Controles")))</f>
        <v/>
      </c>
    </row>
    <row r="1359">
      <c r="A1359">
        <f>IF(INVENTARIO!A1359="","",INVENTARIO!A1359)</f>
        <v/>
      </c>
      <c r="B1359">
        <f>IF(INVENTARIO!E1359="","",INVENTARIO!E1359)</f>
        <v/>
      </c>
      <c r="C1359">
        <f>IF(INVENTARIO!F1359="","",INVENTARIO!F1359)</f>
        <v/>
      </c>
      <c r="D1359">
        <f>IF(INVENTARIO!H1359="","",INVENTARIO!H1359)</f>
        <v/>
      </c>
      <c r="E1359">
        <f>IF(INVENTARIO!I1359="","",INVENTARIO!I1359)</f>
        <v/>
      </c>
      <c r="F1359">
        <f>IF(INVENTARIO!N1359="","",INVENTARIO!N1359)</f>
        <v/>
      </c>
      <c r="G1359">
        <f>IF(INVENTARIO!P1359="","",INVENTARIO!P1359)</f>
        <v/>
      </c>
      <c r="H1359">
        <f>IF(INVENTARIO!Q1359="","",INVENTARIO!Q1359)</f>
        <v/>
      </c>
      <c r="I1359">
        <f>IF(INVENTARIO!R1359="","",INVENTARIO!R1359)</f>
        <v/>
      </c>
      <c r="J1359">
        <f>IF(G1359="PUBLICA(1)",1,IF(G1359="USO INTERNO(2)",2,IF(G1359="RESTRINGIDO(3)",3,0)))+IF(H1359="BAJA(1)",1,IF(H1359="MEDIA(2)",2,IF(H1359="ALTA(3)",3,0)))+IF(I1359="BAJA(1)",1,IF(I1359="MEDIA(2)",2,IF(I1359="ALTA(3)",3,0)))</f>
        <v/>
      </c>
      <c r="K1359">
        <f>IF(J1359="", "", IF(J1359&gt;=8,"ALTA",IF(J1359&gt;=6,"MEDIA","BAJA")))</f>
        <v/>
      </c>
      <c r="L1359">
        <f>IF(INVENTARIO!Y1359="","",INVENTARIO!Y1359)</f>
        <v/>
      </c>
      <c r="M1359">
        <f>IF(INVENTARIO!Z1359="","",INVENTARIO!Z1359)</f>
        <v/>
      </c>
      <c r="N1359">
        <f>IF(INVENTARIO!AA1359="","",INVENTARIO!AA1359)</f>
        <v/>
      </c>
      <c r="O1359">
        <f>IF(INVENTARIO!AB1359="","",INVENTARIO!AB1359)</f>
        <v/>
      </c>
      <c r="P1359">
        <f>IF(INVENTARIO!AC1359="","",INVENTARIO!AC1359)</f>
        <v/>
      </c>
      <c r="Q1359">
        <f>IF(AND(K1359="",N1359="",L1359=""),"",IF(AND((K1359="ALTA"),OR(LEFT(N1359,2)="L0",LEFT(N1359,2)="L1",L1359="No Iniciado")),"CRÍTICO - Incumplimiento Normativo SEPS",IF(AND(OR(LEFT(N1359,2)="L4",LEFT(N1359,2)="L5"),AND(P1359&lt;&gt;"",P1359&lt;&gt;"N/A")),"CONFORME - Control Efectivo ISO 27001","OBSERVACIÓN - Revisar Controles")))</f>
        <v/>
      </c>
    </row>
    <row r="1360">
      <c r="A1360">
        <f>IF(INVENTARIO!A1360="","",INVENTARIO!A1360)</f>
        <v/>
      </c>
      <c r="B1360">
        <f>IF(INVENTARIO!E1360="","",INVENTARIO!E1360)</f>
        <v/>
      </c>
      <c r="C1360">
        <f>IF(INVENTARIO!F1360="","",INVENTARIO!F1360)</f>
        <v/>
      </c>
      <c r="D1360">
        <f>IF(INVENTARIO!H1360="","",INVENTARIO!H1360)</f>
        <v/>
      </c>
      <c r="E1360">
        <f>IF(INVENTARIO!I1360="","",INVENTARIO!I1360)</f>
        <v/>
      </c>
      <c r="F1360">
        <f>IF(INVENTARIO!N1360="","",INVENTARIO!N1360)</f>
        <v/>
      </c>
      <c r="G1360">
        <f>IF(INVENTARIO!P1360="","",INVENTARIO!P1360)</f>
        <v/>
      </c>
      <c r="H1360">
        <f>IF(INVENTARIO!Q1360="","",INVENTARIO!Q1360)</f>
        <v/>
      </c>
      <c r="I1360">
        <f>IF(INVENTARIO!R1360="","",INVENTARIO!R1360)</f>
        <v/>
      </c>
      <c r="J1360">
        <f>IF(G1360="PUBLICA(1)",1,IF(G1360="USO INTERNO(2)",2,IF(G1360="RESTRINGIDO(3)",3,0)))+IF(H1360="BAJA(1)",1,IF(H1360="MEDIA(2)",2,IF(H1360="ALTA(3)",3,0)))+IF(I1360="BAJA(1)",1,IF(I1360="MEDIA(2)",2,IF(I1360="ALTA(3)",3,0)))</f>
        <v/>
      </c>
      <c r="K1360">
        <f>IF(J1360="", "", IF(J1360&gt;=8,"ALTA",IF(J1360&gt;=6,"MEDIA","BAJA")))</f>
        <v/>
      </c>
      <c r="L1360">
        <f>IF(INVENTARIO!Y1360="","",INVENTARIO!Y1360)</f>
        <v/>
      </c>
      <c r="M1360">
        <f>IF(INVENTARIO!Z1360="","",INVENTARIO!Z1360)</f>
        <v/>
      </c>
      <c r="N1360">
        <f>IF(INVENTARIO!AA1360="","",INVENTARIO!AA1360)</f>
        <v/>
      </c>
      <c r="O1360">
        <f>IF(INVENTARIO!AB1360="","",INVENTARIO!AB1360)</f>
        <v/>
      </c>
      <c r="P1360">
        <f>IF(INVENTARIO!AC1360="","",INVENTARIO!AC1360)</f>
        <v/>
      </c>
      <c r="Q1360">
        <f>IF(AND(K1360="",N1360="",L1360=""),"",IF(AND((K1360="ALTA"),OR(LEFT(N1360,2)="L0",LEFT(N1360,2)="L1",L1360="No Iniciado")),"CRÍTICO - Incumplimiento Normativo SEPS",IF(AND(OR(LEFT(N1360,2)="L4",LEFT(N1360,2)="L5"),AND(P1360&lt;&gt;"",P1360&lt;&gt;"N/A")),"CONFORME - Control Efectivo ISO 27001","OBSERVACIÓN - Revisar Controles")))</f>
        <v/>
      </c>
    </row>
    <row r="1361">
      <c r="A1361">
        <f>IF(INVENTARIO!A1361="","",INVENTARIO!A1361)</f>
        <v/>
      </c>
      <c r="B1361">
        <f>IF(INVENTARIO!E1361="","",INVENTARIO!E1361)</f>
        <v/>
      </c>
      <c r="C1361">
        <f>IF(INVENTARIO!F1361="","",INVENTARIO!F1361)</f>
        <v/>
      </c>
      <c r="D1361">
        <f>IF(INVENTARIO!H1361="","",INVENTARIO!H1361)</f>
        <v/>
      </c>
      <c r="E1361">
        <f>IF(INVENTARIO!I1361="","",INVENTARIO!I1361)</f>
        <v/>
      </c>
      <c r="F1361">
        <f>IF(INVENTARIO!N1361="","",INVENTARIO!N1361)</f>
        <v/>
      </c>
      <c r="G1361">
        <f>IF(INVENTARIO!P1361="","",INVENTARIO!P1361)</f>
        <v/>
      </c>
      <c r="H1361">
        <f>IF(INVENTARIO!Q1361="","",INVENTARIO!Q1361)</f>
        <v/>
      </c>
      <c r="I1361">
        <f>IF(INVENTARIO!R1361="","",INVENTARIO!R1361)</f>
        <v/>
      </c>
      <c r="J1361">
        <f>IF(G1361="PUBLICA(1)",1,IF(G1361="USO INTERNO(2)",2,IF(G1361="RESTRINGIDO(3)",3,0)))+IF(H1361="BAJA(1)",1,IF(H1361="MEDIA(2)",2,IF(H1361="ALTA(3)",3,0)))+IF(I1361="BAJA(1)",1,IF(I1361="MEDIA(2)",2,IF(I1361="ALTA(3)",3,0)))</f>
        <v/>
      </c>
      <c r="K1361">
        <f>IF(J1361="", "", IF(J1361&gt;=8,"ALTA",IF(J1361&gt;=6,"MEDIA","BAJA")))</f>
        <v/>
      </c>
      <c r="L1361">
        <f>IF(INVENTARIO!Y1361="","",INVENTARIO!Y1361)</f>
        <v/>
      </c>
      <c r="M1361">
        <f>IF(INVENTARIO!Z1361="","",INVENTARIO!Z1361)</f>
        <v/>
      </c>
      <c r="N1361">
        <f>IF(INVENTARIO!AA1361="","",INVENTARIO!AA1361)</f>
        <v/>
      </c>
      <c r="O1361">
        <f>IF(INVENTARIO!AB1361="","",INVENTARIO!AB1361)</f>
        <v/>
      </c>
      <c r="P1361">
        <f>IF(INVENTARIO!AC1361="","",INVENTARIO!AC1361)</f>
        <v/>
      </c>
      <c r="Q1361">
        <f>IF(AND(K1361="",N1361="",L1361=""),"",IF(AND((K1361="ALTA"),OR(LEFT(N1361,2)="L0",LEFT(N1361,2)="L1",L1361="No Iniciado")),"CRÍTICO - Incumplimiento Normativo SEPS",IF(AND(OR(LEFT(N1361,2)="L4",LEFT(N1361,2)="L5"),AND(P1361&lt;&gt;"",P1361&lt;&gt;"N/A")),"CONFORME - Control Efectivo ISO 27001","OBSERVACIÓN - Revisar Controles")))</f>
        <v/>
      </c>
    </row>
    <row r="1362">
      <c r="A1362">
        <f>IF(INVENTARIO!A1362="","",INVENTARIO!A1362)</f>
        <v/>
      </c>
      <c r="B1362">
        <f>IF(INVENTARIO!E1362="","",INVENTARIO!E1362)</f>
        <v/>
      </c>
      <c r="C1362">
        <f>IF(INVENTARIO!F1362="","",INVENTARIO!F1362)</f>
        <v/>
      </c>
      <c r="D1362">
        <f>IF(INVENTARIO!H1362="","",INVENTARIO!H1362)</f>
        <v/>
      </c>
      <c r="E1362">
        <f>IF(INVENTARIO!I1362="","",INVENTARIO!I1362)</f>
        <v/>
      </c>
      <c r="F1362">
        <f>IF(INVENTARIO!N1362="","",INVENTARIO!N1362)</f>
        <v/>
      </c>
      <c r="G1362">
        <f>IF(INVENTARIO!P1362="","",INVENTARIO!P1362)</f>
        <v/>
      </c>
      <c r="H1362">
        <f>IF(INVENTARIO!Q1362="","",INVENTARIO!Q1362)</f>
        <v/>
      </c>
      <c r="I1362">
        <f>IF(INVENTARIO!R1362="","",INVENTARIO!R1362)</f>
        <v/>
      </c>
      <c r="J1362">
        <f>IF(G1362="PUBLICA(1)",1,IF(G1362="USO INTERNO(2)",2,IF(G1362="RESTRINGIDO(3)",3,0)))+IF(H1362="BAJA(1)",1,IF(H1362="MEDIA(2)",2,IF(H1362="ALTA(3)",3,0)))+IF(I1362="BAJA(1)",1,IF(I1362="MEDIA(2)",2,IF(I1362="ALTA(3)",3,0)))</f>
        <v/>
      </c>
      <c r="K1362">
        <f>IF(J1362="", "", IF(J1362&gt;=8,"ALTA",IF(J1362&gt;=6,"MEDIA","BAJA")))</f>
        <v/>
      </c>
      <c r="L1362">
        <f>IF(INVENTARIO!Y1362="","",INVENTARIO!Y1362)</f>
        <v/>
      </c>
      <c r="M1362">
        <f>IF(INVENTARIO!Z1362="","",INVENTARIO!Z1362)</f>
        <v/>
      </c>
      <c r="N1362">
        <f>IF(INVENTARIO!AA1362="","",INVENTARIO!AA1362)</f>
        <v/>
      </c>
      <c r="O1362">
        <f>IF(INVENTARIO!AB1362="","",INVENTARIO!AB1362)</f>
        <v/>
      </c>
      <c r="P1362">
        <f>IF(INVENTARIO!AC1362="","",INVENTARIO!AC1362)</f>
        <v/>
      </c>
      <c r="Q1362">
        <f>IF(AND(K1362="",N1362="",L1362=""),"",IF(AND((K1362="ALTA"),OR(LEFT(N1362,2)="L0",LEFT(N1362,2)="L1",L1362="No Iniciado")),"CRÍTICO - Incumplimiento Normativo SEPS",IF(AND(OR(LEFT(N1362,2)="L4",LEFT(N1362,2)="L5"),AND(P1362&lt;&gt;"",P1362&lt;&gt;"N/A")),"CONFORME - Control Efectivo ISO 27001","OBSERVACIÓN - Revisar Controles")))</f>
        <v/>
      </c>
    </row>
    <row r="1363">
      <c r="A1363">
        <f>IF(INVENTARIO!A1363="","",INVENTARIO!A1363)</f>
        <v/>
      </c>
      <c r="B1363">
        <f>IF(INVENTARIO!E1363="","",INVENTARIO!E1363)</f>
        <v/>
      </c>
      <c r="C1363">
        <f>IF(INVENTARIO!F1363="","",INVENTARIO!F1363)</f>
        <v/>
      </c>
      <c r="D1363">
        <f>IF(INVENTARIO!H1363="","",INVENTARIO!H1363)</f>
        <v/>
      </c>
      <c r="E1363">
        <f>IF(INVENTARIO!I1363="","",INVENTARIO!I1363)</f>
        <v/>
      </c>
      <c r="F1363">
        <f>IF(INVENTARIO!N1363="","",INVENTARIO!N1363)</f>
        <v/>
      </c>
      <c r="G1363">
        <f>IF(INVENTARIO!P1363="","",INVENTARIO!P1363)</f>
        <v/>
      </c>
      <c r="H1363">
        <f>IF(INVENTARIO!Q1363="","",INVENTARIO!Q1363)</f>
        <v/>
      </c>
      <c r="I1363">
        <f>IF(INVENTARIO!R1363="","",INVENTARIO!R1363)</f>
        <v/>
      </c>
      <c r="J1363">
        <f>IF(G1363="PUBLICA(1)",1,IF(G1363="USO INTERNO(2)",2,IF(G1363="RESTRINGIDO(3)",3,0)))+IF(H1363="BAJA(1)",1,IF(H1363="MEDIA(2)",2,IF(H1363="ALTA(3)",3,0)))+IF(I1363="BAJA(1)",1,IF(I1363="MEDIA(2)",2,IF(I1363="ALTA(3)",3,0)))</f>
        <v/>
      </c>
      <c r="K1363">
        <f>IF(J1363="", "", IF(J1363&gt;=8,"ALTA",IF(J1363&gt;=6,"MEDIA","BAJA")))</f>
        <v/>
      </c>
      <c r="L1363">
        <f>IF(INVENTARIO!Y1363="","",INVENTARIO!Y1363)</f>
        <v/>
      </c>
      <c r="M1363">
        <f>IF(INVENTARIO!Z1363="","",INVENTARIO!Z1363)</f>
        <v/>
      </c>
      <c r="N1363">
        <f>IF(INVENTARIO!AA1363="","",INVENTARIO!AA1363)</f>
        <v/>
      </c>
      <c r="O1363">
        <f>IF(INVENTARIO!AB1363="","",INVENTARIO!AB1363)</f>
        <v/>
      </c>
      <c r="P1363">
        <f>IF(INVENTARIO!AC1363="","",INVENTARIO!AC1363)</f>
        <v/>
      </c>
      <c r="Q1363">
        <f>IF(AND(K1363="",N1363="",L1363=""),"",IF(AND((K1363="ALTA"),OR(LEFT(N1363,2)="L0",LEFT(N1363,2)="L1",L1363="No Iniciado")),"CRÍTICO - Incumplimiento Normativo SEPS",IF(AND(OR(LEFT(N1363,2)="L4",LEFT(N1363,2)="L5"),AND(P1363&lt;&gt;"",P1363&lt;&gt;"N/A")),"CONFORME - Control Efectivo ISO 27001","OBSERVACIÓN - Revisar Controles")))</f>
        <v/>
      </c>
    </row>
    <row r="1364">
      <c r="A1364">
        <f>IF(INVENTARIO!A1364="","",INVENTARIO!A1364)</f>
        <v/>
      </c>
      <c r="B1364">
        <f>IF(INVENTARIO!E1364="","",INVENTARIO!E1364)</f>
        <v/>
      </c>
      <c r="C1364">
        <f>IF(INVENTARIO!F1364="","",INVENTARIO!F1364)</f>
        <v/>
      </c>
      <c r="D1364">
        <f>IF(INVENTARIO!H1364="","",INVENTARIO!H1364)</f>
        <v/>
      </c>
      <c r="E1364">
        <f>IF(INVENTARIO!I1364="","",INVENTARIO!I1364)</f>
        <v/>
      </c>
      <c r="F1364">
        <f>IF(INVENTARIO!N1364="","",INVENTARIO!N1364)</f>
        <v/>
      </c>
      <c r="G1364">
        <f>IF(INVENTARIO!P1364="","",INVENTARIO!P1364)</f>
        <v/>
      </c>
      <c r="H1364">
        <f>IF(INVENTARIO!Q1364="","",INVENTARIO!Q1364)</f>
        <v/>
      </c>
      <c r="I1364">
        <f>IF(INVENTARIO!R1364="","",INVENTARIO!R1364)</f>
        <v/>
      </c>
      <c r="J1364">
        <f>IF(G1364="PUBLICA(1)",1,IF(G1364="USO INTERNO(2)",2,IF(G1364="RESTRINGIDO(3)",3,0)))+IF(H1364="BAJA(1)",1,IF(H1364="MEDIA(2)",2,IF(H1364="ALTA(3)",3,0)))+IF(I1364="BAJA(1)",1,IF(I1364="MEDIA(2)",2,IF(I1364="ALTA(3)",3,0)))</f>
        <v/>
      </c>
      <c r="K1364">
        <f>IF(J1364="", "", IF(J1364&gt;=8,"ALTA",IF(J1364&gt;=6,"MEDIA","BAJA")))</f>
        <v/>
      </c>
      <c r="L1364">
        <f>IF(INVENTARIO!Y1364="","",INVENTARIO!Y1364)</f>
        <v/>
      </c>
      <c r="M1364">
        <f>IF(INVENTARIO!Z1364="","",INVENTARIO!Z1364)</f>
        <v/>
      </c>
      <c r="N1364">
        <f>IF(INVENTARIO!AA1364="","",INVENTARIO!AA1364)</f>
        <v/>
      </c>
      <c r="O1364">
        <f>IF(INVENTARIO!AB1364="","",INVENTARIO!AB1364)</f>
        <v/>
      </c>
      <c r="P1364">
        <f>IF(INVENTARIO!AC1364="","",INVENTARIO!AC1364)</f>
        <v/>
      </c>
      <c r="Q1364">
        <f>IF(AND(K1364="",N1364="",L1364=""),"",IF(AND((K1364="ALTA"),OR(LEFT(N1364,2)="L0",LEFT(N1364,2)="L1",L1364="No Iniciado")),"CRÍTICO - Incumplimiento Normativo SEPS",IF(AND(OR(LEFT(N1364,2)="L4",LEFT(N1364,2)="L5"),AND(P1364&lt;&gt;"",P1364&lt;&gt;"N/A")),"CONFORME - Control Efectivo ISO 27001","OBSERVACIÓN - Revisar Controles")))</f>
        <v/>
      </c>
    </row>
    <row r="1365">
      <c r="A1365">
        <f>IF(INVENTARIO!A1365="","",INVENTARIO!A1365)</f>
        <v/>
      </c>
      <c r="B1365">
        <f>IF(INVENTARIO!E1365="","",INVENTARIO!E1365)</f>
        <v/>
      </c>
      <c r="C1365">
        <f>IF(INVENTARIO!F1365="","",INVENTARIO!F1365)</f>
        <v/>
      </c>
      <c r="D1365">
        <f>IF(INVENTARIO!H1365="","",INVENTARIO!H1365)</f>
        <v/>
      </c>
      <c r="E1365">
        <f>IF(INVENTARIO!I1365="","",INVENTARIO!I1365)</f>
        <v/>
      </c>
      <c r="F1365">
        <f>IF(INVENTARIO!N1365="","",INVENTARIO!N1365)</f>
        <v/>
      </c>
      <c r="G1365">
        <f>IF(INVENTARIO!P1365="","",INVENTARIO!P1365)</f>
        <v/>
      </c>
      <c r="H1365">
        <f>IF(INVENTARIO!Q1365="","",INVENTARIO!Q1365)</f>
        <v/>
      </c>
      <c r="I1365">
        <f>IF(INVENTARIO!R1365="","",INVENTARIO!R1365)</f>
        <v/>
      </c>
      <c r="J1365">
        <f>IF(G1365="PUBLICA(1)",1,IF(G1365="USO INTERNO(2)",2,IF(G1365="RESTRINGIDO(3)",3,0)))+IF(H1365="BAJA(1)",1,IF(H1365="MEDIA(2)",2,IF(H1365="ALTA(3)",3,0)))+IF(I1365="BAJA(1)",1,IF(I1365="MEDIA(2)",2,IF(I1365="ALTA(3)",3,0)))</f>
        <v/>
      </c>
      <c r="K1365">
        <f>IF(J1365="", "", IF(J1365&gt;=8,"ALTA",IF(J1365&gt;=6,"MEDIA","BAJA")))</f>
        <v/>
      </c>
      <c r="L1365">
        <f>IF(INVENTARIO!Y1365="","",INVENTARIO!Y1365)</f>
        <v/>
      </c>
      <c r="M1365">
        <f>IF(INVENTARIO!Z1365="","",INVENTARIO!Z1365)</f>
        <v/>
      </c>
      <c r="N1365">
        <f>IF(INVENTARIO!AA1365="","",INVENTARIO!AA1365)</f>
        <v/>
      </c>
      <c r="O1365">
        <f>IF(INVENTARIO!AB1365="","",INVENTARIO!AB1365)</f>
        <v/>
      </c>
      <c r="P1365">
        <f>IF(INVENTARIO!AC1365="","",INVENTARIO!AC1365)</f>
        <v/>
      </c>
      <c r="Q1365">
        <f>IF(AND(K1365="",N1365="",L1365=""),"",IF(AND((K1365="ALTA"),OR(LEFT(N1365,2)="L0",LEFT(N1365,2)="L1",L1365="No Iniciado")),"CRÍTICO - Incumplimiento Normativo SEPS",IF(AND(OR(LEFT(N1365,2)="L4",LEFT(N1365,2)="L5"),AND(P1365&lt;&gt;"",P1365&lt;&gt;"N/A")),"CONFORME - Control Efectivo ISO 27001","OBSERVACIÓN - Revisar Controles")))</f>
        <v/>
      </c>
    </row>
    <row r="1366">
      <c r="A1366">
        <f>IF(INVENTARIO!A1366="","",INVENTARIO!A1366)</f>
        <v/>
      </c>
      <c r="B1366">
        <f>IF(INVENTARIO!E1366="","",INVENTARIO!E1366)</f>
        <v/>
      </c>
      <c r="C1366">
        <f>IF(INVENTARIO!F1366="","",INVENTARIO!F1366)</f>
        <v/>
      </c>
      <c r="D1366">
        <f>IF(INVENTARIO!H1366="","",INVENTARIO!H1366)</f>
        <v/>
      </c>
      <c r="E1366">
        <f>IF(INVENTARIO!I1366="","",INVENTARIO!I1366)</f>
        <v/>
      </c>
      <c r="F1366">
        <f>IF(INVENTARIO!N1366="","",INVENTARIO!N1366)</f>
        <v/>
      </c>
      <c r="G1366">
        <f>IF(INVENTARIO!P1366="","",INVENTARIO!P1366)</f>
        <v/>
      </c>
      <c r="H1366">
        <f>IF(INVENTARIO!Q1366="","",INVENTARIO!Q1366)</f>
        <v/>
      </c>
      <c r="I1366">
        <f>IF(INVENTARIO!R1366="","",INVENTARIO!R1366)</f>
        <v/>
      </c>
      <c r="J1366">
        <f>IF(G1366="PUBLICA(1)",1,IF(G1366="USO INTERNO(2)",2,IF(G1366="RESTRINGIDO(3)",3,0)))+IF(H1366="BAJA(1)",1,IF(H1366="MEDIA(2)",2,IF(H1366="ALTA(3)",3,0)))+IF(I1366="BAJA(1)",1,IF(I1366="MEDIA(2)",2,IF(I1366="ALTA(3)",3,0)))</f>
        <v/>
      </c>
      <c r="K1366">
        <f>IF(J1366="", "", IF(J1366&gt;=8,"ALTA",IF(J1366&gt;=6,"MEDIA","BAJA")))</f>
        <v/>
      </c>
      <c r="L1366">
        <f>IF(INVENTARIO!Y1366="","",INVENTARIO!Y1366)</f>
        <v/>
      </c>
      <c r="M1366">
        <f>IF(INVENTARIO!Z1366="","",INVENTARIO!Z1366)</f>
        <v/>
      </c>
      <c r="N1366">
        <f>IF(INVENTARIO!AA1366="","",INVENTARIO!AA1366)</f>
        <v/>
      </c>
      <c r="O1366">
        <f>IF(INVENTARIO!AB1366="","",INVENTARIO!AB1366)</f>
        <v/>
      </c>
      <c r="P1366">
        <f>IF(INVENTARIO!AC1366="","",INVENTARIO!AC1366)</f>
        <v/>
      </c>
      <c r="Q1366">
        <f>IF(AND(K1366="",N1366="",L1366=""),"",IF(AND((K1366="ALTA"),OR(LEFT(N1366,2)="L0",LEFT(N1366,2)="L1",L1366="No Iniciado")),"CRÍTICO - Incumplimiento Normativo SEPS",IF(AND(OR(LEFT(N1366,2)="L4",LEFT(N1366,2)="L5"),AND(P1366&lt;&gt;"",P1366&lt;&gt;"N/A")),"CONFORME - Control Efectivo ISO 27001","OBSERVACIÓN - Revisar Controles")))</f>
        <v/>
      </c>
    </row>
    <row r="1367">
      <c r="A1367">
        <f>IF(INVENTARIO!A1367="","",INVENTARIO!A1367)</f>
        <v/>
      </c>
      <c r="B1367">
        <f>IF(INVENTARIO!E1367="","",INVENTARIO!E1367)</f>
        <v/>
      </c>
      <c r="C1367">
        <f>IF(INVENTARIO!F1367="","",INVENTARIO!F1367)</f>
        <v/>
      </c>
      <c r="D1367">
        <f>IF(INVENTARIO!H1367="","",INVENTARIO!H1367)</f>
        <v/>
      </c>
      <c r="E1367">
        <f>IF(INVENTARIO!I1367="","",INVENTARIO!I1367)</f>
        <v/>
      </c>
      <c r="F1367">
        <f>IF(INVENTARIO!N1367="","",INVENTARIO!N1367)</f>
        <v/>
      </c>
      <c r="G1367">
        <f>IF(INVENTARIO!P1367="","",INVENTARIO!P1367)</f>
        <v/>
      </c>
      <c r="H1367">
        <f>IF(INVENTARIO!Q1367="","",INVENTARIO!Q1367)</f>
        <v/>
      </c>
      <c r="I1367">
        <f>IF(INVENTARIO!R1367="","",INVENTARIO!R1367)</f>
        <v/>
      </c>
      <c r="J1367">
        <f>IF(G1367="PUBLICA(1)",1,IF(G1367="USO INTERNO(2)",2,IF(G1367="RESTRINGIDO(3)",3,0)))+IF(H1367="BAJA(1)",1,IF(H1367="MEDIA(2)",2,IF(H1367="ALTA(3)",3,0)))+IF(I1367="BAJA(1)",1,IF(I1367="MEDIA(2)",2,IF(I1367="ALTA(3)",3,0)))</f>
        <v/>
      </c>
      <c r="K1367">
        <f>IF(J1367="", "", IF(J1367&gt;=8,"ALTA",IF(J1367&gt;=6,"MEDIA","BAJA")))</f>
        <v/>
      </c>
      <c r="L1367">
        <f>IF(INVENTARIO!Y1367="","",INVENTARIO!Y1367)</f>
        <v/>
      </c>
      <c r="M1367">
        <f>IF(INVENTARIO!Z1367="","",INVENTARIO!Z1367)</f>
        <v/>
      </c>
      <c r="N1367">
        <f>IF(INVENTARIO!AA1367="","",INVENTARIO!AA1367)</f>
        <v/>
      </c>
      <c r="O1367">
        <f>IF(INVENTARIO!AB1367="","",INVENTARIO!AB1367)</f>
        <v/>
      </c>
      <c r="P1367">
        <f>IF(INVENTARIO!AC1367="","",INVENTARIO!AC1367)</f>
        <v/>
      </c>
      <c r="Q1367">
        <f>IF(AND(K1367="",N1367="",L1367=""),"",IF(AND((K1367="ALTA"),OR(LEFT(N1367,2)="L0",LEFT(N1367,2)="L1",L1367="No Iniciado")),"CRÍTICO - Incumplimiento Normativo SEPS",IF(AND(OR(LEFT(N1367,2)="L4",LEFT(N1367,2)="L5"),AND(P1367&lt;&gt;"",P1367&lt;&gt;"N/A")),"CONFORME - Control Efectivo ISO 27001","OBSERVACIÓN - Revisar Controles")))</f>
        <v/>
      </c>
    </row>
    <row r="1368">
      <c r="A1368">
        <f>IF(INVENTARIO!A1368="","",INVENTARIO!A1368)</f>
        <v/>
      </c>
      <c r="B1368">
        <f>IF(INVENTARIO!E1368="","",INVENTARIO!E1368)</f>
        <v/>
      </c>
      <c r="C1368">
        <f>IF(INVENTARIO!F1368="","",INVENTARIO!F1368)</f>
        <v/>
      </c>
      <c r="D1368">
        <f>IF(INVENTARIO!H1368="","",INVENTARIO!H1368)</f>
        <v/>
      </c>
      <c r="E1368">
        <f>IF(INVENTARIO!I1368="","",INVENTARIO!I1368)</f>
        <v/>
      </c>
      <c r="F1368">
        <f>IF(INVENTARIO!N1368="","",INVENTARIO!N1368)</f>
        <v/>
      </c>
      <c r="G1368">
        <f>IF(INVENTARIO!P1368="","",INVENTARIO!P1368)</f>
        <v/>
      </c>
      <c r="H1368">
        <f>IF(INVENTARIO!Q1368="","",INVENTARIO!Q1368)</f>
        <v/>
      </c>
      <c r="I1368">
        <f>IF(INVENTARIO!R1368="","",INVENTARIO!R1368)</f>
        <v/>
      </c>
      <c r="J1368">
        <f>IF(G1368="PUBLICA(1)",1,IF(G1368="USO INTERNO(2)",2,IF(G1368="RESTRINGIDO(3)",3,0)))+IF(H1368="BAJA(1)",1,IF(H1368="MEDIA(2)",2,IF(H1368="ALTA(3)",3,0)))+IF(I1368="BAJA(1)",1,IF(I1368="MEDIA(2)",2,IF(I1368="ALTA(3)",3,0)))</f>
        <v/>
      </c>
      <c r="K1368">
        <f>IF(J1368="", "", IF(J1368&gt;=8,"ALTA",IF(J1368&gt;=6,"MEDIA","BAJA")))</f>
        <v/>
      </c>
      <c r="L1368">
        <f>IF(INVENTARIO!Y1368="","",INVENTARIO!Y1368)</f>
        <v/>
      </c>
      <c r="M1368">
        <f>IF(INVENTARIO!Z1368="","",INVENTARIO!Z1368)</f>
        <v/>
      </c>
      <c r="N1368">
        <f>IF(INVENTARIO!AA1368="","",INVENTARIO!AA1368)</f>
        <v/>
      </c>
      <c r="O1368">
        <f>IF(INVENTARIO!AB1368="","",INVENTARIO!AB1368)</f>
        <v/>
      </c>
      <c r="P1368">
        <f>IF(INVENTARIO!AC1368="","",INVENTARIO!AC1368)</f>
        <v/>
      </c>
      <c r="Q1368">
        <f>IF(AND(K1368="",N1368="",L1368=""),"",IF(AND((K1368="ALTA"),OR(LEFT(N1368,2)="L0",LEFT(N1368,2)="L1",L1368="No Iniciado")),"CRÍTICO - Incumplimiento Normativo SEPS",IF(AND(OR(LEFT(N1368,2)="L4",LEFT(N1368,2)="L5"),AND(P1368&lt;&gt;"",P1368&lt;&gt;"N/A")),"CONFORME - Control Efectivo ISO 27001","OBSERVACIÓN - Revisar Controles")))</f>
        <v/>
      </c>
    </row>
    <row r="1369">
      <c r="A1369">
        <f>IF(INVENTARIO!A1369="","",INVENTARIO!A1369)</f>
        <v/>
      </c>
      <c r="B1369">
        <f>IF(INVENTARIO!E1369="","",INVENTARIO!E1369)</f>
        <v/>
      </c>
      <c r="C1369">
        <f>IF(INVENTARIO!F1369="","",INVENTARIO!F1369)</f>
        <v/>
      </c>
      <c r="D1369">
        <f>IF(INVENTARIO!H1369="","",INVENTARIO!H1369)</f>
        <v/>
      </c>
      <c r="E1369">
        <f>IF(INVENTARIO!I1369="","",INVENTARIO!I1369)</f>
        <v/>
      </c>
      <c r="F1369">
        <f>IF(INVENTARIO!N1369="","",INVENTARIO!N1369)</f>
        <v/>
      </c>
      <c r="G1369">
        <f>IF(INVENTARIO!P1369="","",INVENTARIO!P1369)</f>
        <v/>
      </c>
      <c r="H1369">
        <f>IF(INVENTARIO!Q1369="","",INVENTARIO!Q1369)</f>
        <v/>
      </c>
      <c r="I1369">
        <f>IF(INVENTARIO!R1369="","",INVENTARIO!R1369)</f>
        <v/>
      </c>
      <c r="J1369">
        <f>IF(G1369="PUBLICA(1)",1,IF(G1369="USO INTERNO(2)",2,IF(G1369="RESTRINGIDO(3)",3,0)))+IF(H1369="BAJA(1)",1,IF(H1369="MEDIA(2)",2,IF(H1369="ALTA(3)",3,0)))+IF(I1369="BAJA(1)",1,IF(I1369="MEDIA(2)",2,IF(I1369="ALTA(3)",3,0)))</f>
        <v/>
      </c>
      <c r="K1369">
        <f>IF(J1369="", "", IF(J1369&gt;=8,"ALTA",IF(J1369&gt;=6,"MEDIA","BAJA")))</f>
        <v/>
      </c>
      <c r="L1369">
        <f>IF(INVENTARIO!Y1369="","",INVENTARIO!Y1369)</f>
        <v/>
      </c>
      <c r="M1369">
        <f>IF(INVENTARIO!Z1369="","",INVENTARIO!Z1369)</f>
        <v/>
      </c>
      <c r="N1369">
        <f>IF(INVENTARIO!AA1369="","",INVENTARIO!AA1369)</f>
        <v/>
      </c>
      <c r="O1369">
        <f>IF(INVENTARIO!AB1369="","",INVENTARIO!AB1369)</f>
        <v/>
      </c>
      <c r="P1369">
        <f>IF(INVENTARIO!AC1369="","",INVENTARIO!AC1369)</f>
        <v/>
      </c>
      <c r="Q1369">
        <f>IF(AND(K1369="",N1369="",L1369=""),"",IF(AND((K1369="ALTA"),OR(LEFT(N1369,2)="L0",LEFT(N1369,2)="L1",L1369="No Iniciado")),"CRÍTICO - Incumplimiento Normativo SEPS",IF(AND(OR(LEFT(N1369,2)="L4",LEFT(N1369,2)="L5"),AND(P1369&lt;&gt;"",P1369&lt;&gt;"N/A")),"CONFORME - Control Efectivo ISO 27001","OBSERVACIÓN - Revisar Controles")))</f>
        <v/>
      </c>
    </row>
    <row r="1370">
      <c r="A1370">
        <f>IF(INVENTARIO!A1370="","",INVENTARIO!A1370)</f>
        <v/>
      </c>
      <c r="B1370">
        <f>IF(INVENTARIO!E1370="","",INVENTARIO!E1370)</f>
        <v/>
      </c>
      <c r="C1370">
        <f>IF(INVENTARIO!F1370="","",INVENTARIO!F1370)</f>
        <v/>
      </c>
      <c r="D1370">
        <f>IF(INVENTARIO!H1370="","",INVENTARIO!H1370)</f>
        <v/>
      </c>
      <c r="E1370">
        <f>IF(INVENTARIO!I1370="","",INVENTARIO!I1370)</f>
        <v/>
      </c>
      <c r="F1370">
        <f>IF(INVENTARIO!N1370="","",INVENTARIO!N1370)</f>
        <v/>
      </c>
      <c r="G1370">
        <f>IF(INVENTARIO!P1370="","",INVENTARIO!P1370)</f>
        <v/>
      </c>
      <c r="H1370">
        <f>IF(INVENTARIO!Q1370="","",INVENTARIO!Q1370)</f>
        <v/>
      </c>
      <c r="I1370">
        <f>IF(INVENTARIO!R1370="","",INVENTARIO!R1370)</f>
        <v/>
      </c>
      <c r="J1370">
        <f>IF(G1370="PUBLICA(1)",1,IF(G1370="USO INTERNO(2)",2,IF(G1370="RESTRINGIDO(3)",3,0)))+IF(H1370="BAJA(1)",1,IF(H1370="MEDIA(2)",2,IF(H1370="ALTA(3)",3,0)))+IF(I1370="BAJA(1)",1,IF(I1370="MEDIA(2)",2,IF(I1370="ALTA(3)",3,0)))</f>
        <v/>
      </c>
      <c r="K1370">
        <f>IF(J1370="", "", IF(J1370&gt;=8,"ALTA",IF(J1370&gt;=6,"MEDIA","BAJA")))</f>
        <v/>
      </c>
      <c r="L1370">
        <f>IF(INVENTARIO!Y1370="","",INVENTARIO!Y1370)</f>
        <v/>
      </c>
      <c r="M1370">
        <f>IF(INVENTARIO!Z1370="","",INVENTARIO!Z1370)</f>
        <v/>
      </c>
      <c r="N1370">
        <f>IF(INVENTARIO!AA1370="","",INVENTARIO!AA1370)</f>
        <v/>
      </c>
      <c r="O1370">
        <f>IF(INVENTARIO!AB1370="","",INVENTARIO!AB1370)</f>
        <v/>
      </c>
      <c r="P1370">
        <f>IF(INVENTARIO!AC1370="","",INVENTARIO!AC1370)</f>
        <v/>
      </c>
      <c r="Q1370">
        <f>IF(AND(K1370="",N1370="",L1370=""),"",IF(AND((K1370="ALTA"),OR(LEFT(N1370,2)="L0",LEFT(N1370,2)="L1",L1370="No Iniciado")),"CRÍTICO - Incumplimiento Normativo SEPS",IF(AND(OR(LEFT(N1370,2)="L4",LEFT(N1370,2)="L5"),AND(P1370&lt;&gt;"",P1370&lt;&gt;"N/A")),"CONFORME - Control Efectivo ISO 27001","OBSERVACIÓN - Revisar Controles")))</f>
        <v/>
      </c>
    </row>
    <row r="1371">
      <c r="A1371">
        <f>IF(INVENTARIO!A1371="","",INVENTARIO!A1371)</f>
        <v/>
      </c>
      <c r="B1371">
        <f>IF(INVENTARIO!E1371="","",INVENTARIO!E1371)</f>
        <v/>
      </c>
      <c r="C1371">
        <f>IF(INVENTARIO!F1371="","",INVENTARIO!F1371)</f>
        <v/>
      </c>
      <c r="D1371">
        <f>IF(INVENTARIO!H1371="","",INVENTARIO!H1371)</f>
        <v/>
      </c>
      <c r="E1371">
        <f>IF(INVENTARIO!I1371="","",INVENTARIO!I1371)</f>
        <v/>
      </c>
      <c r="F1371">
        <f>IF(INVENTARIO!N1371="","",INVENTARIO!N1371)</f>
        <v/>
      </c>
      <c r="G1371">
        <f>IF(INVENTARIO!P1371="","",INVENTARIO!P1371)</f>
        <v/>
      </c>
      <c r="H1371">
        <f>IF(INVENTARIO!Q1371="","",INVENTARIO!Q1371)</f>
        <v/>
      </c>
      <c r="I1371">
        <f>IF(INVENTARIO!R1371="","",INVENTARIO!R1371)</f>
        <v/>
      </c>
      <c r="J1371">
        <f>IF(G1371="PUBLICA(1)",1,IF(G1371="USO INTERNO(2)",2,IF(G1371="RESTRINGIDO(3)",3,0)))+IF(H1371="BAJA(1)",1,IF(H1371="MEDIA(2)",2,IF(H1371="ALTA(3)",3,0)))+IF(I1371="BAJA(1)",1,IF(I1371="MEDIA(2)",2,IF(I1371="ALTA(3)",3,0)))</f>
        <v/>
      </c>
      <c r="K1371">
        <f>IF(J1371="", "", IF(J1371&gt;=8,"ALTA",IF(J1371&gt;=6,"MEDIA","BAJA")))</f>
        <v/>
      </c>
      <c r="L1371">
        <f>IF(INVENTARIO!Y1371="","",INVENTARIO!Y1371)</f>
        <v/>
      </c>
      <c r="M1371">
        <f>IF(INVENTARIO!Z1371="","",INVENTARIO!Z1371)</f>
        <v/>
      </c>
      <c r="N1371">
        <f>IF(INVENTARIO!AA1371="","",INVENTARIO!AA1371)</f>
        <v/>
      </c>
      <c r="O1371">
        <f>IF(INVENTARIO!AB1371="","",INVENTARIO!AB1371)</f>
        <v/>
      </c>
      <c r="P1371">
        <f>IF(INVENTARIO!AC1371="","",INVENTARIO!AC1371)</f>
        <v/>
      </c>
      <c r="Q1371">
        <f>IF(AND(K1371="",N1371="",L1371=""),"",IF(AND((K1371="ALTA"),OR(LEFT(N1371,2)="L0",LEFT(N1371,2)="L1",L1371="No Iniciado")),"CRÍTICO - Incumplimiento Normativo SEPS",IF(AND(OR(LEFT(N1371,2)="L4",LEFT(N1371,2)="L5"),AND(P1371&lt;&gt;"",P1371&lt;&gt;"N/A")),"CONFORME - Control Efectivo ISO 27001","OBSERVACIÓN - Revisar Controles")))</f>
        <v/>
      </c>
    </row>
    <row r="1372">
      <c r="A1372">
        <f>IF(INVENTARIO!A1372="","",INVENTARIO!A1372)</f>
        <v/>
      </c>
      <c r="B1372">
        <f>IF(INVENTARIO!E1372="","",INVENTARIO!E1372)</f>
        <v/>
      </c>
      <c r="C1372">
        <f>IF(INVENTARIO!F1372="","",INVENTARIO!F1372)</f>
        <v/>
      </c>
      <c r="D1372">
        <f>IF(INVENTARIO!H1372="","",INVENTARIO!H1372)</f>
        <v/>
      </c>
      <c r="E1372">
        <f>IF(INVENTARIO!I1372="","",INVENTARIO!I1372)</f>
        <v/>
      </c>
      <c r="F1372">
        <f>IF(INVENTARIO!N1372="","",INVENTARIO!N1372)</f>
        <v/>
      </c>
      <c r="G1372">
        <f>IF(INVENTARIO!P1372="","",INVENTARIO!P1372)</f>
        <v/>
      </c>
      <c r="H1372">
        <f>IF(INVENTARIO!Q1372="","",INVENTARIO!Q1372)</f>
        <v/>
      </c>
      <c r="I1372">
        <f>IF(INVENTARIO!R1372="","",INVENTARIO!R1372)</f>
        <v/>
      </c>
      <c r="J1372">
        <f>IF(G1372="PUBLICA(1)",1,IF(G1372="USO INTERNO(2)",2,IF(G1372="RESTRINGIDO(3)",3,0)))+IF(H1372="BAJA(1)",1,IF(H1372="MEDIA(2)",2,IF(H1372="ALTA(3)",3,0)))+IF(I1372="BAJA(1)",1,IF(I1372="MEDIA(2)",2,IF(I1372="ALTA(3)",3,0)))</f>
        <v/>
      </c>
      <c r="K1372">
        <f>IF(J1372="", "", IF(J1372&gt;=8,"ALTA",IF(J1372&gt;=6,"MEDIA","BAJA")))</f>
        <v/>
      </c>
      <c r="L1372">
        <f>IF(INVENTARIO!Y1372="","",INVENTARIO!Y1372)</f>
        <v/>
      </c>
      <c r="M1372">
        <f>IF(INVENTARIO!Z1372="","",INVENTARIO!Z1372)</f>
        <v/>
      </c>
      <c r="N1372">
        <f>IF(INVENTARIO!AA1372="","",INVENTARIO!AA1372)</f>
        <v/>
      </c>
      <c r="O1372">
        <f>IF(INVENTARIO!AB1372="","",INVENTARIO!AB1372)</f>
        <v/>
      </c>
      <c r="P1372">
        <f>IF(INVENTARIO!AC1372="","",INVENTARIO!AC1372)</f>
        <v/>
      </c>
      <c r="Q1372">
        <f>IF(AND(K1372="",N1372="",L1372=""),"",IF(AND((K1372="ALTA"),OR(LEFT(N1372,2)="L0",LEFT(N1372,2)="L1",L1372="No Iniciado")),"CRÍTICO - Incumplimiento Normativo SEPS",IF(AND(OR(LEFT(N1372,2)="L4",LEFT(N1372,2)="L5"),AND(P1372&lt;&gt;"",P1372&lt;&gt;"N/A")),"CONFORME - Control Efectivo ISO 27001","OBSERVACIÓN - Revisar Controles")))</f>
        <v/>
      </c>
    </row>
    <row r="1373">
      <c r="A1373">
        <f>IF(INVENTARIO!A1373="","",INVENTARIO!A1373)</f>
        <v/>
      </c>
      <c r="B1373">
        <f>IF(INVENTARIO!E1373="","",INVENTARIO!E1373)</f>
        <v/>
      </c>
      <c r="C1373">
        <f>IF(INVENTARIO!F1373="","",INVENTARIO!F1373)</f>
        <v/>
      </c>
      <c r="D1373">
        <f>IF(INVENTARIO!H1373="","",INVENTARIO!H1373)</f>
        <v/>
      </c>
      <c r="E1373">
        <f>IF(INVENTARIO!I1373="","",INVENTARIO!I1373)</f>
        <v/>
      </c>
      <c r="F1373">
        <f>IF(INVENTARIO!N1373="","",INVENTARIO!N1373)</f>
        <v/>
      </c>
      <c r="G1373">
        <f>IF(INVENTARIO!P1373="","",INVENTARIO!P1373)</f>
        <v/>
      </c>
      <c r="H1373">
        <f>IF(INVENTARIO!Q1373="","",INVENTARIO!Q1373)</f>
        <v/>
      </c>
      <c r="I1373">
        <f>IF(INVENTARIO!R1373="","",INVENTARIO!R1373)</f>
        <v/>
      </c>
      <c r="J1373">
        <f>IF(G1373="PUBLICA(1)",1,IF(G1373="USO INTERNO(2)",2,IF(G1373="RESTRINGIDO(3)",3,0)))+IF(H1373="BAJA(1)",1,IF(H1373="MEDIA(2)",2,IF(H1373="ALTA(3)",3,0)))+IF(I1373="BAJA(1)",1,IF(I1373="MEDIA(2)",2,IF(I1373="ALTA(3)",3,0)))</f>
        <v/>
      </c>
      <c r="K1373">
        <f>IF(J1373="", "", IF(J1373&gt;=8,"ALTA",IF(J1373&gt;=6,"MEDIA","BAJA")))</f>
        <v/>
      </c>
      <c r="L1373">
        <f>IF(INVENTARIO!Y1373="","",INVENTARIO!Y1373)</f>
        <v/>
      </c>
      <c r="M1373">
        <f>IF(INVENTARIO!Z1373="","",INVENTARIO!Z1373)</f>
        <v/>
      </c>
      <c r="N1373">
        <f>IF(INVENTARIO!AA1373="","",INVENTARIO!AA1373)</f>
        <v/>
      </c>
      <c r="O1373">
        <f>IF(INVENTARIO!AB1373="","",INVENTARIO!AB1373)</f>
        <v/>
      </c>
      <c r="P1373">
        <f>IF(INVENTARIO!AC1373="","",INVENTARIO!AC1373)</f>
        <v/>
      </c>
      <c r="Q1373">
        <f>IF(AND(K1373="",N1373="",L1373=""),"",IF(AND((K1373="ALTA"),OR(LEFT(N1373,2)="L0",LEFT(N1373,2)="L1",L1373="No Iniciado")),"CRÍTICO - Incumplimiento Normativo SEPS",IF(AND(OR(LEFT(N1373,2)="L4",LEFT(N1373,2)="L5"),AND(P1373&lt;&gt;"",P1373&lt;&gt;"N/A")),"CONFORME - Control Efectivo ISO 27001","OBSERVACIÓN - Revisar Controles")))</f>
        <v/>
      </c>
    </row>
    <row r="1374">
      <c r="A1374">
        <f>IF(INVENTARIO!A1374="","",INVENTARIO!A1374)</f>
        <v/>
      </c>
      <c r="B1374">
        <f>IF(INVENTARIO!E1374="","",INVENTARIO!E1374)</f>
        <v/>
      </c>
      <c r="C1374">
        <f>IF(INVENTARIO!F1374="","",INVENTARIO!F1374)</f>
        <v/>
      </c>
      <c r="D1374">
        <f>IF(INVENTARIO!H1374="","",INVENTARIO!H1374)</f>
        <v/>
      </c>
      <c r="E1374">
        <f>IF(INVENTARIO!I1374="","",INVENTARIO!I1374)</f>
        <v/>
      </c>
      <c r="F1374">
        <f>IF(INVENTARIO!N1374="","",INVENTARIO!N1374)</f>
        <v/>
      </c>
      <c r="G1374">
        <f>IF(INVENTARIO!P1374="","",INVENTARIO!P1374)</f>
        <v/>
      </c>
      <c r="H1374">
        <f>IF(INVENTARIO!Q1374="","",INVENTARIO!Q1374)</f>
        <v/>
      </c>
      <c r="I1374">
        <f>IF(INVENTARIO!R1374="","",INVENTARIO!R1374)</f>
        <v/>
      </c>
      <c r="J1374">
        <f>IF(G1374="PUBLICA(1)",1,IF(G1374="USO INTERNO(2)",2,IF(G1374="RESTRINGIDO(3)",3,0)))+IF(H1374="BAJA(1)",1,IF(H1374="MEDIA(2)",2,IF(H1374="ALTA(3)",3,0)))+IF(I1374="BAJA(1)",1,IF(I1374="MEDIA(2)",2,IF(I1374="ALTA(3)",3,0)))</f>
        <v/>
      </c>
      <c r="K1374">
        <f>IF(J1374="", "", IF(J1374&gt;=8,"ALTA",IF(J1374&gt;=6,"MEDIA","BAJA")))</f>
        <v/>
      </c>
      <c r="L1374">
        <f>IF(INVENTARIO!Y1374="","",INVENTARIO!Y1374)</f>
        <v/>
      </c>
      <c r="M1374">
        <f>IF(INVENTARIO!Z1374="","",INVENTARIO!Z1374)</f>
        <v/>
      </c>
      <c r="N1374">
        <f>IF(INVENTARIO!AA1374="","",INVENTARIO!AA1374)</f>
        <v/>
      </c>
      <c r="O1374">
        <f>IF(INVENTARIO!AB1374="","",INVENTARIO!AB1374)</f>
        <v/>
      </c>
      <c r="P1374">
        <f>IF(INVENTARIO!AC1374="","",INVENTARIO!AC1374)</f>
        <v/>
      </c>
      <c r="Q1374">
        <f>IF(AND(K1374="",N1374="",L1374=""),"",IF(AND((K1374="ALTA"),OR(LEFT(N1374,2)="L0",LEFT(N1374,2)="L1",L1374="No Iniciado")),"CRÍTICO - Incumplimiento Normativo SEPS",IF(AND(OR(LEFT(N1374,2)="L4",LEFT(N1374,2)="L5"),AND(P1374&lt;&gt;"",P1374&lt;&gt;"N/A")),"CONFORME - Control Efectivo ISO 27001","OBSERVACIÓN - Revisar Controles")))</f>
        <v/>
      </c>
    </row>
    <row r="1375">
      <c r="A1375">
        <f>IF(INVENTARIO!A1375="","",INVENTARIO!A1375)</f>
        <v/>
      </c>
      <c r="B1375">
        <f>IF(INVENTARIO!E1375="","",INVENTARIO!E1375)</f>
        <v/>
      </c>
      <c r="C1375">
        <f>IF(INVENTARIO!F1375="","",INVENTARIO!F1375)</f>
        <v/>
      </c>
      <c r="D1375">
        <f>IF(INVENTARIO!H1375="","",INVENTARIO!H1375)</f>
        <v/>
      </c>
      <c r="E1375">
        <f>IF(INVENTARIO!I1375="","",INVENTARIO!I1375)</f>
        <v/>
      </c>
      <c r="F1375">
        <f>IF(INVENTARIO!N1375="","",INVENTARIO!N1375)</f>
        <v/>
      </c>
      <c r="G1375">
        <f>IF(INVENTARIO!P1375="","",INVENTARIO!P1375)</f>
        <v/>
      </c>
      <c r="H1375">
        <f>IF(INVENTARIO!Q1375="","",INVENTARIO!Q1375)</f>
        <v/>
      </c>
      <c r="I1375">
        <f>IF(INVENTARIO!R1375="","",INVENTARIO!R1375)</f>
        <v/>
      </c>
      <c r="J1375">
        <f>IF(G1375="PUBLICA(1)",1,IF(G1375="USO INTERNO(2)",2,IF(G1375="RESTRINGIDO(3)",3,0)))+IF(H1375="BAJA(1)",1,IF(H1375="MEDIA(2)",2,IF(H1375="ALTA(3)",3,0)))+IF(I1375="BAJA(1)",1,IF(I1375="MEDIA(2)",2,IF(I1375="ALTA(3)",3,0)))</f>
        <v/>
      </c>
      <c r="K1375">
        <f>IF(J1375="", "", IF(J1375&gt;=8,"ALTA",IF(J1375&gt;=6,"MEDIA","BAJA")))</f>
        <v/>
      </c>
      <c r="L1375">
        <f>IF(INVENTARIO!Y1375="","",INVENTARIO!Y1375)</f>
        <v/>
      </c>
      <c r="M1375">
        <f>IF(INVENTARIO!Z1375="","",INVENTARIO!Z1375)</f>
        <v/>
      </c>
      <c r="N1375">
        <f>IF(INVENTARIO!AA1375="","",INVENTARIO!AA1375)</f>
        <v/>
      </c>
      <c r="O1375">
        <f>IF(INVENTARIO!AB1375="","",INVENTARIO!AB1375)</f>
        <v/>
      </c>
      <c r="P1375">
        <f>IF(INVENTARIO!AC1375="","",INVENTARIO!AC1375)</f>
        <v/>
      </c>
      <c r="Q1375">
        <f>IF(AND(K1375="",N1375="",L1375=""),"",IF(AND((K1375="ALTA"),OR(LEFT(N1375,2)="L0",LEFT(N1375,2)="L1",L1375="No Iniciado")),"CRÍTICO - Incumplimiento Normativo SEPS",IF(AND(OR(LEFT(N1375,2)="L4",LEFT(N1375,2)="L5"),AND(P1375&lt;&gt;"",P1375&lt;&gt;"N/A")),"CONFORME - Control Efectivo ISO 27001","OBSERVACIÓN - Revisar Controles")))</f>
        <v/>
      </c>
    </row>
    <row r="1376">
      <c r="A1376">
        <f>IF(INVENTARIO!A1376="","",INVENTARIO!A1376)</f>
        <v/>
      </c>
      <c r="B1376">
        <f>IF(INVENTARIO!E1376="","",INVENTARIO!E1376)</f>
        <v/>
      </c>
      <c r="C1376">
        <f>IF(INVENTARIO!F1376="","",INVENTARIO!F1376)</f>
        <v/>
      </c>
      <c r="D1376">
        <f>IF(INVENTARIO!H1376="","",INVENTARIO!H1376)</f>
        <v/>
      </c>
      <c r="E1376">
        <f>IF(INVENTARIO!I1376="","",INVENTARIO!I1376)</f>
        <v/>
      </c>
      <c r="F1376">
        <f>IF(INVENTARIO!N1376="","",INVENTARIO!N1376)</f>
        <v/>
      </c>
      <c r="G1376">
        <f>IF(INVENTARIO!P1376="","",INVENTARIO!P1376)</f>
        <v/>
      </c>
      <c r="H1376">
        <f>IF(INVENTARIO!Q1376="","",INVENTARIO!Q1376)</f>
        <v/>
      </c>
      <c r="I1376">
        <f>IF(INVENTARIO!R1376="","",INVENTARIO!R1376)</f>
        <v/>
      </c>
      <c r="J1376">
        <f>IF(G1376="PUBLICA(1)",1,IF(G1376="USO INTERNO(2)",2,IF(G1376="RESTRINGIDO(3)",3,0)))+IF(H1376="BAJA(1)",1,IF(H1376="MEDIA(2)",2,IF(H1376="ALTA(3)",3,0)))+IF(I1376="BAJA(1)",1,IF(I1376="MEDIA(2)",2,IF(I1376="ALTA(3)",3,0)))</f>
        <v/>
      </c>
      <c r="K1376">
        <f>IF(J1376="", "", IF(J1376&gt;=8,"ALTA",IF(J1376&gt;=6,"MEDIA","BAJA")))</f>
        <v/>
      </c>
      <c r="L1376">
        <f>IF(INVENTARIO!Y1376="","",INVENTARIO!Y1376)</f>
        <v/>
      </c>
      <c r="M1376">
        <f>IF(INVENTARIO!Z1376="","",INVENTARIO!Z1376)</f>
        <v/>
      </c>
      <c r="N1376">
        <f>IF(INVENTARIO!AA1376="","",INVENTARIO!AA1376)</f>
        <v/>
      </c>
      <c r="O1376">
        <f>IF(INVENTARIO!AB1376="","",INVENTARIO!AB1376)</f>
        <v/>
      </c>
      <c r="P1376">
        <f>IF(INVENTARIO!AC1376="","",INVENTARIO!AC1376)</f>
        <v/>
      </c>
      <c r="Q1376">
        <f>IF(AND(K1376="",N1376="",L1376=""),"",IF(AND((K1376="ALTA"),OR(LEFT(N1376,2)="L0",LEFT(N1376,2)="L1",L1376="No Iniciado")),"CRÍTICO - Incumplimiento Normativo SEPS",IF(AND(OR(LEFT(N1376,2)="L4",LEFT(N1376,2)="L5"),AND(P1376&lt;&gt;"",P1376&lt;&gt;"N/A")),"CONFORME - Control Efectivo ISO 27001","OBSERVACIÓN - Revisar Controles")))</f>
        <v/>
      </c>
    </row>
    <row r="1377">
      <c r="A1377">
        <f>IF(INVENTARIO!A1377="","",INVENTARIO!A1377)</f>
        <v/>
      </c>
      <c r="B1377">
        <f>IF(INVENTARIO!E1377="","",INVENTARIO!E1377)</f>
        <v/>
      </c>
      <c r="C1377">
        <f>IF(INVENTARIO!F1377="","",INVENTARIO!F1377)</f>
        <v/>
      </c>
      <c r="D1377">
        <f>IF(INVENTARIO!H1377="","",INVENTARIO!H1377)</f>
        <v/>
      </c>
      <c r="E1377">
        <f>IF(INVENTARIO!I1377="","",INVENTARIO!I1377)</f>
        <v/>
      </c>
      <c r="F1377">
        <f>IF(INVENTARIO!N1377="","",INVENTARIO!N1377)</f>
        <v/>
      </c>
      <c r="G1377">
        <f>IF(INVENTARIO!P1377="","",INVENTARIO!P1377)</f>
        <v/>
      </c>
      <c r="H1377">
        <f>IF(INVENTARIO!Q1377="","",INVENTARIO!Q1377)</f>
        <v/>
      </c>
      <c r="I1377">
        <f>IF(INVENTARIO!R1377="","",INVENTARIO!R1377)</f>
        <v/>
      </c>
      <c r="J1377">
        <f>IF(G1377="PUBLICA(1)",1,IF(G1377="USO INTERNO(2)",2,IF(G1377="RESTRINGIDO(3)",3,0)))+IF(H1377="BAJA(1)",1,IF(H1377="MEDIA(2)",2,IF(H1377="ALTA(3)",3,0)))+IF(I1377="BAJA(1)",1,IF(I1377="MEDIA(2)",2,IF(I1377="ALTA(3)",3,0)))</f>
        <v/>
      </c>
      <c r="K1377">
        <f>IF(J1377="", "", IF(J1377&gt;=8,"ALTA",IF(J1377&gt;=6,"MEDIA","BAJA")))</f>
        <v/>
      </c>
      <c r="L1377">
        <f>IF(INVENTARIO!Y1377="","",INVENTARIO!Y1377)</f>
        <v/>
      </c>
      <c r="M1377">
        <f>IF(INVENTARIO!Z1377="","",INVENTARIO!Z1377)</f>
        <v/>
      </c>
      <c r="N1377">
        <f>IF(INVENTARIO!AA1377="","",INVENTARIO!AA1377)</f>
        <v/>
      </c>
      <c r="O1377">
        <f>IF(INVENTARIO!AB1377="","",INVENTARIO!AB1377)</f>
        <v/>
      </c>
      <c r="P1377">
        <f>IF(INVENTARIO!AC1377="","",INVENTARIO!AC1377)</f>
        <v/>
      </c>
      <c r="Q1377">
        <f>IF(AND(K1377="",N1377="",L1377=""),"",IF(AND((K1377="ALTA"),OR(LEFT(N1377,2)="L0",LEFT(N1377,2)="L1",L1377="No Iniciado")),"CRÍTICO - Incumplimiento Normativo SEPS",IF(AND(OR(LEFT(N1377,2)="L4",LEFT(N1377,2)="L5"),AND(P1377&lt;&gt;"",P1377&lt;&gt;"N/A")),"CONFORME - Control Efectivo ISO 27001","OBSERVACIÓN - Revisar Controles")))</f>
        <v/>
      </c>
    </row>
    <row r="1378">
      <c r="A1378">
        <f>IF(INVENTARIO!A1378="","",INVENTARIO!A1378)</f>
        <v/>
      </c>
      <c r="B1378">
        <f>IF(INVENTARIO!E1378="","",INVENTARIO!E1378)</f>
        <v/>
      </c>
      <c r="C1378">
        <f>IF(INVENTARIO!F1378="","",INVENTARIO!F1378)</f>
        <v/>
      </c>
      <c r="D1378">
        <f>IF(INVENTARIO!H1378="","",INVENTARIO!H1378)</f>
        <v/>
      </c>
      <c r="E1378">
        <f>IF(INVENTARIO!I1378="","",INVENTARIO!I1378)</f>
        <v/>
      </c>
      <c r="F1378">
        <f>IF(INVENTARIO!N1378="","",INVENTARIO!N1378)</f>
        <v/>
      </c>
      <c r="G1378">
        <f>IF(INVENTARIO!P1378="","",INVENTARIO!P1378)</f>
        <v/>
      </c>
      <c r="H1378">
        <f>IF(INVENTARIO!Q1378="","",INVENTARIO!Q1378)</f>
        <v/>
      </c>
      <c r="I1378">
        <f>IF(INVENTARIO!R1378="","",INVENTARIO!R1378)</f>
        <v/>
      </c>
      <c r="J1378">
        <f>IF(G1378="PUBLICA(1)",1,IF(G1378="USO INTERNO(2)",2,IF(G1378="RESTRINGIDO(3)",3,0)))+IF(H1378="BAJA(1)",1,IF(H1378="MEDIA(2)",2,IF(H1378="ALTA(3)",3,0)))+IF(I1378="BAJA(1)",1,IF(I1378="MEDIA(2)",2,IF(I1378="ALTA(3)",3,0)))</f>
        <v/>
      </c>
      <c r="K1378">
        <f>IF(J1378="", "", IF(J1378&gt;=8,"ALTA",IF(J1378&gt;=6,"MEDIA","BAJA")))</f>
        <v/>
      </c>
      <c r="L1378">
        <f>IF(INVENTARIO!Y1378="","",INVENTARIO!Y1378)</f>
        <v/>
      </c>
      <c r="M1378">
        <f>IF(INVENTARIO!Z1378="","",INVENTARIO!Z1378)</f>
        <v/>
      </c>
      <c r="N1378">
        <f>IF(INVENTARIO!AA1378="","",INVENTARIO!AA1378)</f>
        <v/>
      </c>
      <c r="O1378">
        <f>IF(INVENTARIO!AB1378="","",INVENTARIO!AB1378)</f>
        <v/>
      </c>
      <c r="P1378">
        <f>IF(INVENTARIO!AC1378="","",INVENTARIO!AC1378)</f>
        <v/>
      </c>
      <c r="Q1378">
        <f>IF(AND(K1378="",N1378="",L1378=""),"",IF(AND((K1378="ALTA"),OR(LEFT(N1378,2)="L0",LEFT(N1378,2)="L1",L1378="No Iniciado")),"CRÍTICO - Incumplimiento Normativo SEPS",IF(AND(OR(LEFT(N1378,2)="L4",LEFT(N1378,2)="L5"),AND(P1378&lt;&gt;"",P1378&lt;&gt;"N/A")),"CONFORME - Control Efectivo ISO 27001","OBSERVACIÓN - Revisar Controles")))</f>
        <v/>
      </c>
    </row>
    <row r="1379">
      <c r="A1379">
        <f>IF(INVENTARIO!A1379="","",INVENTARIO!A1379)</f>
        <v/>
      </c>
      <c r="B1379">
        <f>IF(INVENTARIO!E1379="","",INVENTARIO!E1379)</f>
        <v/>
      </c>
      <c r="C1379">
        <f>IF(INVENTARIO!F1379="","",INVENTARIO!F1379)</f>
        <v/>
      </c>
      <c r="D1379">
        <f>IF(INVENTARIO!H1379="","",INVENTARIO!H1379)</f>
        <v/>
      </c>
      <c r="E1379">
        <f>IF(INVENTARIO!I1379="","",INVENTARIO!I1379)</f>
        <v/>
      </c>
      <c r="F1379">
        <f>IF(INVENTARIO!N1379="","",INVENTARIO!N1379)</f>
        <v/>
      </c>
      <c r="G1379">
        <f>IF(INVENTARIO!P1379="","",INVENTARIO!P1379)</f>
        <v/>
      </c>
      <c r="H1379">
        <f>IF(INVENTARIO!Q1379="","",INVENTARIO!Q1379)</f>
        <v/>
      </c>
      <c r="I1379">
        <f>IF(INVENTARIO!R1379="","",INVENTARIO!R1379)</f>
        <v/>
      </c>
      <c r="J1379">
        <f>IF(G1379="PUBLICA(1)",1,IF(G1379="USO INTERNO(2)",2,IF(G1379="RESTRINGIDO(3)",3,0)))+IF(H1379="BAJA(1)",1,IF(H1379="MEDIA(2)",2,IF(H1379="ALTA(3)",3,0)))+IF(I1379="BAJA(1)",1,IF(I1379="MEDIA(2)",2,IF(I1379="ALTA(3)",3,0)))</f>
        <v/>
      </c>
      <c r="K1379">
        <f>IF(J1379="", "", IF(J1379&gt;=8,"ALTA",IF(J1379&gt;=6,"MEDIA","BAJA")))</f>
        <v/>
      </c>
      <c r="L1379">
        <f>IF(INVENTARIO!Y1379="","",INVENTARIO!Y1379)</f>
        <v/>
      </c>
      <c r="M1379">
        <f>IF(INVENTARIO!Z1379="","",INVENTARIO!Z1379)</f>
        <v/>
      </c>
      <c r="N1379">
        <f>IF(INVENTARIO!AA1379="","",INVENTARIO!AA1379)</f>
        <v/>
      </c>
      <c r="O1379">
        <f>IF(INVENTARIO!AB1379="","",INVENTARIO!AB1379)</f>
        <v/>
      </c>
      <c r="P1379">
        <f>IF(INVENTARIO!AC1379="","",INVENTARIO!AC1379)</f>
        <v/>
      </c>
      <c r="Q1379">
        <f>IF(AND(K1379="",N1379="",L1379=""),"",IF(AND((K1379="ALTA"),OR(LEFT(N1379,2)="L0",LEFT(N1379,2)="L1",L1379="No Iniciado")),"CRÍTICO - Incumplimiento Normativo SEPS",IF(AND(OR(LEFT(N1379,2)="L4",LEFT(N1379,2)="L5"),AND(P1379&lt;&gt;"",P1379&lt;&gt;"N/A")),"CONFORME - Control Efectivo ISO 27001","OBSERVACIÓN - Revisar Controles")))</f>
        <v/>
      </c>
    </row>
    <row r="1380">
      <c r="A1380">
        <f>IF(INVENTARIO!A1380="","",INVENTARIO!A1380)</f>
        <v/>
      </c>
      <c r="B1380">
        <f>IF(INVENTARIO!E1380="","",INVENTARIO!E1380)</f>
        <v/>
      </c>
      <c r="C1380">
        <f>IF(INVENTARIO!F1380="","",INVENTARIO!F1380)</f>
        <v/>
      </c>
      <c r="D1380">
        <f>IF(INVENTARIO!H1380="","",INVENTARIO!H1380)</f>
        <v/>
      </c>
      <c r="E1380">
        <f>IF(INVENTARIO!I1380="","",INVENTARIO!I1380)</f>
        <v/>
      </c>
      <c r="F1380">
        <f>IF(INVENTARIO!N1380="","",INVENTARIO!N1380)</f>
        <v/>
      </c>
      <c r="G1380">
        <f>IF(INVENTARIO!P1380="","",INVENTARIO!P1380)</f>
        <v/>
      </c>
      <c r="H1380">
        <f>IF(INVENTARIO!Q1380="","",INVENTARIO!Q1380)</f>
        <v/>
      </c>
      <c r="I1380">
        <f>IF(INVENTARIO!R1380="","",INVENTARIO!R1380)</f>
        <v/>
      </c>
      <c r="J1380">
        <f>IF(G1380="PUBLICA(1)",1,IF(G1380="USO INTERNO(2)",2,IF(G1380="RESTRINGIDO(3)",3,0)))+IF(H1380="BAJA(1)",1,IF(H1380="MEDIA(2)",2,IF(H1380="ALTA(3)",3,0)))+IF(I1380="BAJA(1)",1,IF(I1380="MEDIA(2)",2,IF(I1380="ALTA(3)",3,0)))</f>
        <v/>
      </c>
      <c r="K1380">
        <f>IF(J1380="", "", IF(J1380&gt;=8,"ALTA",IF(J1380&gt;=6,"MEDIA","BAJA")))</f>
        <v/>
      </c>
      <c r="L1380">
        <f>IF(INVENTARIO!Y1380="","",INVENTARIO!Y1380)</f>
        <v/>
      </c>
      <c r="M1380">
        <f>IF(INVENTARIO!Z1380="","",INVENTARIO!Z1380)</f>
        <v/>
      </c>
      <c r="N1380">
        <f>IF(INVENTARIO!AA1380="","",INVENTARIO!AA1380)</f>
        <v/>
      </c>
      <c r="O1380">
        <f>IF(INVENTARIO!AB1380="","",INVENTARIO!AB1380)</f>
        <v/>
      </c>
      <c r="P1380">
        <f>IF(INVENTARIO!AC1380="","",INVENTARIO!AC1380)</f>
        <v/>
      </c>
      <c r="Q1380">
        <f>IF(AND(K1380="",N1380="",L1380=""),"",IF(AND((K1380="ALTA"),OR(LEFT(N1380,2)="L0",LEFT(N1380,2)="L1",L1380="No Iniciado")),"CRÍTICO - Incumplimiento Normativo SEPS",IF(AND(OR(LEFT(N1380,2)="L4",LEFT(N1380,2)="L5"),AND(P1380&lt;&gt;"",P1380&lt;&gt;"N/A")),"CONFORME - Control Efectivo ISO 27001","OBSERVACIÓN - Revisar Controles")))</f>
        <v/>
      </c>
    </row>
    <row r="1381">
      <c r="A1381">
        <f>IF(INVENTARIO!A1381="","",INVENTARIO!A1381)</f>
        <v/>
      </c>
      <c r="B1381">
        <f>IF(INVENTARIO!E1381="","",INVENTARIO!E1381)</f>
        <v/>
      </c>
      <c r="C1381">
        <f>IF(INVENTARIO!F1381="","",INVENTARIO!F1381)</f>
        <v/>
      </c>
      <c r="D1381">
        <f>IF(INVENTARIO!H1381="","",INVENTARIO!H1381)</f>
        <v/>
      </c>
      <c r="E1381">
        <f>IF(INVENTARIO!I1381="","",INVENTARIO!I1381)</f>
        <v/>
      </c>
      <c r="F1381">
        <f>IF(INVENTARIO!N1381="","",INVENTARIO!N1381)</f>
        <v/>
      </c>
      <c r="G1381">
        <f>IF(INVENTARIO!P1381="","",INVENTARIO!P1381)</f>
        <v/>
      </c>
      <c r="H1381">
        <f>IF(INVENTARIO!Q1381="","",INVENTARIO!Q1381)</f>
        <v/>
      </c>
      <c r="I1381">
        <f>IF(INVENTARIO!R1381="","",INVENTARIO!R1381)</f>
        <v/>
      </c>
      <c r="J1381">
        <f>IF(G1381="PUBLICA(1)",1,IF(G1381="USO INTERNO(2)",2,IF(G1381="RESTRINGIDO(3)",3,0)))+IF(H1381="BAJA(1)",1,IF(H1381="MEDIA(2)",2,IF(H1381="ALTA(3)",3,0)))+IF(I1381="BAJA(1)",1,IF(I1381="MEDIA(2)",2,IF(I1381="ALTA(3)",3,0)))</f>
        <v/>
      </c>
      <c r="K1381">
        <f>IF(J1381="", "", IF(J1381&gt;=8,"ALTA",IF(J1381&gt;=6,"MEDIA","BAJA")))</f>
        <v/>
      </c>
      <c r="L1381">
        <f>IF(INVENTARIO!Y1381="","",INVENTARIO!Y1381)</f>
        <v/>
      </c>
      <c r="M1381">
        <f>IF(INVENTARIO!Z1381="","",INVENTARIO!Z1381)</f>
        <v/>
      </c>
      <c r="N1381">
        <f>IF(INVENTARIO!AA1381="","",INVENTARIO!AA1381)</f>
        <v/>
      </c>
      <c r="O1381">
        <f>IF(INVENTARIO!AB1381="","",INVENTARIO!AB1381)</f>
        <v/>
      </c>
      <c r="P1381">
        <f>IF(INVENTARIO!AC1381="","",INVENTARIO!AC1381)</f>
        <v/>
      </c>
      <c r="Q1381">
        <f>IF(AND(K1381="",N1381="",L1381=""),"",IF(AND((K1381="ALTA"),OR(LEFT(N1381,2)="L0",LEFT(N1381,2)="L1",L1381="No Iniciado")),"CRÍTICO - Incumplimiento Normativo SEPS",IF(AND(OR(LEFT(N1381,2)="L4",LEFT(N1381,2)="L5"),AND(P1381&lt;&gt;"",P1381&lt;&gt;"N/A")),"CONFORME - Control Efectivo ISO 27001","OBSERVACIÓN - Revisar Controles")))</f>
        <v/>
      </c>
    </row>
    <row r="1382">
      <c r="A1382">
        <f>IF(INVENTARIO!A1382="","",INVENTARIO!A1382)</f>
        <v/>
      </c>
      <c r="B1382">
        <f>IF(INVENTARIO!E1382="","",INVENTARIO!E1382)</f>
        <v/>
      </c>
      <c r="C1382">
        <f>IF(INVENTARIO!F1382="","",INVENTARIO!F1382)</f>
        <v/>
      </c>
      <c r="D1382">
        <f>IF(INVENTARIO!H1382="","",INVENTARIO!H1382)</f>
        <v/>
      </c>
      <c r="E1382">
        <f>IF(INVENTARIO!I1382="","",INVENTARIO!I1382)</f>
        <v/>
      </c>
      <c r="F1382">
        <f>IF(INVENTARIO!N1382="","",INVENTARIO!N1382)</f>
        <v/>
      </c>
      <c r="G1382">
        <f>IF(INVENTARIO!P1382="","",INVENTARIO!P1382)</f>
        <v/>
      </c>
      <c r="H1382">
        <f>IF(INVENTARIO!Q1382="","",INVENTARIO!Q1382)</f>
        <v/>
      </c>
      <c r="I1382">
        <f>IF(INVENTARIO!R1382="","",INVENTARIO!R1382)</f>
        <v/>
      </c>
      <c r="J1382">
        <f>IF(G1382="PUBLICA(1)",1,IF(G1382="USO INTERNO(2)",2,IF(G1382="RESTRINGIDO(3)",3,0)))+IF(H1382="BAJA(1)",1,IF(H1382="MEDIA(2)",2,IF(H1382="ALTA(3)",3,0)))+IF(I1382="BAJA(1)",1,IF(I1382="MEDIA(2)",2,IF(I1382="ALTA(3)",3,0)))</f>
        <v/>
      </c>
      <c r="K1382">
        <f>IF(J1382="", "", IF(J1382&gt;=8,"ALTA",IF(J1382&gt;=6,"MEDIA","BAJA")))</f>
        <v/>
      </c>
      <c r="L1382">
        <f>IF(INVENTARIO!Y1382="","",INVENTARIO!Y1382)</f>
        <v/>
      </c>
      <c r="M1382">
        <f>IF(INVENTARIO!Z1382="","",INVENTARIO!Z1382)</f>
        <v/>
      </c>
      <c r="N1382">
        <f>IF(INVENTARIO!AA1382="","",INVENTARIO!AA1382)</f>
        <v/>
      </c>
      <c r="O1382">
        <f>IF(INVENTARIO!AB1382="","",INVENTARIO!AB1382)</f>
        <v/>
      </c>
      <c r="P1382">
        <f>IF(INVENTARIO!AC1382="","",INVENTARIO!AC1382)</f>
        <v/>
      </c>
      <c r="Q1382">
        <f>IF(AND(K1382="",N1382="",L1382=""),"",IF(AND((K1382="ALTA"),OR(LEFT(N1382,2)="L0",LEFT(N1382,2)="L1",L1382="No Iniciado")),"CRÍTICO - Incumplimiento Normativo SEPS",IF(AND(OR(LEFT(N1382,2)="L4",LEFT(N1382,2)="L5"),AND(P1382&lt;&gt;"",P1382&lt;&gt;"N/A")),"CONFORME - Control Efectivo ISO 27001","OBSERVACIÓN - Revisar Controles")))</f>
        <v/>
      </c>
    </row>
    <row r="1383">
      <c r="A1383">
        <f>IF(INVENTARIO!A1383="","",INVENTARIO!A1383)</f>
        <v/>
      </c>
      <c r="B1383">
        <f>IF(INVENTARIO!E1383="","",INVENTARIO!E1383)</f>
        <v/>
      </c>
      <c r="C1383">
        <f>IF(INVENTARIO!F1383="","",INVENTARIO!F1383)</f>
        <v/>
      </c>
      <c r="D1383">
        <f>IF(INVENTARIO!H1383="","",INVENTARIO!H1383)</f>
        <v/>
      </c>
      <c r="E1383">
        <f>IF(INVENTARIO!I1383="","",INVENTARIO!I1383)</f>
        <v/>
      </c>
      <c r="F1383">
        <f>IF(INVENTARIO!N1383="","",INVENTARIO!N1383)</f>
        <v/>
      </c>
      <c r="G1383">
        <f>IF(INVENTARIO!P1383="","",INVENTARIO!P1383)</f>
        <v/>
      </c>
      <c r="H1383">
        <f>IF(INVENTARIO!Q1383="","",INVENTARIO!Q1383)</f>
        <v/>
      </c>
      <c r="I1383">
        <f>IF(INVENTARIO!R1383="","",INVENTARIO!R1383)</f>
        <v/>
      </c>
      <c r="J1383">
        <f>IF(G1383="PUBLICA(1)",1,IF(G1383="USO INTERNO(2)",2,IF(G1383="RESTRINGIDO(3)",3,0)))+IF(H1383="BAJA(1)",1,IF(H1383="MEDIA(2)",2,IF(H1383="ALTA(3)",3,0)))+IF(I1383="BAJA(1)",1,IF(I1383="MEDIA(2)",2,IF(I1383="ALTA(3)",3,0)))</f>
        <v/>
      </c>
      <c r="K1383">
        <f>IF(J1383="", "", IF(J1383&gt;=8,"ALTA",IF(J1383&gt;=6,"MEDIA","BAJA")))</f>
        <v/>
      </c>
      <c r="L1383">
        <f>IF(INVENTARIO!Y1383="","",INVENTARIO!Y1383)</f>
        <v/>
      </c>
      <c r="M1383">
        <f>IF(INVENTARIO!Z1383="","",INVENTARIO!Z1383)</f>
        <v/>
      </c>
      <c r="N1383">
        <f>IF(INVENTARIO!AA1383="","",INVENTARIO!AA1383)</f>
        <v/>
      </c>
      <c r="O1383">
        <f>IF(INVENTARIO!AB1383="","",INVENTARIO!AB1383)</f>
        <v/>
      </c>
      <c r="P1383">
        <f>IF(INVENTARIO!AC1383="","",INVENTARIO!AC1383)</f>
        <v/>
      </c>
      <c r="Q1383">
        <f>IF(AND(K1383="",N1383="",L1383=""),"",IF(AND((K1383="ALTA"),OR(LEFT(N1383,2)="L0",LEFT(N1383,2)="L1",L1383="No Iniciado")),"CRÍTICO - Incumplimiento Normativo SEPS",IF(AND(OR(LEFT(N1383,2)="L4",LEFT(N1383,2)="L5"),AND(P1383&lt;&gt;"",P1383&lt;&gt;"N/A")),"CONFORME - Control Efectivo ISO 27001","OBSERVACIÓN - Revisar Controles")))</f>
        <v/>
      </c>
    </row>
    <row r="1384">
      <c r="A1384">
        <f>IF(INVENTARIO!A1384="","",INVENTARIO!A1384)</f>
        <v/>
      </c>
      <c r="B1384">
        <f>IF(INVENTARIO!E1384="","",INVENTARIO!E1384)</f>
        <v/>
      </c>
      <c r="C1384">
        <f>IF(INVENTARIO!F1384="","",INVENTARIO!F1384)</f>
        <v/>
      </c>
      <c r="D1384">
        <f>IF(INVENTARIO!H1384="","",INVENTARIO!H1384)</f>
        <v/>
      </c>
      <c r="E1384">
        <f>IF(INVENTARIO!I1384="","",INVENTARIO!I1384)</f>
        <v/>
      </c>
      <c r="F1384">
        <f>IF(INVENTARIO!N1384="","",INVENTARIO!N1384)</f>
        <v/>
      </c>
      <c r="G1384">
        <f>IF(INVENTARIO!P1384="","",INVENTARIO!P1384)</f>
        <v/>
      </c>
      <c r="H1384">
        <f>IF(INVENTARIO!Q1384="","",INVENTARIO!Q1384)</f>
        <v/>
      </c>
      <c r="I1384">
        <f>IF(INVENTARIO!R1384="","",INVENTARIO!R1384)</f>
        <v/>
      </c>
      <c r="J1384">
        <f>IF(G1384="PUBLICA(1)",1,IF(G1384="USO INTERNO(2)",2,IF(G1384="RESTRINGIDO(3)",3,0)))+IF(H1384="BAJA(1)",1,IF(H1384="MEDIA(2)",2,IF(H1384="ALTA(3)",3,0)))+IF(I1384="BAJA(1)",1,IF(I1384="MEDIA(2)",2,IF(I1384="ALTA(3)",3,0)))</f>
        <v/>
      </c>
      <c r="K1384">
        <f>IF(J1384="", "", IF(J1384&gt;=8,"ALTA",IF(J1384&gt;=6,"MEDIA","BAJA")))</f>
        <v/>
      </c>
      <c r="L1384">
        <f>IF(INVENTARIO!Y1384="","",INVENTARIO!Y1384)</f>
        <v/>
      </c>
      <c r="M1384">
        <f>IF(INVENTARIO!Z1384="","",INVENTARIO!Z1384)</f>
        <v/>
      </c>
      <c r="N1384">
        <f>IF(INVENTARIO!AA1384="","",INVENTARIO!AA1384)</f>
        <v/>
      </c>
      <c r="O1384">
        <f>IF(INVENTARIO!AB1384="","",INVENTARIO!AB1384)</f>
        <v/>
      </c>
      <c r="P1384">
        <f>IF(INVENTARIO!AC1384="","",INVENTARIO!AC1384)</f>
        <v/>
      </c>
      <c r="Q1384">
        <f>IF(AND(K1384="",N1384="",L1384=""),"",IF(AND((K1384="ALTA"),OR(LEFT(N1384,2)="L0",LEFT(N1384,2)="L1",L1384="No Iniciado")),"CRÍTICO - Incumplimiento Normativo SEPS",IF(AND(OR(LEFT(N1384,2)="L4",LEFT(N1384,2)="L5"),AND(P1384&lt;&gt;"",P1384&lt;&gt;"N/A")),"CONFORME - Control Efectivo ISO 27001","OBSERVACIÓN - Revisar Controles")))</f>
        <v/>
      </c>
    </row>
    <row r="1385">
      <c r="A1385">
        <f>IF(INVENTARIO!A1385="","",INVENTARIO!A1385)</f>
        <v/>
      </c>
      <c r="B1385">
        <f>IF(INVENTARIO!E1385="","",INVENTARIO!E1385)</f>
        <v/>
      </c>
      <c r="C1385">
        <f>IF(INVENTARIO!F1385="","",INVENTARIO!F1385)</f>
        <v/>
      </c>
      <c r="D1385">
        <f>IF(INVENTARIO!H1385="","",INVENTARIO!H1385)</f>
        <v/>
      </c>
      <c r="E1385">
        <f>IF(INVENTARIO!I1385="","",INVENTARIO!I1385)</f>
        <v/>
      </c>
      <c r="F1385">
        <f>IF(INVENTARIO!N1385="","",INVENTARIO!N1385)</f>
        <v/>
      </c>
      <c r="G1385">
        <f>IF(INVENTARIO!P1385="","",INVENTARIO!P1385)</f>
        <v/>
      </c>
      <c r="H1385">
        <f>IF(INVENTARIO!Q1385="","",INVENTARIO!Q1385)</f>
        <v/>
      </c>
      <c r="I1385">
        <f>IF(INVENTARIO!R1385="","",INVENTARIO!R1385)</f>
        <v/>
      </c>
      <c r="J1385">
        <f>IF(G1385="PUBLICA(1)",1,IF(G1385="USO INTERNO(2)",2,IF(G1385="RESTRINGIDO(3)",3,0)))+IF(H1385="BAJA(1)",1,IF(H1385="MEDIA(2)",2,IF(H1385="ALTA(3)",3,0)))+IF(I1385="BAJA(1)",1,IF(I1385="MEDIA(2)",2,IF(I1385="ALTA(3)",3,0)))</f>
        <v/>
      </c>
      <c r="K1385">
        <f>IF(J1385="", "", IF(J1385&gt;=8,"ALTA",IF(J1385&gt;=6,"MEDIA","BAJA")))</f>
        <v/>
      </c>
      <c r="L1385">
        <f>IF(INVENTARIO!Y1385="","",INVENTARIO!Y1385)</f>
        <v/>
      </c>
      <c r="M1385">
        <f>IF(INVENTARIO!Z1385="","",INVENTARIO!Z1385)</f>
        <v/>
      </c>
      <c r="N1385">
        <f>IF(INVENTARIO!AA1385="","",INVENTARIO!AA1385)</f>
        <v/>
      </c>
      <c r="O1385">
        <f>IF(INVENTARIO!AB1385="","",INVENTARIO!AB1385)</f>
        <v/>
      </c>
      <c r="P1385">
        <f>IF(INVENTARIO!AC1385="","",INVENTARIO!AC1385)</f>
        <v/>
      </c>
      <c r="Q1385">
        <f>IF(AND(K1385="",N1385="",L1385=""),"",IF(AND((K1385="ALTA"),OR(LEFT(N1385,2)="L0",LEFT(N1385,2)="L1",L1385="No Iniciado")),"CRÍTICO - Incumplimiento Normativo SEPS",IF(AND(OR(LEFT(N1385,2)="L4",LEFT(N1385,2)="L5"),AND(P1385&lt;&gt;"",P1385&lt;&gt;"N/A")),"CONFORME - Control Efectivo ISO 27001","OBSERVACIÓN - Revisar Controles")))</f>
        <v/>
      </c>
    </row>
    <row r="1386">
      <c r="A1386">
        <f>IF(INVENTARIO!A1386="","",INVENTARIO!A1386)</f>
        <v/>
      </c>
      <c r="B1386">
        <f>IF(INVENTARIO!E1386="","",INVENTARIO!E1386)</f>
        <v/>
      </c>
      <c r="C1386">
        <f>IF(INVENTARIO!F1386="","",INVENTARIO!F1386)</f>
        <v/>
      </c>
      <c r="D1386">
        <f>IF(INVENTARIO!H1386="","",INVENTARIO!H1386)</f>
        <v/>
      </c>
      <c r="E1386">
        <f>IF(INVENTARIO!I1386="","",INVENTARIO!I1386)</f>
        <v/>
      </c>
      <c r="F1386">
        <f>IF(INVENTARIO!N1386="","",INVENTARIO!N1386)</f>
        <v/>
      </c>
      <c r="G1386">
        <f>IF(INVENTARIO!P1386="","",INVENTARIO!P1386)</f>
        <v/>
      </c>
      <c r="H1386">
        <f>IF(INVENTARIO!Q1386="","",INVENTARIO!Q1386)</f>
        <v/>
      </c>
      <c r="I1386">
        <f>IF(INVENTARIO!R1386="","",INVENTARIO!R1386)</f>
        <v/>
      </c>
      <c r="J1386">
        <f>IF(G1386="PUBLICA(1)",1,IF(G1386="USO INTERNO(2)",2,IF(G1386="RESTRINGIDO(3)",3,0)))+IF(H1386="BAJA(1)",1,IF(H1386="MEDIA(2)",2,IF(H1386="ALTA(3)",3,0)))+IF(I1386="BAJA(1)",1,IF(I1386="MEDIA(2)",2,IF(I1386="ALTA(3)",3,0)))</f>
        <v/>
      </c>
      <c r="K1386">
        <f>IF(J1386="", "", IF(J1386&gt;=8,"ALTA",IF(J1386&gt;=6,"MEDIA","BAJA")))</f>
        <v/>
      </c>
      <c r="L1386">
        <f>IF(INVENTARIO!Y1386="","",INVENTARIO!Y1386)</f>
        <v/>
      </c>
      <c r="M1386">
        <f>IF(INVENTARIO!Z1386="","",INVENTARIO!Z1386)</f>
        <v/>
      </c>
      <c r="N1386">
        <f>IF(INVENTARIO!AA1386="","",INVENTARIO!AA1386)</f>
        <v/>
      </c>
      <c r="O1386">
        <f>IF(INVENTARIO!AB1386="","",INVENTARIO!AB1386)</f>
        <v/>
      </c>
      <c r="P1386">
        <f>IF(INVENTARIO!AC1386="","",INVENTARIO!AC1386)</f>
        <v/>
      </c>
      <c r="Q1386">
        <f>IF(AND(K1386="",N1386="",L1386=""),"",IF(AND((K1386="ALTA"),OR(LEFT(N1386,2)="L0",LEFT(N1386,2)="L1",L1386="No Iniciado")),"CRÍTICO - Incumplimiento Normativo SEPS",IF(AND(OR(LEFT(N1386,2)="L4",LEFT(N1386,2)="L5"),AND(P1386&lt;&gt;"",P1386&lt;&gt;"N/A")),"CONFORME - Control Efectivo ISO 27001","OBSERVACIÓN - Revisar Controles")))</f>
        <v/>
      </c>
    </row>
    <row r="1387">
      <c r="A1387">
        <f>IF(INVENTARIO!A1387="","",INVENTARIO!A1387)</f>
        <v/>
      </c>
      <c r="B1387">
        <f>IF(INVENTARIO!E1387="","",INVENTARIO!E1387)</f>
        <v/>
      </c>
      <c r="C1387">
        <f>IF(INVENTARIO!F1387="","",INVENTARIO!F1387)</f>
        <v/>
      </c>
      <c r="D1387">
        <f>IF(INVENTARIO!H1387="","",INVENTARIO!H1387)</f>
        <v/>
      </c>
      <c r="E1387">
        <f>IF(INVENTARIO!I1387="","",INVENTARIO!I1387)</f>
        <v/>
      </c>
      <c r="F1387">
        <f>IF(INVENTARIO!N1387="","",INVENTARIO!N1387)</f>
        <v/>
      </c>
      <c r="G1387">
        <f>IF(INVENTARIO!P1387="","",INVENTARIO!P1387)</f>
        <v/>
      </c>
      <c r="H1387">
        <f>IF(INVENTARIO!Q1387="","",INVENTARIO!Q1387)</f>
        <v/>
      </c>
      <c r="I1387">
        <f>IF(INVENTARIO!R1387="","",INVENTARIO!R1387)</f>
        <v/>
      </c>
      <c r="J1387">
        <f>IF(G1387="PUBLICA(1)",1,IF(G1387="USO INTERNO(2)",2,IF(G1387="RESTRINGIDO(3)",3,0)))+IF(H1387="BAJA(1)",1,IF(H1387="MEDIA(2)",2,IF(H1387="ALTA(3)",3,0)))+IF(I1387="BAJA(1)",1,IF(I1387="MEDIA(2)",2,IF(I1387="ALTA(3)",3,0)))</f>
        <v/>
      </c>
      <c r="K1387">
        <f>IF(J1387="", "", IF(J1387&gt;=8,"ALTA",IF(J1387&gt;=6,"MEDIA","BAJA")))</f>
        <v/>
      </c>
      <c r="L1387">
        <f>IF(INVENTARIO!Y1387="","",INVENTARIO!Y1387)</f>
        <v/>
      </c>
      <c r="M1387">
        <f>IF(INVENTARIO!Z1387="","",INVENTARIO!Z1387)</f>
        <v/>
      </c>
      <c r="N1387">
        <f>IF(INVENTARIO!AA1387="","",INVENTARIO!AA1387)</f>
        <v/>
      </c>
      <c r="O1387">
        <f>IF(INVENTARIO!AB1387="","",INVENTARIO!AB1387)</f>
        <v/>
      </c>
      <c r="P1387">
        <f>IF(INVENTARIO!AC1387="","",INVENTARIO!AC1387)</f>
        <v/>
      </c>
      <c r="Q1387">
        <f>IF(AND(K1387="",N1387="",L1387=""),"",IF(AND((K1387="ALTA"),OR(LEFT(N1387,2)="L0",LEFT(N1387,2)="L1",L1387="No Iniciado")),"CRÍTICO - Incumplimiento Normativo SEPS",IF(AND(OR(LEFT(N1387,2)="L4",LEFT(N1387,2)="L5"),AND(P1387&lt;&gt;"",P1387&lt;&gt;"N/A")),"CONFORME - Control Efectivo ISO 27001","OBSERVACIÓN - Revisar Controles")))</f>
        <v/>
      </c>
    </row>
    <row r="1388">
      <c r="A1388">
        <f>IF(INVENTARIO!A1388="","",INVENTARIO!A1388)</f>
        <v/>
      </c>
      <c r="B1388">
        <f>IF(INVENTARIO!E1388="","",INVENTARIO!E1388)</f>
        <v/>
      </c>
      <c r="C1388">
        <f>IF(INVENTARIO!F1388="","",INVENTARIO!F1388)</f>
        <v/>
      </c>
      <c r="D1388">
        <f>IF(INVENTARIO!H1388="","",INVENTARIO!H1388)</f>
        <v/>
      </c>
      <c r="E1388">
        <f>IF(INVENTARIO!I1388="","",INVENTARIO!I1388)</f>
        <v/>
      </c>
      <c r="F1388">
        <f>IF(INVENTARIO!N1388="","",INVENTARIO!N1388)</f>
        <v/>
      </c>
      <c r="G1388">
        <f>IF(INVENTARIO!P1388="","",INVENTARIO!P1388)</f>
        <v/>
      </c>
      <c r="H1388">
        <f>IF(INVENTARIO!Q1388="","",INVENTARIO!Q1388)</f>
        <v/>
      </c>
      <c r="I1388">
        <f>IF(INVENTARIO!R1388="","",INVENTARIO!R1388)</f>
        <v/>
      </c>
      <c r="J1388">
        <f>IF(G1388="PUBLICA(1)",1,IF(G1388="USO INTERNO(2)",2,IF(G1388="RESTRINGIDO(3)",3,0)))+IF(H1388="BAJA(1)",1,IF(H1388="MEDIA(2)",2,IF(H1388="ALTA(3)",3,0)))+IF(I1388="BAJA(1)",1,IF(I1388="MEDIA(2)",2,IF(I1388="ALTA(3)",3,0)))</f>
        <v/>
      </c>
      <c r="K1388">
        <f>IF(J1388="", "", IF(J1388&gt;=8,"ALTA",IF(J1388&gt;=6,"MEDIA","BAJA")))</f>
        <v/>
      </c>
      <c r="L1388">
        <f>IF(INVENTARIO!Y1388="","",INVENTARIO!Y1388)</f>
        <v/>
      </c>
      <c r="M1388">
        <f>IF(INVENTARIO!Z1388="","",INVENTARIO!Z1388)</f>
        <v/>
      </c>
      <c r="N1388">
        <f>IF(INVENTARIO!AA1388="","",INVENTARIO!AA1388)</f>
        <v/>
      </c>
      <c r="O1388">
        <f>IF(INVENTARIO!AB1388="","",INVENTARIO!AB1388)</f>
        <v/>
      </c>
      <c r="P1388">
        <f>IF(INVENTARIO!AC1388="","",INVENTARIO!AC1388)</f>
        <v/>
      </c>
      <c r="Q1388">
        <f>IF(AND(K1388="",N1388="",L1388=""),"",IF(AND((K1388="ALTA"),OR(LEFT(N1388,2)="L0",LEFT(N1388,2)="L1",L1388="No Iniciado")),"CRÍTICO - Incumplimiento Normativo SEPS",IF(AND(OR(LEFT(N1388,2)="L4",LEFT(N1388,2)="L5"),AND(P1388&lt;&gt;"",P1388&lt;&gt;"N/A")),"CONFORME - Control Efectivo ISO 27001","OBSERVACIÓN - Revisar Controles")))</f>
        <v/>
      </c>
    </row>
    <row r="1389">
      <c r="A1389">
        <f>IF(INVENTARIO!A1389="","",INVENTARIO!A1389)</f>
        <v/>
      </c>
      <c r="B1389">
        <f>IF(INVENTARIO!E1389="","",INVENTARIO!E1389)</f>
        <v/>
      </c>
      <c r="C1389">
        <f>IF(INVENTARIO!F1389="","",INVENTARIO!F1389)</f>
        <v/>
      </c>
      <c r="D1389">
        <f>IF(INVENTARIO!H1389="","",INVENTARIO!H1389)</f>
        <v/>
      </c>
      <c r="E1389">
        <f>IF(INVENTARIO!I1389="","",INVENTARIO!I1389)</f>
        <v/>
      </c>
      <c r="F1389">
        <f>IF(INVENTARIO!N1389="","",INVENTARIO!N1389)</f>
        <v/>
      </c>
      <c r="G1389">
        <f>IF(INVENTARIO!P1389="","",INVENTARIO!P1389)</f>
        <v/>
      </c>
      <c r="H1389">
        <f>IF(INVENTARIO!Q1389="","",INVENTARIO!Q1389)</f>
        <v/>
      </c>
      <c r="I1389">
        <f>IF(INVENTARIO!R1389="","",INVENTARIO!R1389)</f>
        <v/>
      </c>
      <c r="J1389">
        <f>IF(G1389="PUBLICA(1)",1,IF(G1389="USO INTERNO(2)",2,IF(G1389="RESTRINGIDO(3)",3,0)))+IF(H1389="BAJA(1)",1,IF(H1389="MEDIA(2)",2,IF(H1389="ALTA(3)",3,0)))+IF(I1389="BAJA(1)",1,IF(I1389="MEDIA(2)",2,IF(I1389="ALTA(3)",3,0)))</f>
        <v/>
      </c>
      <c r="K1389">
        <f>IF(J1389="", "", IF(J1389&gt;=8,"ALTA",IF(J1389&gt;=6,"MEDIA","BAJA")))</f>
        <v/>
      </c>
      <c r="L1389">
        <f>IF(INVENTARIO!Y1389="","",INVENTARIO!Y1389)</f>
        <v/>
      </c>
      <c r="M1389">
        <f>IF(INVENTARIO!Z1389="","",INVENTARIO!Z1389)</f>
        <v/>
      </c>
      <c r="N1389">
        <f>IF(INVENTARIO!AA1389="","",INVENTARIO!AA1389)</f>
        <v/>
      </c>
      <c r="O1389">
        <f>IF(INVENTARIO!AB1389="","",INVENTARIO!AB1389)</f>
        <v/>
      </c>
      <c r="P1389">
        <f>IF(INVENTARIO!AC1389="","",INVENTARIO!AC1389)</f>
        <v/>
      </c>
      <c r="Q1389">
        <f>IF(AND(K1389="",N1389="",L1389=""),"",IF(AND((K1389="ALTA"),OR(LEFT(N1389,2)="L0",LEFT(N1389,2)="L1",L1389="No Iniciado")),"CRÍTICO - Incumplimiento Normativo SEPS",IF(AND(OR(LEFT(N1389,2)="L4",LEFT(N1389,2)="L5"),AND(P1389&lt;&gt;"",P1389&lt;&gt;"N/A")),"CONFORME - Control Efectivo ISO 27001","OBSERVACIÓN - Revisar Controles")))</f>
        <v/>
      </c>
    </row>
    <row r="1390">
      <c r="A1390">
        <f>IF(INVENTARIO!A1390="","",INVENTARIO!A1390)</f>
        <v/>
      </c>
      <c r="B1390">
        <f>IF(INVENTARIO!E1390="","",INVENTARIO!E1390)</f>
        <v/>
      </c>
      <c r="C1390">
        <f>IF(INVENTARIO!F1390="","",INVENTARIO!F1390)</f>
        <v/>
      </c>
      <c r="D1390">
        <f>IF(INVENTARIO!H1390="","",INVENTARIO!H1390)</f>
        <v/>
      </c>
      <c r="E1390">
        <f>IF(INVENTARIO!I1390="","",INVENTARIO!I1390)</f>
        <v/>
      </c>
      <c r="F1390">
        <f>IF(INVENTARIO!N1390="","",INVENTARIO!N1390)</f>
        <v/>
      </c>
      <c r="G1390">
        <f>IF(INVENTARIO!P1390="","",INVENTARIO!P1390)</f>
        <v/>
      </c>
      <c r="H1390">
        <f>IF(INVENTARIO!Q1390="","",INVENTARIO!Q1390)</f>
        <v/>
      </c>
      <c r="I1390">
        <f>IF(INVENTARIO!R1390="","",INVENTARIO!R1390)</f>
        <v/>
      </c>
      <c r="J1390">
        <f>IF(G1390="PUBLICA(1)",1,IF(G1390="USO INTERNO(2)",2,IF(G1390="RESTRINGIDO(3)",3,0)))+IF(H1390="BAJA(1)",1,IF(H1390="MEDIA(2)",2,IF(H1390="ALTA(3)",3,0)))+IF(I1390="BAJA(1)",1,IF(I1390="MEDIA(2)",2,IF(I1390="ALTA(3)",3,0)))</f>
        <v/>
      </c>
      <c r="K1390">
        <f>IF(J1390="", "", IF(J1390&gt;=8,"ALTA",IF(J1390&gt;=6,"MEDIA","BAJA")))</f>
        <v/>
      </c>
      <c r="L1390">
        <f>IF(INVENTARIO!Y1390="","",INVENTARIO!Y1390)</f>
        <v/>
      </c>
      <c r="M1390">
        <f>IF(INVENTARIO!Z1390="","",INVENTARIO!Z1390)</f>
        <v/>
      </c>
      <c r="N1390">
        <f>IF(INVENTARIO!AA1390="","",INVENTARIO!AA1390)</f>
        <v/>
      </c>
      <c r="O1390">
        <f>IF(INVENTARIO!AB1390="","",INVENTARIO!AB1390)</f>
        <v/>
      </c>
      <c r="P1390">
        <f>IF(INVENTARIO!AC1390="","",INVENTARIO!AC1390)</f>
        <v/>
      </c>
      <c r="Q1390">
        <f>IF(AND(K1390="",N1390="",L1390=""),"",IF(AND((K1390="ALTA"),OR(LEFT(N1390,2)="L0",LEFT(N1390,2)="L1",L1390="No Iniciado")),"CRÍTICO - Incumplimiento Normativo SEPS",IF(AND(OR(LEFT(N1390,2)="L4",LEFT(N1390,2)="L5"),AND(P1390&lt;&gt;"",P1390&lt;&gt;"N/A")),"CONFORME - Control Efectivo ISO 27001","OBSERVACIÓN - Revisar Controles")))</f>
        <v/>
      </c>
    </row>
    <row r="1391">
      <c r="A1391">
        <f>IF(INVENTARIO!A1391="","",INVENTARIO!A1391)</f>
        <v/>
      </c>
      <c r="B1391">
        <f>IF(INVENTARIO!E1391="","",INVENTARIO!E1391)</f>
        <v/>
      </c>
      <c r="C1391">
        <f>IF(INVENTARIO!F1391="","",INVENTARIO!F1391)</f>
        <v/>
      </c>
      <c r="D1391">
        <f>IF(INVENTARIO!H1391="","",INVENTARIO!H1391)</f>
        <v/>
      </c>
      <c r="E1391">
        <f>IF(INVENTARIO!I1391="","",INVENTARIO!I1391)</f>
        <v/>
      </c>
      <c r="F1391">
        <f>IF(INVENTARIO!N1391="","",INVENTARIO!N1391)</f>
        <v/>
      </c>
      <c r="G1391">
        <f>IF(INVENTARIO!P1391="","",INVENTARIO!P1391)</f>
        <v/>
      </c>
      <c r="H1391">
        <f>IF(INVENTARIO!Q1391="","",INVENTARIO!Q1391)</f>
        <v/>
      </c>
      <c r="I1391">
        <f>IF(INVENTARIO!R1391="","",INVENTARIO!R1391)</f>
        <v/>
      </c>
      <c r="J1391">
        <f>IF(G1391="PUBLICA(1)",1,IF(G1391="USO INTERNO(2)",2,IF(G1391="RESTRINGIDO(3)",3,0)))+IF(H1391="BAJA(1)",1,IF(H1391="MEDIA(2)",2,IF(H1391="ALTA(3)",3,0)))+IF(I1391="BAJA(1)",1,IF(I1391="MEDIA(2)",2,IF(I1391="ALTA(3)",3,0)))</f>
        <v/>
      </c>
      <c r="K1391">
        <f>IF(J1391="", "", IF(J1391&gt;=8,"ALTA",IF(J1391&gt;=6,"MEDIA","BAJA")))</f>
        <v/>
      </c>
      <c r="L1391">
        <f>IF(INVENTARIO!Y1391="","",INVENTARIO!Y1391)</f>
        <v/>
      </c>
      <c r="M1391">
        <f>IF(INVENTARIO!Z1391="","",INVENTARIO!Z1391)</f>
        <v/>
      </c>
      <c r="N1391">
        <f>IF(INVENTARIO!AA1391="","",INVENTARIO!AA1391)</f>
        <v/>
      </c>
      <c r="O1391">
        <f>IF(INVENTARIO!AB1391="","",INVENTARIO!AB1391)</f>
        <v/>
      </c>
      <c r="P1391">
        <f>IF(INVENTARIO!AC1391="","",INVENTARIO!AC1391)</f>
        <v/>
      </c>
      <c r="Q1391">
        <f>IF(AND(K1391="",N1391="",L1391=""),"",IF(AND((K1391="ALTA"),OR(LEFT(N1391,2)="L0",LEFT(N1391,2)="L1",L1391="No Iniciado")),"CRÍTICO - Incumplimiento Normativo SEPS",IF(AND(OR(LEFT(N1391,2)="L4",LEFT(N1391,2)="L5"),AND(P1391&lt;&gt;"",P1391&lt;&gt;"N/A")),"CONFORME - Control Efectivo ISO 27001","OBSERVACIÓN - Revisar Controles")))</f>
        <v/>
      </c>
    </row>
    <row r="1392">
      <c r="A1392">
        <f>IF(INVENTARIO!A1392="","",INVENTARIO!A1392)</f>
        <v/>
      </c>
      <c r="B1392">
        <f>IF(INVENTARIO!E1392="","",INVENTARIO!E1392)</f>
        <v/>
      </c>
      <c r="C1392">
        <f>IF(INVENTARIO!F1392="","",INVENTARIO!F1392)</f>
        <v/>
      </c>
      <c r="D1392">
        <f>IF(INVENTARIO!H1392="","",INVENTARIO!H1392)</f>
        <v/>
      </c>
      <c r="E1392">
        <f>IF(INVENTARIO!I1392="","",INVENTARIO!I1392)</f>
        <v/>
      </c>
      <c r="F1392">
        <f>IF(INVENTARIO!N1392="","",INVENTARIO!N1392)</f>
        <v/>
      </c>
      <c r="G1392">
        <f>IF(INVENTARIO!P1392="","",INVENTARIO!P1392)</f>
        <v/>
      </c>
      <c r="H1392">
        <f>IF(INVENTARIO!Q1392="","",INVENTARIO!Q1392)</f>
        <v/>
      </c>
      <c r="I1392">
        <f>IF(INVENTARIO!R1392="","",INVENTARIO!R1392)</f>
        <v/>
      </c>
      <c r="J1392">
        <f>IF(G1392="PUBLICA(1)",1,IF(G1392="USO INTERNO(2)",2,IF(G1392="RESTRINGIDO(3)",3,0)))+IF(H1392="BAJA(1)",1,IF(H1392="MEDIA(2)",2,IF(H1392="ALTA(3)",3,0)))+IF(I1392="BAJA(1)",1,IF(I1392="MEDIA(2)",2,IF(I1392="ALTA(3)",3,0)))</f>
        <v/>
      </c>
      <c r="K1392">
        <f>IF(J1392="", "", IF(J1392&gt;=8,"ALTA",IF(J1392&gt;=6,"MEDIA","BAJA")))</f>
        <v/>
      </c>
      <c r="L1392">
        <f>IF(INVENTARIO!Y1392="","",INVENTARIO!Y1392)</f>
        <v/>
      </c>
      <c r="M1392">
        <f>IF(INVENTARIO!Z1392="","",INVENTARIO!Z1392)</f>
        <v/>
      </c>
      <c r="N1392">
        <f>IF(INVENTARIO!AA1392="","",INVENTARIO!AA1392)</f>
        <v/>
      </c>
      <c r="O1392">
        <f>IF(INVENTARIO!AB1392="","",INVENTARIO!AB1392)</f>
        <v/>
      </c>
      <c r="P1392">
        <f>IF(INVENTARIO!AC1392="","",INVENTARIO!AC1392)</f>
        <v/>
      </c>
      <c r="Q1392">
        <f>IF(AND(K1392="",N1392="",L1392=""),"",IF(AND((K1392="ALTA"),OR(LEFT(N1392,2)="L0",LEFT(N1392,2)="L1",L1392="No Iniciado")),"CRÍTICO - Incumplimiento Normativo SEPS",IF(AND(OR(LEFT(N1392,2)="L4",LEFT(N1392,2)="L5"),AND(P1392&lt;&gt;"",P1392&lt;&gt;"N/A")),"CONFORME - Control Efectivo ISO 27001","OBSERVACIÓN - Revisar Controles")))</f>
        <v/>
      </c>
    </row>
    <row r="1393">
      <c r="A1393">
        <f>IF(INVENTARIO!A1393="","",INVENTARIO!A1393)</f>
        <v/>
      </c>
      <c r="B1393">
        <f>IF(INVENTARIO!E1393="","",INVENTARIO!E1393)</f>
        <v/>
      </c>
      <c r="C1393">
        <f>IF(INVENTARIO!F1393="","",INVENTARIO!F1393)</f>
        <v/>
      </c>
      <c r="D1393">
        <f>IF(INVENTARIO!H1393="","",INVENTARIO!H1393)</f>
        <v/>
      </c>
      <c r="E1393">
        <f>IF(INVENTARIO!I1393="","",INVENTARIO!I1393)</f>
        <v/>
      </c>
      <c r="F1393">
        <f>IF(INVENTARIO!N1393="","",INVENTARIO!N1393)</f>
        <v/>
      </c>
      <c r="G1393">
        <f>IF(INVENTARIO!P1393="","",INVENTARIO!P1393)</f>
        <v/>
      </c>
      <c r="H1393">
        <f>IF(INVENTARIO!Q1393="","",INVENTARIO!Q1393)</f>
        <v/>
      </c>
      <c r="I1393">
        <f>IF(INVENTARIO!R1393="","",INVENTARIO!R1393)</f>
        <v/>
      </c>
      <c r="J1393">
        <f>IF(G1393="PUBLICA(1)",1,IF(G1393="USO INTERNO(2)",2,IF(G1393="RESTRINGIDO(3)",3,0)))+IF(H1393="BAJA(1)",1,IF(H1393="MEDIA(2)",2,IF(H1393="ALTA(3)",3,0)))+IF(I1393="BAJA(1)",1,IF(I1393="MEDIA(2)",2,IF(I1393="ALTA(3)",3,0)))</f>
        <v/>
      </c>
      <c r="K1393">
        <f>IF(J1393="", "", IF(J1393&gt;=8,"ALTA",IF(J1393&gt;=6,"MEDIA","BAJA")))</f>
        <v/>
      </c>
      <c r="L1393">
        <f>IF(INVENTARIO!Y1393="","",INVENTARIO!Y1393)</f>
        <v/>
      </c>
      <c r="M1393">
        <f>IF(INVENTARIO!Z1393="","",INVENTARIO!Z1393)</f>
        <v/>
      </c>
      <c r="N1393">
        <f>IF(INVENTARIO!AA1393="","",INVENTARIO!AA1393)</f>
        <v/>
      </c>
      <c r="O1393">
        <f>IF(INVENTARIO!AB1393="","",INVENTARIO!AB1393)</f>
        <v/>
      </c>
      <c r="P1393">
        <f>IF(INVENTARIO!AC1393="","",INVENTARIO!AC1393)</f>
        <v/>
      </c>
      <c r="Q1393">
        <f>IF(AND(K1393="",N1393="",L1393=""),"",IF(AND((K1393="ALTA"),OR(LEFT(N1393,2)="L0",LEFT(N1393,2)="L1",L1393="No Iniciado")),"CRÍTICO - Incumplimiento Normativo SEPS",IF(AND(OR(LEFT(N1393,2)="L4",LEFT(N1393,2)="L5"),AND(P1393&lt;&gt;"",P1393&lt;&gt;"N/A")),"CONFORME - Control Efectivo ISO 27001","OBSERVACIÓN - Revisar Controles")))</f>
        <v/>
      </c>
    </row>
    <row r="1394">
      <c r="A1394">
        <f>IF(INVENTARIO!A1394="","",INVENTARIO!A1394)</f>
        <v/>
      </c>
      <c r="B1394">
        <f>IF(INVENTARIO!E1394="","",INVENTARIO!E1394)</f>
        <v/>
      </c>
      <c r="C1394">
        <f>IF(INVENTARIO!F1394="","",INVENTARIO!F1394)</f>
        <v/>
      </c>
      <c r="D1394">
        <f>IF(INVENTARIO!H1394="","",INVENTARIO!H1394)</f>
        <v/>
      </c>
      <c r="E1394">
        <f>IF(INVENTARIO!I1394="","",INVENTARIO!I1394)</f>
        <v/>
      </c>
      <c r="F1394">
        <f>IF(INVENTARIO!N1394="","",INVENTARIO!N1394)</f>
        <v/>
      </c>
      <c r="G1394">
        <f>IF(INVENTARIO!P1394="","",INVENTARIO!P1394)</f>
        <v/>
      </c>
      <c r="H1394">
        <f>IF(INVENTARIO!Q1394="","",INVENTARIO!Q1394)</f>
        <v/>
      </c>
      <c r="I1394">
        <f>IF(INVENTARIO!R1394="","",INVENTARIO!R1394)</f>
        <v/>
      </c>
      <c r="J1394">
        <f>IF(G1394="PUBLICA(1)",1,IF(G1394="USO INTERNO(2)",2,IF(G1394="RESTRINGIDO(3)",3,0)))+IF(H1394="BAJA(1)",1,IF(H1394="MEDIA(2)",2,IF(H1394="ALTA(3)",3,0)))+IF(I1394="BAJA(1)",1,IF(I1394="MEDIA(2)",2,IF(I1394="ALTA(3)",3,0)))</f>
        <v/>
      </c>
      <c r="K1394">
        <f>IF(J1394="", "", IF(J1394&gt;=8,"ALTA",IF(J1394&gt;=6,"MEDIA","BAJA")))</f>
        <v/>
      </c>
      <c r="L1394">
        <f>IF(INVENTARIO!Y1394="","",INVENTARIO!Y1394)</f>
        <v/>
      </c>
      <c r="M1394">
        <f>IF(INVENTARIO!Z1394="","",INVENTARIO!Z1394)</f>
        <v/>
      </c>
      <c r="N1394">
        <f>IF(INVENTARIO!AA1394="","",INVENTARIO!AA1394)</f>
        <v/>
      </c>
      <c r="O1394">
        <f>IF(INVENTARIO!AB1394="","",INVENTARIO!AB1394)</f>
        <v/>
      </c>
      <c r="P1394">
        <f>IF(INVENTARIO!AC1394="","",INVENTARIO!AC1394)</f>
        <v/>
      </c>
      <c r="Q1394">
        <f>IF(AND(K1394="",N1394="",L1394=""),"",IF(AND((K1394="ALTA"),OR(LEFT(N1394,2)="L0",LEFT(N1394,2)="L1",L1394="No Iniciado")),"CRÍTICO - Incumplimiento Normativo SEPS",IF(AND(OR(LEFT(N1394,2)="L4",LEFT(N1394,2)="L5"),AND(P1394&lt;&gt;"",P1394&lt;&gt;"N/A")),"CONFORME - Control Efectivo ISO 27001","OBSERVACIÓN - Revisar Controles")))</f>
        <v/>
      </c>
    </row>
    <row r="1395">
      <c r="A1395">
        <f>IF(INVENTARIO!A1395="","",INVENTARIO!A1395)</f>
        <v/>
      </c>
      <c r="B1395">
        <f>IF(INVENTARIO!E1395="","",INVENTARIO!E1395)</f>
        <v/>
      </c>
      <c r="C1395">
        <f>IF(INVENTARIO!F1395="","",INVENTARIO!F1395)</f>
        <v/>
      </c>
      <c r="D1395">
        <f>IF(INVENTARIO!H1395="","",INVENTARIO!H1395)</f>
        <v/>
      </c>
      <c r="E1395">
        <f>IF(INVENTARIO!I1395="","",INVENTARIO!I1395)</f>
        <v/>
      </c>
      <c r="F1395">
        <f>IF(INVENTARIO!N1395="","",INVENTARIO!N1395)</f>
        <v/>
      </c>
      <c r="G1395">
        <f>IF(INVENTARIO!P1395="","",INVENTARIO!P1395)</f>
        <v/>
      </c>
      <c r="H1395">
        <f>IF(INVENTARIO!Q1395="","",INVENTARIO!Q1395)</f>
        <v/>
      </c>
      <c r="I1395">
        <f>IF(INVENTARIO!R1395="","",INVENTARIO!R1395)</f>
        <v/>
      </c>
      <c r="J1395">
        <f>IF(G1395="PUBLICA(1)",1,IF(G1395="USO INTERNO(2)",2,IF(G1395="RESTRINGIDO(3)",3,0)))+IF(H1395="BAJA(1)",1,IF(H1395="MEDIA(2)",2,IF(H1395="ALTA(3)",3,0)))+IF(I1395="BAJA(1)",1,IF(I1395="MEDIA(2)",2,IF(I1395="ALTA(3)",3,0)))</f>
        <v/>
      </c>
      <c r="K1395">
        <f>IF(J1395="", "", IF(J1395&gt;=8,"ALTA",IF(J1395&gt;=6,"MEDIA","BAJA")))</f>
        <v/>
      </c>
      <c r="L1395">
        <f>IF(INVENTARIO!Y1395="","",INVENTARIO!Y1395)</f>
        <v/>
      </c>
      <c r="M1395">
        <f>IF(INVENTARIO!Z1395="","",INVENTARIO!Z1395)</f>
        <v/>
      </c>
      <c r="N1395">
        <f>IF(INVENTARIO!AA1395="","",INVENTARIO!AA1395)</f>
        <v/>
      </c>
      <c r="O1395">
        <f>IF(INVENTARIO!AB1395="","",INVENTARIO!AB1395)</f>
        <v/>
      </c>
      <c r="P1395">
        <f>IF(INVENTARIO!AC1395="","",INVENTARIO!AC1395)</f>
        <v/>
      </c>
      <c r="Q1395">
        <f>IF(AND(K1395="",N1395="",L1395=""),"",IF(AND((K1395="ALTA"),OR(LEFT(N1395,2)="L0",LEFT(N1395,2)="L1",L1395="No Iniciado")),"CRÍTICO - Incumplimiento Normativo SEPS",IF(AND(OR(LEFT(N1395,2)="L4",LEFT(N1395,2)="L5"),AND(P1395&lt;&gt;"",P1395&lt;&gt;"N/A")),"CONFORME - Control Efectivo ISO 27001","OBSERVACIÓN - Revisar Controles")))</f>
        <v/>
      </c>
    </row>
    <row r="1396">
      <c r="A1396">
        <f>IF(INVENTARIO!A1396="","",INVENTARIO!A1396)</f>
        <v/>
      </c>
      <c r="B1396">
        <f>IF(INVENTARIO!E1396="","",INVENTARIO!E1396)</f>
        <v/>
      </c>
      <c r="C1396">
        <f>IF(INVENTARIO!F1396="","",INVENTARIO!F1396)</f>
        <v/>
      </c>
      <c r="D1396">
        <f>IF(INVENTARIO!H1396="","",INVENTARIO!H1396)</f>
        <v/>
      </c>
      <c r="E1396">
        <f>IF(INVENTARIO!I1396="","",INVENTARIO!I1396)</f>
        <v/>
      </c>
      <c r="F1396">
        <f>IF(INVENTARIO!N1396="","",INVENTARIO!N1396)</f>
        <v/>
      </c>
      <c r="G1396">
        <f>IF(INVENTARIO!P1396="","",INVENTARIO!P1396)</f>
        <v/>
      </c>
      <c r="H1396">
        <f>IF(INVENTARIO!Q1396="","",INVENTARIO!Q1396)</f>
        <v/>
      </c>
      <c r="I1396">
        <f>IF(INVENTARIO!R1396="","",INVENTARIO!R1396)</f>
        <v/>
      </c>
      <c r="J1396">
        <f>IF(G1396="PUBLICA(1)",1,IF(G1396="USO INTERNO(2)",2,IF(G1396="RESTRINGIDO(3)",3,0)))+IF(H1396="BAJA(1)",1,IF(H1396="MEDIA(2)",2,IF(H1396="ALTA(3)",3,0)))+IF(I1396="BAJA(1)",1,IF(I1396="MEDIA(2)",2,IF(I1396="ALTA(3)",3,0)))</f>
        <v/>
      </c>
      <c r="K1396">
        <f>IF(J1396="", "", IF(J1396&gt;=8,"ALTA",IF(J1396&gt;=6,"MEDIA","BAJA")))</f>
        <v/>
      </c>
      <c r="L1396">
        <f>IF(INVENTARIO!Y1396="","",INVENTARIO!Y1396)</f>
        <v/>
      </c>
      <c r="M1396">
        <f>IF(INVENTARIO!Z1396="","",INVENTARIO!Z1396)</f>
        <v/>
      </c>
      <c r="N1396">
        <f>IF(INVENTARIO!AA1396="","",INVENTARIO!AA1396)</f>
        <v/>
      </c>
      <c r="O1396">
        <f>IF(INVENTARIO!AB1396="","",INVENTARIO!AB1396)</f>
        <v/>
      </c>
      <c r="P1396">
        <f>IF(INVENTARIO!AC1396="","",INVENTARIO!AC1396)</f>
        <v/>
      </c>
      <c r="Q1396">
        <f>IF(AND(K1396="",N1396="",L1396=""),"",IF(AND((K1396="ALTA"),OR(LEFT(N1396,2)="L0",LEFT(N1396,2)="L1",L1396="No Iniciado")),"CRÍTICO - Incumplimiento Normativo SEPS",IF(AND(OR(LEFT(N1396,2)="L4",LEFT(N1396,2)="L5"),AND(P1396&lt;&gt;"",P1396&lt;&gt;"N/A")),"CONFORME - Control Efectivo ISO 27001","OBSERVACIÓN - Revisar Controles")))</f>
        <v/>
      </c>
    </row>
    <row r="1397">
      <c r="A1397">
        <f>IF(INVENTARIO!A1397="","",INVENTARIO!A1397)</f>
        <v/>
      </c>
      <c r="B1397">
        <f>IF(INVENTARIO!E1397="","",INVENTARIO!E1397)</f>
        <v/>
      </c>
      <c r="C1397">
        <f>IF(INVENTARIO!F1397="","",INVENTARIO!F1397)</f>
        <v/>
      </c>
      <c r="D1397">
        <f>IF(INVENTARIO!H1397="","",INVENTARIO!H1397)</f>
        <v/>
      </c>
      <c r="E1397">
        <f>IF(INVENTARIO!I1397="","",INVENTARIO!I1397)</f>
        <v/>
      </c>
      <c r="F1397">
        <f>IF(INVENTARIO!N1397="","",INVENTARIO!N1397)</f>
        <v/>
      </c>
      <c r="G1397">
        <f>IF(INVENTARIO!P1397="","",INVENTARIO!P1397)</f>
        <v/>
      </c>
      <c r="H1397">
        <f>IF(INVENTARIO!Q1397="","",INVENTARIO!Q1397)</f>
        <v/>
      </c>
      <c r="I1397">
        <f>IF(INVENTARIO!R1397="","",INVENTARIO!R1397)</f>
        <v/>
      </c>
      <c r="J1397">
        <f>IF(G1397="PUBLICA(1)",1,IF(G1397="USO INTERNO(2)",2,IF(G1397="RESTRINGIDO(3)",3,0)))+IF(H1397="BAJA(1)",1,IF(H1397="MEDIA(2)",2,IF(H1397="ALTA(3)",3,0)))+IF(I1397="BAJA(1)",1,IF(I1397="MEDIA(2)",2,IF(I1397="ALTA(3)",3,0)))</f>
        <v/>
      </c>
      <c r="K1397">
        <f>IF(J1397="", "", IF(J1397&gt;=8,"ALTA",IF(J1397&gt;=6,"MEDIA","BAJA")))</f>
        <v/>
      </c>
      <c r="L1397">
        <f>IF(INVENTARIO!Y1397="","",INVENTARIO!Y1397)</f>
        <v/>
      </c>
      <c r="M1397">
        <f>IF(INVENTARIO!Z1397="","",INVENTARIO!Z1397)</f>
        <v/>
      </c>
      <c r="N1397">
        <f>IF(INVENTARIO!AA1397="","",INVENTARIO!AA1397)</f>
        <v/>
      </c>
      <c r="O1397">
        <f>IF(INVENTARIO!AB1397="","",INVENTARIO!AB1397)</f>
        <v/>
      </c>
      <c r="P1397">
        <f>IF(INVENTARIO!AC1397="","",INVENTARIO!AC1397)</f>
        <v/>
      </c>
      <c r="Q1397">
        <f>IF(AND(K1397="",N1397="",L1397=""),"",IF(AND((K1397="ALTA"),OR(LEFT(N1397,2)="L0",LEFT(N1397,2)="L1",L1397="No Iniciado")),"CRÍTICO - Incumplimiento Normativo SEPS",IF(AND(OR(LEFT(N1397,2)="L4",LEFT(N1397,2)="L5"),AND(P1397&lt;&gt;"",P1397&lt;&gt;"N/A")),"CONFORME - Control Efectivo ISO 27001","OBSERVACIÓN - Revisar Controles")))</f>
        <v/>
      </c>
    </row>
    <row r="1398">
      <c r="A1398">
        <f>IF(INVENTARIO!A1398="","",INVENTARIO!A1398)</f>
        <v/>
      </c>
      <c r="B1398">
        <f>IF(INVENTARIO!E1398="","",INVENTARIO!E1398)</f>
        <v/>
      </c>
      <c r="C1398">
        <f>IF(INVENTARIO!F1398="","",INVENTARIO!F1398)</f>
        <v/>
      </c>
      <c r="D1398">
        <f>IF(INVENTARIO!H1398="","",INVENTARIO!H1398)</f>
        <v/>
      </c>
      <c r="E1398">
        <f>IF(INVENTARIO!I1398="","",INVENTARIO!I1398)</f>
        <v/>
      </c>
      <c r="F1398">
        <f>IF(INVENTARIO!N1398="","",INVENTARIO!N1398)</f>
        <v/>
      </c>
      <c r="G1398">
        <f>IF(INVENTARIO!P1398="","",INVENTARIO!P1398)</f>
        <v/>
      </c>
      <c r="H1398">
        <f>IF(INVENTARIO!Q1398="","",INVENTARIO!Q1398)</f>
        <v/>
      </c>
      <c r="I1398">
        <f>IF(INVENTARIO!R1398="","",INVENTARIO!R1398)</f>
        <v/>
      </c>
      <c r="J1398">
        <f>IF(G1398="PUBLICA(1)",1,IF(G1398="USO INTERNO(2)",2,IF(G1398="RESTRINGIDO(3)",3,0)))+IF(H1398="BAJA(1)",1,IF(H1398="MEDIA(2)",2,IF(H1398="ALTA(3)",3,0)))+IF(I1398="BAJA(1)",1,IF(I1398="MEDIA(2)",2,IF(I1398="ALTA(3)",3,0)))</f>
        <v/>
      </c>
      <c r="K1398">
        <f>IF(J1398="", "", IF(J1398&gt;=8,"ALTA",IF(J1398&gt;=6,"MEDIA","BAJA")))</f>
        <v/>
      </c>
      <c r="L1398">
        <f>IF(INVENTARIO!Y1398="","",INVENTARIO!Y1398)</f>
        <v/>
      </c>
      <c r="M1398">
        <f>IF(INVENTARIO!Z1398="","",INVENTARIO!Z1398)</f>
        <v/>
      </c>
      <c r="N1398">
        <f>IF(INVENTARIO!AA1398="","",INVENTARIO!AA1398)</f>
        <v/>
      </c>
      <c r="O1398">
        <f>IF(INVENTARIO!AB1398="","",INVENTARIO!AB1398)</f>
        <v/>
      </c>
      <c r="P1398">
        <f>IF(INVENTARIO!AC1398="","",INVENTARIO!AC1398)</f>
        <v/>
      </c>
      <c r="Q1398">
        <f>IF(AND(K1398="",N1398="",L1398=""),"",IF(AND((K1398="ALTA"),OR(LEFT(N1398,2)="L0",LEFT(N1398,2)="L1",L1398="No Iniciado")),"CRÍTICO - Incumplimiento Normativo SEPS",IF(AND(OR(LEFT(N1398,2)="L4",LEFT(N1398,2)="L5"),AND(P1398&lt;&gt;"",P1398&lt;&gt;"N/A")),"CONFORME - Control Efectivo ISO 27001","OBSERVACIÓN - Revisar Controles")))</f>
        <v/>
      </c>
    </row>
    <row r="1399">
      <c r="A1399">
        <f>IF(INVENTARIO!A1399="","",INVENTARIO!A1399)</f>
        <v/>
      </c>
      <c r="B1399">
        <f>IF(INVENTARIO!E1399="","",INVENTARIO!E1399)</f>
        <v/>
      </c>
      <c r="C1399">
        <f>IF(INVENTARIO!F1399="","",INVENTARIO!F1399)</f>
        <v/>
      </c>
      <c r="D1399">
        <f>IF(INVENTARIO!H1399="","",INVENTARIO!H1399)</f>
        <v/>
      </c>
      <c r="E1399">
        <f>IF(INVENTARIO!I1399="","",INVENTARIO!I1399)</f>
        <v/>
      </c>
      <c r="F1399">
        <f>IF(INVENTARIO!N1399="","",INVENTARIO!N1399)</f>
        <v/>
      </c>
      <c r="G1399">
        <f>IF(INVENTARIO!P1399="","",INVENTARIO!P1399)</f>
        <v/>
      </c>
      <c r="H1399">
        <f>IF(INVENTARIO!Q1399="","",INVENTARIO!Q1399)</f>
        <v/>
      </c>
      <c r="I1399">
        <f>IF(INVENTARIO!R1399="","",INVENTARIO!R1399)</f>
        <v/>
      </c>
      <c r="J1399">
        <f>IF(G1399="PUBLICA(1)",1,IF(G1399="USO INTERNO(2)",2,IF(G1399="RESTRINGIDO(3)",3,0)))+IF(H1399="BAJA(1)",1,IF(H1399="MEDIA(2)",2,IF(H1399="ALTA(3)",3,0)))+IF(I1399="BAJA(1)",1,IF(I1399="MEDIA(2)",2,IF(I1399="ALTA(3)",3,0)))</f>
        <v/>
      </c>
      <c r="K1399">
        <f>IF(J1399="", "", IF(J1399&gt;=8,"ALTA",IF(J1399&gt;=6,"MEDIA","BAJA")))</f>
        <v/>
      </c>
      <c r="L1399">
        <f>IF(INVENTARIO!Y1399="","",INVENTARIO!Y1399)</f>
        <v/>
      </c>
      <c r="M1399">
        <f>IF(INVENTARIO!Z1399="","",INVENTARIO!Z1399)</f>
        <v/>
      </c>
      <c r="N1399">
        <f>IF(INVENTARIO!AA1399="","",INVENTARIO!AA1399)</f>
        <v/>
      </c>
      <c r="O1399">
        <f>IF(INVENTARIO!AB1399="","",INVENTARIO!AB1399)</f>
        <v/>
      </c>
      <c r="P1399">
        <f>IF(INVENTARIO!AC1399="","",INVENTARIO!AC1399)</f>
        <v/>
      </c>
      <c r="Q1399">
        <f>IF(AND(K1399="",N1399="",L1399=""),"",IF(AND((K1399="ALTA"),OR(LEFT(N1399,2)="L0",LEFT(N1399,2)="L1",L1399="No Iniciado")),"CRÍTICO - Incumplimiento Normativo SEPS",IF(AND(OR(LEFT(N1399,2)="L4",LEFT(N1399,2)="L5"),AND(P1399&lt;&gt;"",P1399&lt;&gt;"N/A")),"CONFORME - Control Efectivo ISO 27001","OBSERVACIÓN - Revisar Controles")))</f>
        <v/>
      </c>
    </row>
    <row r="1400">
      <c r="A1400">
        <f>IF(INVENTARIO!A1400="","",INVENTARIO!A1400)</f>
        <v/>
      </c>
      <c r="B1400">
        <f>IF(INVENTARIO!E1400="","",INVENTARIO!E1400)</f>
        <v/>
      </c>
      <c r="C1400">
        <f>IF(INVENTARIO!F1400="","",INVENTARIO!F1400)</f>
        <v/>
      </c>
      <c r="D1400">
        <f>IF(INVENTARIO!H1400="","",INVENTARIO!H1400)</f>
        <v/>
      </c>
      <c r="E1400">
        <f>IF(INVENTARIO!I1400="","",INVENTARIO!I1400)</f>
        <v/>
      </c>
      <c r="F1400">
        <f>IF(INVENTARIO!N1400="","",INVENTARIO!N1400)</f>
        <v/>
      </c>
      <c r="G1400">
        <f>IF(INVENTARIO!P1400="","",INVENTARIO!P1400)</f>
        <v/>
      </c>
      <c r="H1400">
        <f>IF(INVENTARIO!Q1400="","",INVENTARIO!Q1400)</f>
        <v/>
      </c>
      <c r="I1400">
        <f>IF(INVENTARIO!R1400="","",INVENTARIO!R1400)</f>
        <v/>
      </c>
      <c r="J1400">
        <f>IF(G1400="PUBLICA(1)",1,IF(G1400="USO INTERNO(2)",2,IF(G1400="RESTRINGIDO(3)",3,0)))+IF(H1400="BAJA(1)",1,IF(H1400="MEDIA(2)",2,IF(H1400="ALTA(3)",3,0)))+IF(I1400="BAJA(1)",1,IF(I1400="MEDIA(2)",2,IF(I1400="ALTA(3)",3,0)))</f>
        <v/>
      </c>
      <c r="K1400">
        <f>IF(J1400="", "", IF(J1400&gt;=8,"ALTA",IF(J1400&gt;=6,"MEDIA","BAJA")))</f>
        <v/>
      </c>
      <c r="L1400">
        <f>IF(INVENTARIO!Y1400="","",INVENTARIO!Y1400)</f>
        <v/>
      </c>
      <c r="M1400">
        <f>IF(INVENTARIO!Z1400="","",INVENTARIO!Z1400)</f>
        <v/>
      </c>
      <c r="N1400">
        <f>IF(INVENTARIO!AA1400="","",INVENTARIO!AA1400)</f>
        <v/>
      </c>
      <c r="O1400">
        <f>IF(INVENTARIO!AB1400="","",INVENTARIO!AB1400)</f>
        <v/>
      </c>
      <c r="P1400">
        <f>IF(INVENTARIO!AC1400="","",INVENTARIO!AC1400)</f>
        <v/>
      </c>
      <c r="Q1400">
        <f>IF(AND(K1400="",N1400="",L1400=""),"",IF(AND((K1400="ALTA"),OR(LEFT(N1400,2)="L0",LEFT(N1400,2)="L1",L1400="No Iniciado")),"CRÍTICO - Incumplimiento Normativo SEPS",IF(AND(OR(LEFT(N1400,2)="L4",LEFT(N1400,2)="L5"),AND(P1400&lt;&gt;"",P1400&lt;&gt;"N/A")),"CONFORME - Control Efectivo ISO 27001","OBSERVACIÓN - Revisar Controles")))</f>
        <v/>
      </c>
    </row>
    <row r="1401">
      <c r="A1401">
        <f>IF(INVENTARIO!A1401="","",INVENTARIO!A1401)</f>
        <v/>
      </c>
      <c r="B1401">
        <f>IF(INVENTARIO!E1401="","",INVENTARIO!E1401)</f>
        <v/>
      </c>
      <c r="C1401">
        <f>IF(INVENTARIO!F1401="","",INVENTARIO!F1401)</f>
        <v/>
      </c>
      <c r="D1401">
        <f>IF(INVENTARIO!H1401="","",INVENTARIO!H1401)</f>
        <v/>
      </c>
      <c r="E1401">
        <f>IF(INVENTARIO!I1401="","",INVENTARIO!I1401)</f>
        <v/>
      </c>
      <c r="F1401">
        <f>IF(INVENTARIO!N1401="","",INVENTARIO!N1401)</f>
        <v/>
      </c>
      <c r="G1401">
        <f>IF(INVENTARIO!P1401="","",INVENTARIO!P1401)</f>
        <v/>
      </c>
      <c r="H1401">
        <f>IF(INVENTARIO!Q1401="","",INVENTARIO!Q1401)</f>
        <v/>
      </c>
      <c r="I1401">
        <f>IF(INVENTARIO!R1401="","",INVENTARIO!R1401)</f>
        <v/>
      </c>
      <c r="J1401">
        <f>IF(G1401="PUBLICA(1)",1,IF(G1401="USO INTERNO(2)",2,IF(G1401="RESTRINGIDO(3)",3,0)))+IF(H1401="BAJA(1)",1,IF(H1401="MEDIA(2)",2,IF(H1401="ALTA(3)",3,0)))+IF(I1401="BAJA(1)",1,IF(I1401="MEDIA(2)",2,IF(I1401="ALTA(3)",3,0)))</f>
        <v/>
      </c>
      <c r="K1401">
        <f>IF(J1401="", "", IF(J1401&gt;=8,"ALTA",IF(J1401&gt;=6,"MEDIA","BAJA")))</f>
        <v/>
      </c>
      <c r="L1401">
        <f>IF(INVENTARIO!Y1401="","",INVENTARIO!Y1401)</f>
        <v/>
      </c>
      <c r="M1401">
        <f>IF(INVENTARIO!Z1401="","",INVENTARIO!Z1401)</f>
        <v/>
      </c>
      <c r="N1401">
        <f>IF(INVENTARIO!AA1401="","",INVENTARIO!AA1401)</f>
        <v/>
      </c>
      <c r="O1401">
        <f>IF(INVENTARIO!AB1401="","",INVENTARIO!AB1401)</f>
        <v/>
      </c>
      <c r="P1401">
        <f>IF(INVENTARIO!AC1401="","",INVENTARIO!AC1401)</f>
        <v/>
      </c>
      <c r="Q1401">
        <f>IF(AND(K1401="",N1401="",L1401=""),"",IF(AND((K1401="ALTA"),OR(LEFT(N1401,2)="L0",LEFT(N1401,2)="L1",L1401="No Iniciado")),"CRÍTICO - Incumplimiento Normativo SEPS",IF(AND(OR(LEFT(N1401,2)="L4",LEFT(N1401,2)="L5"),AND(P1401&lt;&gt;"",P1401&lt;&gt;"N/A")),"CONFORME - Control Efectivo ISO 27001","OBSERVACIÓN - Revisar Controles")))</f>
        <v/>
      </c>
    </row>
    <row r="1402">
      <c r="A1402">
        <f>IF(INVENTARIO!A1402="","",INVENTARIO!A1402)</f>
        <v/>
      </c>
      <c r="B1402">
        <f>IF(INVENTARIO!E1402="","",INVENTARIO!E1402)</f>
        <v/>
      </c>
      <c r="C1402">
        <f>IF(INVENTARIO!F1402="","",INVENTARIO!F1402)</f>
        <v/>
      </c>
      <c r="D1402">
        <f>IF(INVENTARIO!H1402="","",INVENTARIO!H1402)</f>
        <v/>
      </c>
      <c r="E1402">
        <f>IF(INVENTARIO!I1402="","",INVENTARIO!I1402)</f>
        <v/>
      </c>
      <c r="F1402">
        <f>IF(INVENTARIO!N1402="","",INVENTARIO!N1402)</f>
        <v/>
      </c>
      <c r="G1402">
        <f>IF(INVENTARIO!P1402="","",INVENTARIO!P1402)</f>
        <v/>
      </c>
      <c r="H1402">
        <f>IF(INVENTARIO!Q1402="","",INVENTARIO!Q1402)</f>
        <v/>
      </c>
      <c r="I1402">
        <f>IF(INVENTARIO!R1402="","",INVENTARIO!R1402)</f>
        <v/>
      </c>
      <c r="J1402">
        <f>IF(G1402="PUBLICA(1)",1,IF(G1402="USO INTERNO(2)",2,IF(G1402="RESTRINGIDO(3)",3,0)))+IF(H1402="BAJA(1)",1,IF(H1402="MEDIA(2)",2,IF(H1402="ALTA(3)",3,0)))+IF(I1402="BAJA(1)",1,IF(I1402="MEDIA(2)",2,IF(I1402="ALTA(3)",3,0)))</f>
        <v/>
      </c>
      <c r="K1402">
        <f>IF(J1402="", "", IF(J1402&gt;=8,"ALTA",IF(J1402&gt;=6,"MEDIA","BAJA")))</f>
        <v/>
      </c>
      <c r="L1402">
        <f>IF(INVENTARIO!Y1402="","",INVENTARIO!Y1402)</f>
        <v/>
      </c>
      <c r="M1402">
        <f>IF(INVENTARIO!Z1402="","",INVENTARIO!Z1402)</f>
        <v/>
      </c>
      <c r="N1402">
        <f>IF(INVENTARIO!AA1402="","",INVENTARIO!AA1402)</f>
        <v/>
      </c>
      <c r="O1402">
        <f>IF(INVENTARIO!AB1402="","",INVENTARIO!AB1402)</f>
        <v/>
      </c>
      <c r="P1402">
        <f>IF(INVENTARIO!AC1402="","",INVENTARIO!AC1402)</f>
        <v/>
      </c>
      <c r="Q1402">
        <f>IF(AND(K1402="",N1402="",L1402=""),"",IF(AND((K1402="ALTA"),OR(LEFT(N1402,2)="L0",LEFT(N1402,2)="L1",L1402="No Iniciado")),"CRÍTICO - Incumplimiento Normativo SEPS",IF(AND(OR(LEFT(N1402,2)="L4",LEFT(N1402,2)="L5"),AND(P1402&lt;&gt;"",P1402&lt;&gt;"N/A")),"CONFORME - Control Efectivo ISO 27001","OBSERVACIÓN - Revisar Controles")))</f>
        <v/>
      </c>
    </row>
    <row r="1403">
      <c r="A1403">
        <f>IF(INVENTARIO!A1403="","",INVENTARIO!A1403)</f>
        <v/>
      </c>
      <c r="B1403">
        <f>IF(INVENTARIO!E1403="","",INVENTARIO!E1403)</f>
        <v/>
      </c>
      <c r="C1403">
        <f>IF(INVENTARIO!F1403="","",INVENTARIO!F1403)</f>
        <v/>
      </c>
      <c r="D1403">
        <f>IF(INVENTARIO!H1403="","",INVENTARIO!H1403)</f>
        <v/>
      </c>
      <c r="E1403">
        <f>IF(INVENTARIO!I1403="","",INVENTARIO!I1403)</f>
        <v/>
      </c>
      <c r="F1403">
        <f>IF(INVENTARIO!N1403="","",INVENTARIO!N1403)</f>
        <v/>
      </c>
      <c r="G1403">
        <f>IF(INVENTARIO!P1403="","",INVENTARIO!P1403)</f>
        <v/>
      </c>
      <c r="H1403">
        <f>IF(INVENTARIO!Q1403="","",INVENTARIO!Q1403)</f>
        <v/>
      </c>
      <c r="I1403">
        <f>IF(INVENTARIO!R1403="","",INVENTARIO!R1403)</f>
        <v/>
      </c>
      <c r="J1403">
        <f>IF(G1403="PUBLICA(1)",1,IF(G1403="USO INTERNO(2)",2,IF(G1403="RESTRINGIDO(3)",3,0)))+IF(H1403="BAJA(1)",1,IF(H1403="MEDIA(2)",2,IF(H1403="ALTA(3)",3,0)))+IF(I1403="BAJA(1)",1,IF(I1403="MEDIA(2)",2,IF(I1403="ALTA(3)",3,0)))</f>
        <v/>
      </c>
      <c r="K1403">
        <f>IF(J1403="", "", IF(J1403&gt;=8,"ALTA",IF(J1403&gt;=6,"MEDIA","BAJA")))</f>
        <v/>
      </c>
      <c r="L1403">
        <f>IF(INVENTARIO!Y1403="","",INVENTARIO!Y1403)</f>
        <v/>
      </c>
      <c r="M1403">
        <f>IF(INVENTARIO!Z1403="","",INVENTARIO!Z1403)</f>
        <v/>
      </c>
      <c r="N1403">
        <f>IF(INVENTARIO!AA1403="","",INVENTARIO!AA1403)</f>
        <v/>
      </c>
      <c r="O1403">
        <f>IF(INVENTARIO!AB1403="","",INVENTARIO!AB1403)</f>
        <v/>
      </c>
      <c r="P1403">
        <f>IF(INVENTARIO!AC1403="","",INVENTARIO!AC1403)</f>
        <v/>
      </c>
      <c r="Q1403">
        <f>IF(AND(K1403="",N1403="",L1403=""),"",IF(AND((K1403="ALTA"),OR(LEFT(N1403,2)="L0",LEFT(N1403,2)="L1",L1403="No Iniciado")),"CRÍTICO - Incumplimiento Normativo SEPS",IF(AND(OR(LEFT(N1403,2)="L4",LEFT(N1403,2)="L5"),AND(P1403&lt;&gt;"",P1403&lt;&gt;"N/A")),"CONFORME - Control Efectivo ISO 27001","OBSERVACIÓN - Revisar Controles")))</f>
        <v/>
      </c>
    </row>
    <row r="1404">
      <c r="A1404">
        <f>IF(INVENTARIO!A1404="","",INVENTARIO!A1404)</f>
        <v/>
      </c>
      <c r="B1404">
        <f>IF(INVENTARIO!E1404="","",INVENTARIO!E1404)</f>
        <v/>
      </c>
      <c r="C1404">
        <f>IF(INVENTARIO!F1404="","",INVENTARIO!F1404)</f>
        <v/>
      </c>
      <c r="D1404">
        <f>IF(INVENTARIO!H1404="","",INVENTARIO!H1404)</f>
        <v/>
      </c>
      <c r="E1404">
        <f>IF(INVENTARIO!I1404="","",INVENTARIO!I1404)</f>
        <v/>
      </c>
      <c r="F1404">
        <f>IF(INVENTARIO!N1404="","",INVENTARIO!N1404)</f>
        <v/>
      </c>
      <c r="G1404">
        <f>IF(INVENTARIO!P1404="","",INVENTARIO!P1404)</f>
        <v/>
      </c>
      <c r="H1404">
        <f>IF(INVENTARIO!Q1404="","",INVENTARIO!Q1404)</f>
        <v/>
      </c>
      <c r="I1404">
        <f>IF(INVENTARIO!R1404="","",INVENTARIO!R1404)</f>
        <v/>
      </c>
      <c r="J1404">
        <f>IF(G1404="PUBLICA(1)",1,IF(G1404="USO INTERNO(2)",2,IF(G1404="RESTRINGIDO(3)",3,0)))+IF(H1404="BAJA(1)",1,IF(H1404="MEDIA(2)",2,IF(H1404="ALTA(3)",3,0)))+IF(I1404="BAJA(1)",1,IF(I1404="MEDIA(2)",2,IF(I1404="ALTA(3)",3,0)))</f>
        <v/>
      </c>
      <c r="K1404">
        <f>IF(J1404="", "", IF(J1404&gt;=8,"ALTA",IF(J1404&gt;=6,"MEDIA","BAJA")))</f>
        <v/>
      </c>
      <c r="L1404">
        <f>IF(INVENTARIO!Y1404="","",INVENTARIO!Y1404)</f>
        <v/>
      </c>
      <c r="M1404">
        <f>IF(INVENTARIO!Z1404="","",INVENTARIO!Z1404)</f>
        <v/>
      </c>
      <c r="N1404">
        <f>IF(INVENTARIO!AA1404="","",INVENTARIO!AA1404)</f>
        <v/>
      </c>
      <c r="O1404">
        <f>IF(INVENTARIO!AB1404="","",INVENTARIO!AB1404)</f>
        <v/>
      </c>
      <c r="P1404">
        <f>IF(INVENTARIO!AC1404="","",INVENTARIO!AC1404)</f>
        <v/>
      </c>
      <c r="Q1404">
        <f>IF(AND(K1404="",N1404="",L1404=""),"",IF(AND((K1404="ALTA"),OR(LEFT(N1404,2)="L0",LEFT(N1404,2)="L1",L1404="No Iniciado")),"CRÍTICO - Incumplimiento Normativo SEPS",IF(AND(OR(LEFT(N1404,2)="L4",LEFT(N1404,2)="L5"),AND(P1404&lt;&gt;"",P1404&lt;&gt;"N/A")),"CONFORME - Control Efectivo ISO 27001","OBSERVACIÓN - Revisar Controles")))</f>
        <v/>
      </c>
    </row>
    <row r="1405">
      <c r="A1405">
        <f>IF(INVENTARIO!A1405="","",INVENTARIO!A1405)</f>
        <v/>
      </c>
      <c r="B1405">
        <f>IF(INVENTARIO!E1405="","",INVENTARIO!E1405)</f>
        <v/>
      </c>
      <c r="C1405">
        <f>IF(INVENTARIO!F1405="","",INVENTARIO!F1405)</f>
        <v/>
      </c>
      <c r="D1405">
        <f>IF(INVENTARIO!H1405="","",INVENTARIO!H1405)</f>
        <v/>
      </c>
      <c r="E1405">
        <f>IF(INVENTARIO!I1405="","",INVENTARIO!I1405)</f>
        <v/>
      </c>
      <c r="F1405">
        <f>IF(INVENTARIO!N1405="","",INVENTARIO!N1405)</f>
        <v/>
      </c>
      <c r="G1405">
        <f>IF(INVENTARIO!P1405="","",INVENTARIO!P1405)</f>
        <v/>
      </c>
      <c r="H1405">
        <f>IF(INVENTARIO!Q1405="","",INVENTARIO!Q1405)</f>
        <v/>
      </c>
      <c r="I1405">
        <f>IF(INVENTARIO!R1405="","",INVENTARIO!R1405)</f>
        <v/>
      </c>
      <c r="J1405">
        <f>IF(G1405="PUBLICA(1)",1,IF(G1405="USO INTERNO(2)",2,IF(G1405="RESTRINGIDO(3)",3,0)))+IF(H1405="BAJA(1)",1,IF(H1405="MEDIA(2)",2,IF(H1405="ALTA(3)",3,0)))+IF(I1405="BAJA(1)",1,IF(I1405="MEDIA(2)",2,IF(I1405="ALTA(3)",3,0)))</f>
        <v/>
      </c>
      <c r="K1405">
        <f>IF(J1405="", "", IF(J1405&gt;=8,"ALTA",IF(J1405&gt;=6,"MEDIA","BAJA")))</f>
        <v/>
      </c>
      <c r="L1405">
        <f>IF(INVENTARIO!Y1405="","",INVENTARIO!Y1405)</f>
        <v/>
      </c>
      <c r="M1405">
        <f>IF(INVENTARIO!Z1405="","",INVENTARIO!Z1405)</f>
        <v/>
      </c>
      <c r="N1405">
        <f>IF(INVENTARIO!AA1405="","",INVENTARIO!AA1405)</f>
        <v/>
      </c>
      <c r="O1405">
        <f>IF(INVENTARIO!AB1405="","",INVENTARIO!AB1405)</f>
        <v/>
      </c>
      <c r="P1405">
        <f>IF(INVENTARIO!AC1405="","",INVENTARIO!AC1405)</f>
        <v/>
      </c>
      <c r="Q1405">
        <f>IF(AND(K1405="",N1405="",L1405=""),"",IF(AND((K1405="ALTA"),OR(LEFT(N1405,2)="L0",LEFT(N1405,2)="L1",L1405="No Iniciado")),"CRÍTICO - Incumplimiento Normativo SEPS",IF(AND(OR(LEFT(N1405,2)="L4",LEFT(N1405,2)="L5"),AND(P1405&lt;&gt;"",P1405&lt;&gt;"N/A")),"CONFORME - Control Efectivo ISO 27001","OBSERVACIÓN - Revisar Controles")))</f>
        <v/>
      </c>
    </row>
    <row r="1406">
      <c r="A1406">
        <f>IF(INVENTARIO!A1406="","",INVENTARIO!A1406)</f>
        <v/>
      </c>
      <c r="B1406">
        <f>IF(INVENTARIO!E1406="","",INVENTARIO!E1406)</f>
        <v/>
      </c>
      <c r="C1406">
        <f>IF(INVENTARIO!F1406="","",INVENTARIO!F1406)</f>
        <v/>
      </c>
      <c r="D1406">
        <f>IF(INVENTARIO!H1406="","",INVENTARIO!H1406)</f>
        <v/>
      </c>
      <c r="E1406">
        <f>IF(INVENTARIO!I1406="","",INVENTARIO!I1406)</f>
        <v/>
      </c>
      <c r="F1406">
        <f>IF(INVENTARIO!N1406="","",INVENTARIO!N1406)</f>
        <v/>
      </c>
      <c r="G1406">
        <f>IF(INVENTARIO!P1406="","",INVENTARIO!P1406)</f>
        <v/>
      </c>
      <c r="H1406">
        <f>IF(INVENTARIO!Q1406="","",INVENTARIO!Q1406)</f>
        <v/>
      </c>
      <c r="I1406">
        <f>IF(INVENTARIO!R1406="","",INVENTARIO!R1406)</f>
        <v/>
      </c>
      <c r="J1406">
        <f>IF(G1406="PUBLICA(1)",1,IF(G1406="USO INTERNO(2)",2,IF(G1406="RESTRINGIDO(3)",3,0)))+IF(H1406="BAJA(1)",1,IF(H1406="MEDIA(2)",2,IF(H1406="ALTA(3)",3,0)))+IF(I1406="BAJA(1)",1,IF(I1406="MEDIA(2)",2,IF(I1406="ALTA(3)",3,0)))</f>
        <v/>
      </c>
      <c r="K1406">
        <f>IF(J1406="", "", IF(J1406&gt;=8,"ALTA",IF(J1406&gt;=6,"MEDIA","BAJA")))</f>
        <v/>
      </c>
      <c r="L1406">
        <f>IF(INVENTARIO!Y1406="","",INVENTARIO!Y1406)</f>
        <v/>
      </c>
      <c r="M1406">
        <f>IF(INVENTARIO!Z1406="","",INVENTARIO!Z1406)</f>
        <v/>
      </c>
      <c r="N1406">
        <f>IF(INVENTARIO!AA1406="","",INVENTARIO!AA1406)</f>
        <v/>
      </c>
      <c r="O1406">
        <f>IF(INVENTARIO!AB1406="","",INVENTARIO!AB1406)</f>
        <v/>
      </c>
      <c r="P1406">
        <f>IF(INVENTARIO!AC1406="","",INVENTARIO!AC1406)</f>
        <v/>
      </c>
      <c r="Q1406">
        <f>IF(AND(K1406="",N1406="",L1406=""),"",IF(AND((K1406="ALTA"),OR(LEFT(N1406,2)="L0",LEFT(N1406,2)="L1",L1406="No Iniciado")),"CRÍTICO - Incumplimiento Normativo SEPS",IF(AND(OR(LEFT(N1406,2)="L4",LEFT(N1406,2)="L5"),AND(P1406&lt;&gt;"",P1406&lt;&gt;"N/A")),"CONFORME - Control Efectivo ISO 27001","OBSERVACIÓN - Revisar Controles")))</f>
        <v/>
      </c>
    </row>
  </sheetData>
  <conditionalFormatting sqref="Q2:Q1406">
    <cfRule type="cellIs" priority="1" operator="equal" dxfId="80" stopIfTrue="1">
      <formula>"CRÍTICO - Incumplimiento Normativo SEPS"</formula>
    </cfRule>
    <cfRule type="cellIs" priority="2" operator="equal" dxfId="81" stopIfTrue="1">
      <formula>"CONFORME - Control Efectivo ISO 27001"</formula>
    </cfRule>
    <cfRule type="cellIs" priority="3" operator="equal" dxfId="82" stopIfTrue="1">
      <formula>"OBSERVACIÓN - Revisar Controles"</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2026-09-03T15:27:09Z</dcterms:modified>
  <cp:lastModifiedBy>SEGURIDAD DE LA INFORMACION</cp:lastModifiedBy>
  <cp:lastPrinted>2025-09-10T17:26:07Z</cp:lastPrinted>
</cp:coreProperties>
</file>