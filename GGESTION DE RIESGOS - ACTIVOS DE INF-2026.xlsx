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8835" yWindow="0" windowWidth="11655" windowHeight="10920" tabRatio="741" firstSheet="0" activeTab="1" autoFilterDateGrouping="1"/>
  </bookViews>
  <sheets>
    <sheet name="INVENTARIO" sheetId="1" state="visible" r:id="rId1"/>
    <sheet name="Metricas" sheetId="2" state="visible" r:id="rId2"/>
    <sheet name="INTERVALOS" sheetId="3" state="visible" r:id="rId3"/>
    <sheet name="EVALUACION DE RIESGO" sheetId="4" state="visible" r:id="rId4"/>
    <sheet name="PLANES DE ACCION" sheetId="5" state="visible" r:id="rId5"/>
    <sheet name="INDICADORES" sheetId="6" state="visible" r:id="rId6"/>
    <sheet name="CATALOGO VULNERABILIDADES" sheetId="7" state="visible" r:id="rId7"/>
    <sheet name="CATALOGO AMENAZA" sheetId="8" state="visible" r:id="rId8"/>
    <sheet name="TIPOS DE ACTIVOS" sheetId="9" state="visible" r:id="rId9"/>
    <sheet name="CATALOGO CONTROLES" sheetId="10" state="visible" r:id="rId10"/>
    <sheet name="ANEXO A" sheetId="11" state="visible" r:id="rId11"/>
    <sheet name="Declaración Aplicabilidad (SoA)" sheetId="12" state="visible" r:id="rId12"/>
    <sheet name="Documentación Aplicabilidad" sheetId="13" state="visible" r:id="rId13"/>
    <sheet name="Resumen Criticidad" sheetId="14" state="visible" r:id="rId14"/>
  </sheets>
  <definedNames>
    <definedName name="_xlnm._FilterDatabase" localSheetId="0" hidden="1">'INVENTARIO'!$Y$2:$AC$1406</definedName>
    <definedName name="_xlnm._FilterDatabase" localSheetId="7" hidden="1">'CATALOGO AMENAZA'!$A$2:$N$46</definedName>
    <definedName name="_xlnm._FilterDatabase" localSheetId="10" hidden="1">'ANEXO A'!$A$1:$L$94</definedName>
    <definedName name="_xlnm._FilterDatabase" localSheetId="11" hidden="1">'Declaración Aplicabilidad (SoA)'!$A$1:$N$94</definedName>
    <definedName name="_xlnm._FilterDatabase" localSheetId="12" hidden="1">'Documentación Aplicabilidad'!$A$1:$L$94</definedName>
  </definedNames>
  <calcPr calcId="191029" fullCalcOnLoad="1"/>
  <pivotCaches>
    <pivotCache cacheId="8" r:id="rId15"/>
    <pivotCache cacheId="9" r:id="rId16"/>
  </pivotCaches>
</workbook>
</file>

<file path=xl/styles.xml><?xml version="1.0" encoding="utf-8"?>
<styleSheet xmlns="http://schemas.openxmlformats.org/spreadsheetml/2006/main">
  <numFmts count="0"/>
  <fonts count="13">
    <font>
      <name val="Arial"/>
      <family val="2"/>
      <color theme="1"/>
      <sz val="8"/>
    </font>
    <font>
      <name val="Arial"/>
      <family val="2"/>
      <b val="1"/>
      <color theme="1"/>
      <sz val="8"/>
    </font>
    <font>
      <name val="Arial"/>
      <family val="2"/>
      <b val="1"/>
      <color rgb="FF000000"/>
      <sz val="8"/>
    </font>
    <font>
      <name val="Arial"/>
      <family val="2"/>
      <color rgb="FF000000"/>
      <sz val="8"/>
    </font>
    <font>
      <name val="Calibri"/>
      <family val="2"/>
      <color theme="1"/>
      <sz val="11"/>
      <scheme val="minor"/>
    </font>
    <font>
      <name val="Arial"/>
      <family val="2"/>
      <color theme="1"/>
      <sz val="8"/>
    </font>
    <font>
      <name val="Arial"/>
      <family val="2"/>
      <b val="1"/>
      <color theme="0"/>
      <sz val="8"/>
    </font>
    <font>
      <name val="Arial"/>
      <family val="2"/>
      <b val="1"/>
      <color rgb="FFFFFFFF"/>
      <sz val="8"/>
    </font>
    <font>
      <name val="Arial"/>
      <family val="2"/>
      <b val="1"/>
      <color rgb="FFFFFFFF"/>
      <sz val="8"/>
    </font>
    <font>
      <name val="Arial"/>
      <b val="1"/>
      <color rgb="FFFFFFFF"/>
      <sz val="8"/>
    </font>
    <font>
      <name val="Arial"/>
      <b val="1"/>
      <color rgb="FFFFFFFF"/>
      <sz val="8"/>
    </font>
    <font>
      <name val="Arial"/>
      <b val="1"/>
      <color rgb="FF000080"/>
      <sz val="14"/>
    </font>
    <font>
      <b val="1"/>
    </font>
  </fonts>
  <fills count="19">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
      <patternFill patternType="solid">
        <fgColor rgb="FF000080"/>
        <bgColor rgb="FF000080"/>
      </patternFill>
    </fill>
    <fill>
      <patternFill patternType="solid">
        <fgColor rgb="FF000080"/>
        <bgColor rgb="FF000080"/>
      </patternFill>
    </fill>
    <fill>
      <patternFill patternType="solid">
        <fgColor rgb="FF000080"/>
        <bgColor rgb="FF000080"/>
      </patternFill>
    </fill>
    <fill>
      <patternFill patternType="solid">
        <fgColor rgb="FF000080"/>
        <bgColor rgb="FF000080"/>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5" fillId="0" borderId="0"/>
    <xf numFmtId="0" fontId="4" fillId="0" borderId="0"/>
    <xf numFmtId="9" fontId="5" fillId="0" borderId="0"/>
  </cellStyleXfs>
  <cellXfs count="116">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6"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6" fillId="13" borderId="10" applyAlignment="1" pivotButton="0" quotePrefix="0" xfId="0">
      <alignment horizontal="center" vertical="center" wrapText="1"/>
    </xf>
    <xf numFmtId="0" fontId="6"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7" fillId="15" borderId="0" applyAlignment="1" pivotButton="0" quotePrefix="0" xfId="0">
      <alignment horizontal="center" vertical="center" wrapText="1"/>
    </xf>
    <xf numFmtId="0" fontId="8" fillId="16" borderId="0" applyAlignment="1" pivotButton="0" quotePrefix="0" xfId="0">
      <alignment horizontal="center" vertical="center" wrapText="1"/>
    </xf>
    <xf numFmtId="0" fontId="0" fillId="0" borderId="0" applyAlignment="1" pivotButton="0" quotePrefix="0" xfId="0">
      <alignment horizontal="center" wrapText="1"/>
    </xf>
    <xf numFmtId="0" fontId="0" fillId="0" borderId="0" applyAlignment="1" pivotButton="0" quotePrefix="0" xfId="0">
      <alignment vertical="center" wrapText="1"/>
    </xf>
    <xf numFmtId="0" fontId="7" fillId="16" borderId="0" applyAlignment="1" pivotButton="0" quotePrefix="0" xfId="0">
      <alignment horizontal="center" vertical="center" wrapText="1"/>
    </xf>
    <xf numFmtId="0" fontId="9" fillId="17" borderId="0" applyAlignment="1" pivotButton="0" quotePrefix="0" xfId="0">
      <alignment horizontal="center" vertical="center" wrapText="1"/>
    </xf>
    <xf numFmtId="0" fontId="9" fillId="17" borderId="0" applyAlignment="1" pivotButton="0" quotePrefix="0" xfId="0">
      <alignment horizontal="left" vertical="center" wrapText="1"/>
    </xf>
    <xf numFmtId="0" fontId="10" fillId="18" borderId="0" applyAlignment="1" pivotButton="0" quotePrefix="0" xfId="0">
      <alignment horizontal="center" vertical="center" wrapText="1"/>
    </xf>
    <xf numFmtId="0" fontId="11" fillId="0" borderId="0" pivotButton="0" quotePrefix="0" xfId="0"/>
    <xf numFmtId="0" fontId="1" fillId="8" borderId="1" applyAlignment="1" pivotButton="0" quotePrefix="0" xfId="0">
      <alignment horizontal="center" wrapText="1"/>
    </xf>
    <xf numFmtId="0" fontId="0" fillId="0" borderId="3" pivotButton="0" quotePrefix="0" xfId="0"/>
    <xf numFmtId="0" fontId="0" fillId="0" borderId="4" pivotButton="0" quotePrefix="0" xfId="0"/>
    <xf numFmtId="0" fontId="1" fillId="0" borderId="6" applyAlignment="1" pivotButton="0" quotePrefix="0" xfId="0">
      <alignment horizontal="center"/>
    </xf>
    <xf numFmtId="0" fontId="0" fillId="0" borderId="6" pivotButton="0" quotePrefix="0" xfId="0"/>
    <xf numFmtId="0" fontId="1" fillId="0" borderId="1" applyAlignment="1" pivotButton="0" quotePrefix="0" xfId="0">
      <alignment horizontal="center"/>
    </xf>
    <xf numFmtId="0" fontId="1" fillId="0" borderId="1"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pivotButton="0" quotePrefix="0" xfId="0"/>
    <xf numFmtId="0" fontId="1" fillId="10" borderId="1" applyAlignment="1" pivotButton="0" quotePrefix="0" xfId="0">
      <alignment horizontal="center" wrapText="1"/>
    </xf>
    <xf numFmtId="0" fontId="0" fillId="0" borderId="0" applyAlignment="1" pivotButton="0" quotePrefix="0" xfId="0">
      <alignment vertical="center"/>
    </xf>
    <xf numFmtId="0" fontId="10" fillId="18" borderId="0" applyAlignment="1" pivotButton="0" quotePrefix="0" xfId="0">
      <alignment horizontal="left" vertical="center"/>
    </xf>
    <xf numFmtId="0" fontId="0" fillId="0" borderId="0" applyAlignment="1" pivotButton="0" quotePrefix="0" xfId="0">
      <alignment horizontal="left" vertical="center"/>
    </xf>
    <xf numFmtId="0" fontId="1"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1" fillId="0" borderId="0" applyAlignment="1" pivotButton="0" quotePrefix="0" xfId="0">
      <alignment horizontal="center" vertical="center"/>
    </xf>
    <xf numFmtId="0" fontId="0" fillId="0" borderId="0" applyAlignment="1" pivotButton="0" quotePrefix="0" xfId="0">
      <alignment horizontal="left" vertical="center"/>
    </xf>
    <xf numFmtId="0" fontId="12" fillId="0" borderId="0" pivotButton="0" quotePrefix="0" xfId="0"/>
  </cellXfs>
  <cellStyles count="3">
    <cellStyle name="Normal" xfId="0" builtinId="0"/>
    <cellStyle name="Normal 2" xfId="1"/>
    <cellStyle name="Porcentaje" xfId="2" builtinId="5"/>
  </cellStyles>
  <dxfs count="83">
    <dxf>
      <fill>
        <patternFill patternType="solid">
          <fgColor rgb="FFFF0000"/>
          <bgColor rgb="FFFF0000"/>
        </patternFill>
      </fill>
    </dxf>
    <dxf>
      <fill>
        <patternFill patternType="solid">
          <fgColor rgb="FFFFFF00"/>
          <bgColor rgb="FFFFFF00"/>
        </patternFill>
      </fill>
    </dxf>
    <dxf>
      <fill>
        <patternFill patternType="solid">
          <fgColor rgb="FF00FF00"/>
          <bgColor rgb="FF00FF00"/>
        </patternFill>
      </fill>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9"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
      <fill>
        <patternFill patternType="solid">
          <fgColor rgb="00FFC7CE"/>
          <bgColor rgb="00FFC7CE"/>
        </patternFill>
      </fill>
    </dxf>
    <dxf>
      <fill>
        <patternFill patternType="solid">
          <fgColor rgb="00C6EFCE"/>
          <bgColor rgb="00C6EFCE"/>
        </patternFill>
      </fill>
    </dxf>
    <dxf>
      <fill>
        <patternFill patternType="solid">
          <fgColor rgb="00FFEB9C"/>
          <bgColor rgb="00FFEB9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pivotCacheDefinition" Target="/xl/pivotCache/pivotCacheDefinition1.xml" Id="rId15" /><Relationship Type="http://schemas.openxmlformats.org/officeDocument/2006/relationships/pivotCacheDefinition" Target="/xl/pivotCache/pivotCacheDefinition2.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pivotSource>
    <name>[GGESTION DE RIESGOS - ACTIVOS DE INF-2026.xlsx]INDICADORES!TablaDinámica5</name>
    <fmtId val="0"/>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rgbClr val="FF0000"/>
          </a:solidFill>
          <a:ln>
            <a:noFill/>
            <a:prstDash val="solid"/>
          </a:ln>
          <a:sp3d prstMaterial="flat"/>
        </spPr>
      </pivotFmt>
      <pivotFmt>
        <idx val="2"/>
        <spPr>
          <a:solidFill>
            <a:schemeClr val="accent4"/>
          </a:solidFill>
          <a:ln>
            <a:noFill/>
            <a:prstDash val="solid"/>
          </a:ln>
          <a:sp3d prstMaterial="flat"/>
        </spPr>
      </pivotFmt>
      <pivotFmt>
        <idx val="3"/>
        <spPr>
          <a:solidFill>
            <a:schemeClr val="accent6">
              <a:lumMod val="75000"/>
            </a:schemeClr>
          </a:solidFill>
          <a:ln>
            <a:noFill/>
            <a:prstDash val="solid"/>
          </a:ln>
          <a:sp3d prstMaterial="flat"/>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a:sp3d prstMaterial="flat"/>
            </spPr>
          </dPt>
          <dPt>
            <idx val="1"/>
            <bubble3D val="0"/>
            <spPr>
              <a:solidFill>
                <a:schemeClr val="accent4"/>
              </a:solidFill>
              <a:ln>
                <a:noFill/>
                <a:prstDash val="solid"/>
              </a:ln>
              <a:sp3d prstMaterial="flat"/>
            </spPr>
          </dPt>
          <dPt>
            <idx val="2"/>
            <bubble3D val="0"/>
            <spPr>
              <a:solidFill>
                <a:schemeClr val="accent6">
                  <a:lumMod val="75000"/>
                </a:schemeClr>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[GGESTION DE RIESGOS - ACTIVOS DE INF-2026.xlsx]INDICADORES!TablaDinámica6</name>
    <fmtId val="2"/>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
        <idx val="5"/>
        <spPr>
          <a:solidFill>
            <a:schemeClr val="accent5"/>
          </a:solidFill>
          <a:ln>
            <a:noFill/>
            <a:prstDash val="solid"/>
          </a:ln>
          <a:sp3d prstMaterial="flat"/>
        </spPr>
      </pivotFmt>
      <pivotFmt>
        <idx val="6"/>
        <spPr>
          <a:solidFill>
            <a:schemeClr val="accent6"/>
          </a:solidFill>
          <a:ln>
            <a:noFill/>
            <a:prstDash val="solid"/>
          </a:ln>
          <a:sp3d prstMaterial="flat"/>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Pt>
            <idx val="4"/>
            <bubble3D val="0"/>
            <spPr>
              <a:solidFill>
                <a:schemeClr val="accent5"/>
              </a:solidFill>
              <a:ln>
                <a:noFill/>
                <a:prstDash val="solid"/>
              </a:ln>
              <a:sp3d prstMaterial="flat"/>
            </spPr>
          </dPt>
          <dPt>
            <idx val="5"/>
            <bubble3D val="0"/>
            <spPr>
              <a:solidFill>
                <a:schemeClr val="accent6"/>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[GGESTION DE RIESGOS - ACTIVOS DE INF-2026.xlsx]INDICADORES!TablaDinámica7</name>
    <fmtId val="37"/>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[GGESTION DE RIESGOS - ACTIVOS DE INF-2026.xlsx]INDICADORES!TablaDinámica8</name>
    <fmtId val="46"/>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aDinámica1"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1">
      <pivotArea type="normal" dataOnly="1" outline="1" collapsedLevelsAreSubtotals="1" fieldPosition="0">
        <references count="2">
          <reference field="4"/>
          <reference field="13" selected="0">
            <x v="0"/>
          </reference>
        </references>
      </pivotArea>
    </format>
    <format action="formatting" dxfId="10">
      <pivotArea type="normal" dataOnly="1" outline="1" collapsedLevelsAreSubtotals="1" fieldPosition="0">
        <references count="2">
          <reference field="4"/>
          <reference field="13" selected="0">
            <x v="1"/>
          </reference>
        </references>
      </pivotArea>
    </format>
    <format action="formatting" dxfId="9">
      <pivotArea type="normal" dataOnly="1" outline="1" collapsedLevelsAreSubtotals="1" fieldPosition="0">
        <references count="2">
          <reference field="4"/>
          <reference field="13" selected="0">
            <x v="2"/>
          </reference>
        </references>
      </pivotArea>
    </format>
    <format action="formatting" dxfId="8">
      <pivotArea type="normal" dataOnly="1" outline="1" collapsedLevelsAreSubtotals="1" fieldPosition="0">
        <references count="2">
          <reference field="4"/>
          <reference field="13" selected="0">
            <x v="3"/>
          </reference>
        </references>
      </pivotArea>
    </format>
    <format action="formatting" dxfId="7">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10"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5" cacheId="9"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7"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9"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14">
      <pivotArea type="normal" dataOnly="1" outline="1" collapsedLevelsAreSubtotals="1" fieldPosition="0">
        <references count="2">
          <reference field="4"/>
          <reference field="22" selected="0">
            <x v="0"/>
          </reference>
        </references>
      </pivotArea>
    </format>
    <format action="formatting" dxfId="13">
      <pivotArea type="normal" dataOnly="1" outline="1" collapsedLevelsAreSubtotals="1" fieldPosition="0">
        <references count="2">
          <reference field="4"/>
          <reference field="22" selected="0">
            <x v="1"/>
          </reference>
        </references>
      </pivotArea>
    </format>
    <format action="formatting" dxfId="12">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6"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8"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79" headerRowBorderDxfId="78" tableBorderDxfId="77" totalsRowBorderDxfId="76">
  <autoFilter ref="A2:X1406"/>
  <tableColumns count="24">
    <tableColumn id="1" name="ID" dataDxfId="75"/>
    <tableColumn id="2" name="TIPO DE PROCESO" dataDxfId="74"/>
    <tableColumn id="3" name="TIPO DE MACROPROCESO" dataDxfId="73"/>
    <tableColumn id="4" name="CODIGO MACROPROCESO" dataDxfId="72"/>
    <tableColumn id="5" name="PROCESO" dataDxfId="71"/>
    <tableColumn id="6" name="SUBPROCESO" dataDxfId="70"/>
    <tableColumn id="7" name="PROCEDIMIENTO" dataDxfId="69"/>
    <tableColumn id="8" name="NOMBRE" dataDxfId="68"/>
    <tableColumn id="9" name="DESCRIPCIÓN" dataDxfId="67"/>
    <tableColumn id="10" name="RESPONSABLE" dataDxfId="66"/>
    <tableColumn id="11" name="CUSTODIO" dataDxfId="65"/>
    <tableColumn id="12" name="UBICACIÓN" dataDxfId="64"/>
    <tableColumn id="13" name="MEDIO DE CONSERVACIÓN" dataDxfId="63"/>
    <tableColumn id="14" name="TIPO DE ACTIVO" dataDxfId="62"/>
    <tableColumn id="15" name="CATEGORÍA" dataDxfId="61"/>
    <tableColumn id="16" name="CONFIDENCIALIDAD" dataDxfId="60"/>
    <tableColumn id="17" name="INTEGRIDAD" dataDxfId="59"/>
    <tableColumn id="18" name="DISPONIBILIDAD" dataDxfId="58"/>
    <tableColumn id="19" name="VALORACION" dataDxfId="57">
      <calculatedColumnFormula>+(IF(P3="PUBLICA(1)",1,IF(P3="USO INTERNO(2)",2,IF(P3="RESTRINGIDO(3)",3,3))))+(IF(Q3="BAJA(1)",1,IF(Q3="MEDIA(2)",2,IF(Q3="ALTA(3)",3,3))))+(IF(R3="BAJA(1)",1,IF(R3="MEDIA(2)",2,IF(R3="ALTA(3)",3,3))))</calculatedColumnFormula>
    </tableColumn>
    <tableColumn id="20" name="CRITICIDAD" dataDxfId="56">
      <calculatedColumnFormula>+IF(S3&lt;6,"BAJA",IF(S3&lt;8,"MEDIA","ALTA"))</calculatedColumnFormula>
    </tableColumn>
    <tableColumn id="21" name="ACCESO EXTERNO" dataDxfId="55"/>
    <tableColumn id="22" name="FECHA DE REGISTRO" dataDxfId="54"/>
    <tableColumn id="23" name="FECHA DE SALIDA" dataDxfId="53"/>
    <tableColumn id="24" name="RIESGO EVALUADO" dataDxfId="52">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51" dataDxfId="49" headerRowBorderDxfId="50" tableBorderDxfId="48" totalsRowBorderDxfId="47">
  <autoFilter ref="A2:Z211">
    <filterColumn colId="21" hiddenButton="0" showButton="1">
      <filters>
        <filter val="ALTO"/>
      </filters>
    </filterColumn>
  </autoFilter>
  <tableColumns count="26">
    <tableColumn id="1" name="ACTIVO" dataDxfId="46"/>
    <tableColumn id="2" name="NOMBRE" dataDxfId="45"/>
    <tableColumn id="3" name="DESCRIPCION" dataDxfId="44"/>
    <tableColumn id="5" name="TIPO DE ACTIVO MAGGERIT" dataDxfId="43"/>
    <tableColumn id="6" name="EVENTO DE AMENAZA" dataDxfId="42"/>
    <tableColumn id="7" name="CID" dataDxfId="41"/>
    <tableColumn id="23" name="CONFIDENCIALIDAD" dataDxfId="40"/>
    <tableColumn id="22" name="INTEGRIDAD" dataDxfId="39"/>
    <tableColumn id="21" name="DISPONIBILIDAD" dataDxfId="38"/>
    <tableColumn id="8" name="PROBABILIDAD" dataDxfId="37"/>
    <tableColumn id="9" name="IMPACTO" dataDxfId="36"/>
    <tableColumn id="10" name="RIESGO INHERENTE" dataDxfId="35">
      <calculatedColumnFormula>+J3*K3</calculatedColumnFormula>
    </tableColumn>
    <tableColumn id="11" name="DETERMINACION RIESGO ACUMULADO O INHERENTE" dataDxfId="34"/>
    <tableColumn id="12" name="CONTROLES EXISTENTES" dataDxfId="33"/>
    <tableColumn id="13" name="TIPO DE PROTECCION" dataDxfId="32"/>
    <tableColumn id="14" name="MADUREZ DEL CONTROL" dataDxfId="31"/>
    <tableColumn id="15" name="VALOR DE EFICACIA" dataDxfId="30"/>
    <tableColumn id="16" name="VULNERABILIDADES" dataDxfId="29"/>
    <tableColumn id="17" name="PROBABILIDAD RESIDUAL" dataDxfId="28"/>
    <tableColumn id="18" name="IMPACTO RESIDUAL" dataDxfId="27"/>
    <tableColumn id="19" name="RIESGO RESIDUAL" dataDxfId="26"/>
    <tableColumn id="20" name="DETERMINACION RIESGO RESIDUAL" dataDxfId="25"/>
    <tableColumn id="27" name="APETITO DE RIESGO" dataDxfId="24"/>
    <tableColumn id="24" name="REQUIERE TRATAMIENTO_x000a_NORMATIVA SEPS 002-2022" dataDxfId="23"/>
    <tableColumn id="25" name="PLAN DE ACCION" dataDxfId="22"/>
    <tableColumn id="26" name="DESCIPCION PLAN DE ACCIÓN" dataDxfId="21"/>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20" tableBorderDxfId="19">
  <autoFilter ref="A1:D7"/>
  <tableColumns count="4">
    <tableColumn id="1" name="PLAN DE ACCION" dataDxfId="18"/>
    <tableColumn id="2" name="DESCIPCION PLAN DE ACCIÓN" dataDxfId="17"/>
    <tableColumn id="4" name="RESPONSABLE" dataDxfId="16"/>
    <tableColumn id="5" name="PLAZO" dataDxfId="15"/>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6">
  <autoFilter ref="A1:B11"/>
  <tableColumns count="2">
    <tableColumn id="1" name="TIPO DE ACTIVO" dataDxfId="5"/>
    <tableColumn id="2" name="DESCRIPCION" dataDxfId="4"/>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AD1407"/>
  <sheetViews>
    <sheetView topLeftCell="Z1" zoomScale="80" zoomScaleNormal="80" workbookViewId="0">
      <selection activeCell="AA3" sqref="AA3"/>
    </sheetView>
  </sheetViews>
  <sheetFormatPr baseColWidth="10" defaultRowHeight="11.25"/>
  <cols>
    <col width="14" customWidth="1" style="106" min="1" max="1"/>
    <col width="19.1640625" customWidth="1" style="106" min="2" max="2"/>
    <col width="26" customWidth="1" style="106" min="3" max="3"/>
    <col hidden="1" width="26.1640625" customWidth="1" style="106" min="4" max="4"/>
    <col width="41.6640625" customWidth="1" style="106" min="5" max="5"/>
    <col width="15.1640625" customWidth="1" style="106" min="6" max="6"/>
    <col width="31" customWidth="1" style="106" min="7" max="7"/>
    <col width="40.1640625" customWidth="1" style="106" min="8" max="8"/>
    <col width="44.6640625" customWidth="1" style="106" min="9" max="9"/>
    <col hidden="1" width="16.1640625" customWidth="1" style="106" min="10" max="10"/>
    <col hidden="1" width="19.1640625" customWidth="1" style="106" min="11" max="11"/>
    <col width="18.5" customWidth="1" style="106" min="12" max="12"/>
    <col width="26.1640625" customWidth="1" style="106" min="13" max="13"/>
    <col width="17.6640625" customWidth="1" style="106" min="14" max="14"/>
    <col width="33.1640625" bestFit="1" customWidth="1" style="106" min="15" max="15"/>
    <col width="20.5" customWidth="1" style="106" min="16" max="16"/>
    <col width="13.6640625" customWidth="1" style="106" min="17" max="17"/>
    <col width="17.1640625" customWidth="1" style="106" min="18" max="18"/>
    <col width="15.1640625" customWidth="1" style="106" min="19" max="19"/>
    <col width="13.5" customWidth="1" style="106" min="20" max="20"/>
    <col width="19.1640625" customWidth="1" style="106" min="21" max="21"/>
    <col width="21.1640625" customWidth="1" style="106" min="22" max="22"/>
    <col width="19" customWidth="1" style="106" min="23" max="23"/>
    <col width="27.6640625" customWidth="1" style="106" min="24" max="24"/>
    <col width="22.5" customWidth="1" style="38" min="25" max="25"/>
    <col width="20" customWidth="1" style="38" min="26" max="26"/>
    <col width="24" customWidth="1" style="38" min="27" max="27"/>
    <col width="29.5" customWidth="1" style="38" min="28" max="28"/>
    <col width="29.33203125" customWidth="1" style="38" min="29" max="29"/>
  </cols>
  <sheetData>
    <row r="1">
      <c r="A1" s="97" t="n"/>
      <c r="B1" s="97" t="inlineStr">
        <is>
          <t>PROCESO/PROCEDIMIENTO</t>
        </is>
      </c>
      <c r="C1" s="98" t="n"/>
      <c r="D1" s="98" t="n"/>
      <c r="E1" s="98" t="n"/>
      <c r="F1" s="98" t="n"/>
      <c r="G1" s="99" t="n"/>
      <c r="H1" s="97" t="n"/>
      <c r="I1" s="97" t="n"/>
      <c r="J1" s="97" t="n"/>
      <c r="K1" s="97" t="n"/>
      <c r="L1" s="97" t="n"/>
      <c r="M1" s="97" t="n"/>
      <c r="N1" s="27" t="n"/>
      <c r="O1" s="97" t="n"/>
      <c r="P1" s="97" t="inlineStr">
        <is>
          <t>CLASIFICACIÓN</t>
        </is>
      </c>
      <c r="Q1" s="98" t="n"/>
      <c r="R1" s="99" t="n"/>
      <c r="S1" s="97" t="inlineStr">
        <is>
          <t>CRITICIDAD</t>
        </is>
      </c>
      <c r="T1" s="99" t="n"/>
      <c r="U1" s="97" t="n"/>
      <c r="V1" s="97" t="n"/>
      <c r="W1" s="97" t="n"/>
    </row>
    <row r="2" ht="24" customHeight="1" s="106">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c r="Y2" s="97" t="inlineStr">
        <is>
          <t>Estado de Implementación</t>
        </is>
      </c>
      <c r="Z2" s="97" t="inlineStr">
        <is>
          <t>Tipo de Protección</t>
        </is>
      </c>
      <c r="AA2" s="97" t="inlineStr">
        <is>
          <t>Nivel de Madurez / Efectividad</t>
        </is>
      </c>
      <c r="AB2" s="97" t="inlineStr">
        <is>
          <t>Riesgos / Amenazas que Mitiga</t>
        </is>
      </c>
      <c r="AC2" s="97" t="inlineStr">
        <is>
          <t>Evidencia / Documentación Asociada</t>
        </is>
      </c>
      <c r="AD2" s="115" t="inlineStr">
        <is>
          <t>Evaluación de Cumplimiento</t>
        </is>
      </c>
    </row>
    <row r="3">
      <c r="A3" s="99"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104">
        <f>+IFERROR(IF(VLOOKUP(Tabla2[[#This Row],[ID]],'EVALUACION DE RIESGO'!A:A,1,FALSE)=Tabla2[[#This Row],[ID]],"SI","NO"),"NO")</f>
        <v/>
      </c>
      <c r="AD3">
        <f>IF(AND(Y3="",Z3="",AA3="",AB3="",AC3=""),"",IF(OR(LEFT(AA3,2)="L0",LEFT(AA3,2)="L1",Y3="No Iniciado"),"CRÍTICO - Incumplimiento Normativo SEPS",IF(AND(Y3="Implementado",Z3&lt;&gt;"",OR(LEFT(AA3,2)="L4",LEFT(AA3,2)="L5"),AB3&lt;&gt;"",AC3&lt;&gt;"",AC3&lt;&gt;"N/A"),"CONFORME - Control Efectivo ISO 27001","OBSERVACIÓN - Revisar Controles")))</f>
        <v/>
      </c>
    </row>
    <row r="4">
      <c r="A4" s="99"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c r="AD4">
        <f>IF(AND(Y4="",Z4="",AA4="",AB4="",AC4=""),"",IF(OR(LEFT(AA4,2)="L0",LEFT(AA4,2)="L1",Y4="No Iniciado"),"CRÍTICO - Incumplimiento Normativo SEPS",IF(AND(Y4="Implementado",Z4&lt;&gt;"",OR(LEFT(AA4,2)="L4",LEFT(AA4,2)="L5"),AB4&lt;&gt;"",AC4&lt;&gt;"",AC4&lt;&gt;"N/A"),"CONFORME - Control Efectivo ISO 27001","OBSERVACIÓN - Revisar Controles")))</f>
        <v/>
      </c>
    </row>
    <row r="5">
      <c r="A5" s="99"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c r="AD5">
        <f>IF(AND(Y5="",Z5="",AA5="",AB5="",AC5=""),"",IF(OR(LEFT(AA5,2)="L0",LEFT(AA5,2)="L1",Y5="No Iniciado"),"CRÍTICO - Incumplimiento Normativo SEPS",IF(AND(Y5="Implementado",Z5&lt;&gt;"",OR(LEFT(AA5,2)="L4",LEFT(AA5,2)="L5"),AB5&lt;&gt;"",AC5&lt;&gt;"",AC5&lt;&gt;"N/A"),"CONFORME - Control Efectivo ISO 27001","OBSERVACIÓN - Revisar Controles")))</f>
        <v/>
      </c>
    </row>
    <row r="6">
      <c r="A6" s="99"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c r="AD6">
        <f>IF(AND(Y6="",Z6="",AA6="",AB6="",AC6=""),"",IF(OR(LEFT(AA6,2)="L0",LEFT(AA6,2)="L1",Y6="No Iniciado"),"CRÍTICO - Incumplimiento Normativo SEPS",IF(AND(Y6="Implementado",Z6&lt;&gt;"",OR(LEFT(AA6,2)="L4",LEFT(AA6,2)="L5"),AB6&lt;&gt;"",AC6&lt;&gt;"",AC6&lt;&gt;"N/A"),"CONFORME - Control Efectivo ISO 27001","OBSERVACIÓN - Revisar Controles")))</f>
        <v/>
      </c>
    </row>
    <row r="7">
      <c r="A7" s="99"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c r="AD7">
        <f>IF(AND(Y7="",Z7="",AA7="",AB7="",AC7=""),"",IF(OR(LEFT(AA7,2)="L0",LEFT(AA7,2)="L1",Y7="No Iniciado"),"CRÍTICO - Incumplimiento Normativo SEPS",IF(AND(Y7="Implementado",Z7&lt;&gt;"",OR(LEFT(AA7,2)="L4",LEFT(AA7,2)="L5"),AB7&lt;&gt;"",AC7&lt;&gt;"",AC7&lt;&gt;"N/A"),"CONFORME - Control Efectivo ISO 27001","OBSERVACIÓN - Revisar Controles")))</f>
        <v/>
      </c>
    </row>
    <row r="8">
      <c r="A8" s="99"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c r="AD8">
        <f>IF(AND(Y8="",Z8="",AA8="",AB8="",AC8=""),"",IF(OR(LEFT(AA8,2)="L0",LEFT(AA8,2)="L1",Y8="No Iniciado"),"CRÍTICO - Incumplimiento Normativo SEPS",IF(AND(Y8="Implementado",Z8&lt;&gt;"",OR(LEFT(AA8,2)="L4",LEFT(AA8,2)="L5"),AB8&lt;&gt;"",AC8&lt;&gt;"",AC8&lt;&gt;"N/A"),"CONFORME - Control Efectivo ISO 27001","OBSERVACIÓN - Revisar Controles")))</f>
        <v/>
      </c>
    </row>
    <row r="9">
      <c r="A9" s="99"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c r="AD9">
        <f>IF(AND(Y9="",Z9="",AA9="",AB9="",AC9=""),"",IF(OR(LEFT(AA9,2)="L0",LEFT(AA9,2)="L1",Y9="No Iniciado"),"CRÍTICO - Incumplimiento Normativo SEPS",IF(AND(Y9="Implementado",Z9&lt;&gt;"",OR(LEFT(AA9,2)="L4",LEFT(AA9,2)="L5"),AB9&lt;&gt;"",AC9&lt;&gt;"",AC9&lt;&gt;"N/A"),"CONFORME - Control Efectivo ISO 27001","OBSERVACIÓN - Revisar Controles")))</f>
        <v/>
      </c>
    </row>
    <row r="10">
      <c r="A10" s="99"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c r="AD10">
        <f>IF(AND(Y10="",Z10="",AA10="",AB10="",AC10=""),"",IF(OR(LEFT(AA10,2)="L0",LEFT(AA10,2)="L1",Y10="No Iniciado"),"CRÍTICO - Incumplimiento Normativo SEPS",IF(AND(Y10="Implementado",Z10&lt;&gt;"",OR(LEFT(AA10,2)="L4",LEFT(AA10,2)="L5"),AB10&lt;&gt;"",AC10&lt;&gt;"",AC10&lt;&gt;"N/A"),"CONFORME - Control Efectivo ISO 27001","OBSERVACIÓN - Revisar Controles")))</f>
        <v/>
      </c>
    </row>
    <row r="11">
      <c r="A11" s="99"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c r="AD11">
        <f>IF(AND(Y11="",Z11="",AA11="",AB11="",AC11=""),"",IF(OR(LEFT(AA11,2)="L0",LEFT(AA11,2)="L1",Y11="No Iniciado"),"CRÍTICO - Incumplimiento Normativo SEPS",IF(AND(Y11="Implementado",Z11&lt;&gt;"",OR(LEFT(AA11,2)="L4",LEFT(AA11,2)="L5"),AB11&lt;&gt;"",AC11&lt;&gt;"",AC11&lt;&gt;"N/A"),"CONFORME - Control Efectivo ISO 27001","OBSERVACIÓN - Revisar Controles")))</f>
        <v/>
      </c>
    </row>
    <row r="12">
      <c r="A12" s="99"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c r="AD12">
        <f>IF(AND(Y12="",Z12="",AA12="",AB12="",AC12=""),"",IF(OR(LEFT(AA12,2)="L0",LEFT(AA12,2)="L1",Y12="No Iniciado"),"CRÍTICO - Incumplimiento Normativo SEPS",IF(AND(Y12="Implementado",Z12&lt;&gt;"",OR(LEFT(AA12,2)="L4",LEFT(AA12,2)="L5"),AB12&lt;&gt;"",AC12&lt;&gt;"",AC12&lt;&gt;"N/A"),"CONFORME - Control Efectivo ISO 27001","OBSERVACIÓN - Revisar Controles")))</f>
        <v/>
      </c>
    </row>
    <row r="13">
      <c r="A13" s="99"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c r="AD13">
        <f>IF(AND(Y13="",Z13="",AA13="",AB13="",AC13=""),"",IF(OR(LEFT(AA13,2)="L0",LEFT(AA13,2)="L1",Y13="No Iniciado"),"CRÍTICO - Incumplimiento Normativo SEPS",IF(AND(Y13="Implementado",Z13&lt;&gt;"",OR(LEFT(AA13,2)="L4",LEFT(AA13,2)="L5"),AB13&lt;&gt;"",AC13&lt;&gt;"",AC13&lt;&gt;"N/A"),"CONFORME - Control Efectivo ISO 27001","OBSERVACIÓN - Revisar Controles")))</f>
        <v/>
      </c>
    </row>
    <row r="14">
      <c r="A14" s="99"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c r="AD14">
        <f>IF(AND(Y14="",Z14="",AA14="",AB14="",AC14=""),"",IF(OR(LEFT(AA14,2)="L0",LEFT(AA14,2)="L1",Y14="No Iniciado"),"CRÍTICO - Incumplimiento Normativo SEPS",IF(AND(Y14="Implementado",Z14&lt;&gt;"",OR(LEFT(AA14,2)="L4",LEFT(AA14,2)="L5"),AB14&lt;&gt;"",AC14&lt;&gt;"",AC14&lt;&gt;"N/A"),"CONFORME - Control Efectivo ISO 27001","OBSERVACIÓN - Revisar Controles")))</f>
        <v/>
      </c>
    </row>
    <row r="15">
      <c r="A15" s="99"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c r="AD15">
        <f>IF(AND(Y15="",Z15="",AA15="",AB15="",AC15=""),"",IF(OR(LEFT(AA15,2)="L0",LEFT(AA15,2)="L1",Y15="No Iniciado"),"CRÍTICO - Incumplimiento Normativo SEPS",IF(AND(Y15="Implementado",Z15&lt;&gt;"",OR(LEFT(AA15,2)="L4",LEFT(AA15,2)="L5"),AB15&lt;&gt;"",AC15&lt;&gt;"",AC15&lt;&gt;"N/A"),"CONFORME - Control Efectivo ISO 27001","OBSERVACIÓN - Revisar Controles")))</f>
        <v/>
      </c>
    </row>
    <row r="16">
      <c r="A16" s="99"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c r="AD16">
        <f>IF(AND(Y16="",Z16="",AA16="",AB16="",AC16=""),"",IF(OR(LEFT(AA16,2)="L0",LEFT(AA16,2)="L1",Y16="No Iniciado"),"CRÍTICO - Incumplimiento Normativo SEPS",IF(AND(Y16="Implementado",Z16&lt;&gt;"",OR(LEFT(AA16,2)="L4",LEFT(AA16,2)="L5"),AB16&lt;&gt;"",AC16&lt;&gt;"",AC16&lt;&gt;"N/A"),"CONFORME - Control Efectivo ISO 27001","OBSERVACIÓN - Revisar Controles")))</f>
        <v/>
      </c>
    </row>
    <row r="17">
      <c r="A17" s="99"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c r="AD17">
        <f>IF(AND(Y17="",Z17="",AA17="",AB17="",AC17=""),"",IF(OR(LEFT(AA17,2)="L0",LEFT(AA17,2)="L1",Y17="No Iniciado"),"CRÍTICO - Incumplimiento Normativo SEPS",IF(AND(Y17="Implementado",Z17&lt;&gt;"",OR(LEFT(AA17,2)="L4",LEFT(AA17,2)="L5"),AB17&lt;&gt;"",AC17&lt;&gt;"",AC17&lt;&gt;"N/A"),"CONFORME - Control Efectivo ISO 27001","OBSERVACIÓN - Revisar Controles")))</f>
        <v/>
      </c>
    </row>
    <row r="18">
      <c r="A18" s="99"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c r="AD18">
        <f>IF(AND(Y18="",Z18="",AA18="",AB18="",AC18=""),"",IF(OR(LEFT(AA18,2)="L0",LEFT(AA18,2)="L1",Y18="No Iniciado"),"CRÍTICO - Incumplimiento Normativo SEPS",IF(AND(Y18="Implementado",Z18&lt;&gt;"",OR(LEFT(AA18,2)="L4",LEFT(AA18,2)="L5"),AB18&lt;&gt;"",AC18&lt;&gt;"",AC18&lt;&gt;"N/A"),"CONFORME - Control Efectivo ISO 27001","OBSERVACIÓN - Revisar Controles")))</f>
        <v/>
      </c>
    </row>
    <row r="19">
      <c r="A19" s="99"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c r="AD19">
        <f>IF(AND(Y19="",Z19="",AA19="",AB19="",AC19=""),"",IF(OR(LEFT(AA19,2)="L0",LEFT(AA19,2)="L1",Y19="No Iniciado"),"CRÍTICO - Incumplimiento Normativo SEPS",IF(AND(Y19="Implementado",Z19&lt;&gt;"",OR(LEFT(AA19,2)="L4",LEFT(AA19,2)="L5"),AB19&lt;&gt;"",AC19&lt;&gt;"",AC19&lt;&gt;"N/A"),"CONFORME - Control Efectivo ISO 27001","OBSERVACIÓN - Revisar Controles")))</f>
        <v/>
      </c>
    </row>
    <row r="20">
      <c r="A20" s="99"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c r="AD20">
        <f>IF(AND(Y20="",Z20="",AA20="",AB20="",AC20=""),"",IF(OR(LEFT(AA20,2)="L0",LEFT(AA20,2)="L1",Y20="No Iniciado"),"CRÍTICO - Incumplimiento Normativo SEPS",IF(AND(Y20="Implementado",Z20&lt;&gt;"",OR(LEFT(AA20,2)="L4",LEFT(AA20,2)="L5"),AB20&lt;&gt;"",AC20&lt;&gt;"",AC20&lt;&gt;"N/A"),"CONFORME - Control Efectivo ISO 27001","OBSERVACIÓN - Revisar Controles")))</f>
        <v/>
      </c>
    </row>
    <row r="21">
      <c r="A21" s="99"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c r="AD21">
        <f>IF(AND(Y21="",Z21="",AA21="",AB21="",AC21=""),"",IF(OR(LEFT(AA21,2)="L0",LEFT(AA21,2)="L1",Y21="No Iniciado"),"CRÍTICO - Incumplimiento Normativo SEPS",IF(AND(Y21="Implementado",Z21&lt;&gt;"",OR(LEFT(AA21,2)="L4",LEFT(AA21,2)="L5"),AB21&lt;&gt;"",AC21&lt;&gt;"",AC21&lt;&gt;"N/A"),"CONFORME - Control Efectivo ISO 27001","OBSERVACIÓN - Revisar Controles")))</f>
        <v/>
      </c>
    </row>
    <row r="22">
      <c r="A22" s="99"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c r="AD22">
        <f>IF(AND(Y22="",Z22="",AA22="",AB22="",AC22=""),"",IF(OR(LEFT(AA22,2)="L0",LEFT(AA22,2)="L1",Y22="No Iniciado"),"CRÍTICO - Incumplimiento Normativo SEPS",IF(AND(Y22="Implementado",Z22&lt;&gt;"",OR(LEFT(AA22,2)="L4",LEFT(AA22,2)="L5"),AB22&lt;&gt;"",AC22&lt;&gt;"",AC22&lt;&gt;"N/A"),"CONFORME - Control Efectivo ISO 27001","OBSERVACIÓN - Revisar Controles")))</f>
        <v/>
      </c>
    </row>
    <row r="23">
      <c r="A23" s="99"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c r="AD23">
        <f>IF(AND(Y23="",Z23="",AA23="",AB23="",AC23=""),"",IF(OR(LEFT(AA23,2)="L0",LEFT(AA23,2)="L1",Y23="No Iniciado"),"CRÍTICO - Incumplimiento Normativo SEPS",IF(AND(Y23="Implementado",Z23&lt;&gt;"",OR(LEFT(AA23,2)="L4",LEFT(AA23,2)="L5"),AB23&lt;&gt;"",AC23&lt;&gt;"",AC23&lt;&gt;"N/A"),"CONFORME - Control Efectivo ISO 27001","OBSERVACIÓN - Revisar Controles")))</f>
        <v/>
      </c>
    </row>
    <row r="24">
      <c r="A24" s="99"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c r="AD24">
        <f>IF(AND(Y24="",Z24="",AA24="",AB24="",AC24=""),"",IF(OR(LEFT(AA24,2)="L0",LEFT(AA24,2)="L1",Y24="No Iniciado"),"CRÍTICO - Incumplimiento Normativo SEPS",IF(AND(Y24="Implementado",Z24&lt;&gt;"",OR(LEFT(AA24,2)="L4",LEFT(AA24,2)="L5"),AB24&lt;&gt;"",AC24&lt;&gt;"",AC24&lt;&gt;"N/A"),"CONFORME - Control Efectivo ISO 27001","OBSERVACIÓN - Revisar Controles")))</f>
        <v/>
      </c>
    </row>
    <row r="25">
      <c r="A25" s="99"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c r="AD25">
        <f>IF(AND(Y25="",Z25="",AA25="",AB25="",AC25=""),"",IF(OR(LEFT(AA25,2)="L0",LEFT(AA25,2)="L1",Y25="No Iniciado"),"CRÍTICO - Incumplimiento Normativo SEPS",IF(AND(Y25="Implementado",Z25&lt;&gt;"",OR(LEFT(AA25,2)="L4",LEFT(AA25,2)="L5"),AB25&lt;&gt;"",AC25&lt;&gt;"",AC25&lt;&gt;"N/A"),"CONFORME - Control Efectivo ISO 27001","OBSERVACIÓN - Revisar Controles")))</f>
        <v/>
      </c>
    </row>
    <row r="26">
      <c r="A26" s="99"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c r="AD26">
        <f>IF(AND(Y26="",Z26="",AA26="",AB26="",AC26=""),"",IF(OR(LEFT(AA26,2)="L0",LEFT(AA26,2)="L1",Y26="No Iniciado"),"CRÍTICO - Incumplimiento Normativo SEPS",IF(AND(Y26="Implementado",Z26&lt;&gt;"",OR(LEFT(AA26,2)="L4",LEFT(AA26,2)="L5"),AB26&lt;&gt;"",AC26&lt;&gt;"",AC26&lt;&gt;"N/A"),"CONFORME - Control Efectivo ISO 27001","OBSERVACIÓN - Revisar Controles")))</f>
        <v/>
      </c>
    </row>
    <row r="27">
      <c r="A27" s="99"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c r="AD27">
        <f>IF(AND(Y27="",Z27="",AA27="",AB27="",AC27=""),"",IF(OR(LEFT(AA27,2)="L0",LEFT(AA27,2)="L1",Y27="No Iniciado"),"CRÍTICO - Incumplimiento Normativo SEPS",IF(AND(Y27="Implementado",Z27&lt;&gt;"",OR(LEFT(AA27,2)="L4",LEFT(AA27,2)="L5"),AB27&lt;&gt;"",AC27&lt;&gt;"",AC27&lt;&gt;"N/A"),"CONFORME - Control Efectivo ISO 27001","OBSERVACIÓN - Revisar Controles")))</f>
        <v/>
      </c>
    </row>
    <row r="28">
      <c r="A28" s="99"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c r="AD28">
        <f>IF(AND(Y28="",Z28="",AA28="",AB28="",AC28=""),"",IF(OR(LEFT(AA28,2)="L0",LEFT(AA28,2)="L1",Y28="No Iniciado"),"CRÍTICO - Incumplimiento Normativo SEPS",IF(AND(Y28="Implementado",Z28&lt;&gt;"",OR(LEFT(AA28,2)="L4",LEFT(AA28,2)="L5"),AB28&lt;&gt;"",AC28&lt;&gt;"",AC28&lt;&gt;"N/A"),"CONFORME - Control Efectivo ISO 27001","OBSERVACIÓN - Revisar Controles")))</f>
        <v/>
      </c>
    </row>
    <row r="29">
      <c r="A29" s="99"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c r="AD29">
        <f>IF(AND(Y29="",Z29="",AA29="",AB29="",AC29=""),"",IF(OR(LEFT(AA29,2)="L0",LEFT(AA29,2)="L1",Y29="No Iniciado"),"CRÍTICO - Incumplimiento Normativo SEPS",IF(AND(Y29="Implementado",Z29&lt;&gt;"",OR(LEFT(AA29,2)="L4",LEFT(AA29,2)="L5"),AB29&lt;&gt;"",AC29&lt;&gt;"",AC29&lt;&gt;"N/A"),"CONFORME - Control Efectivo ISO 27001","OBSERVACIÓN - Revisar Controles")))</f>
        <v/>
      </c>
    </row>
    <row r="30">
      <c r="A30" s="99"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c r="AD30">
        <f>IF(AND(Y30="",Z30="",AA30="",AB30="",AC30=""),"",IF(OR(LEFT(AA30,2)="L0",LEFT(AA30,2)="L1",Y30="No Iniciado"),"CRÍTICO - Incumplimiento Normativo SEPS",IF(AND(Y30="Implementado",Z30&lt;&gt;"",OR(LEFT(AA30,2)="L4",LEFT(AA30,2)="L5"),AB30&lt;&gt;"",AC30&lt;&gt;"",AC30&lt;&gt;"N/A"),"CONFORME - Control Efectivo ISO 27001","OBSERVACIÓN - Revisar Controles")))</f>
        <v/>
      </c>
    </row>
    <row r="31">
      <c r="A31" s="99"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c r="AD31">
        <f>IF(AND(Y31="",Z31="",AA31="",AB31="",AC31=""),"",IF(OR(LEFT(AA31,2)="L0",LEFT(AA31,2)="L1",Y31="No Iniciado"),"CRÍTICO - Incumplimiento Normativo SEPS",IF(AND(Y31="Implementado",Z31&lt;&gt;"",OR(LEFT(AA31,2)="L4",LEFT(AA31,2)="L5"),AB31&lt;&gt;"",AC31&lt;&gt;"",AC31&lt;&gt;"N/A"),"CONFORME - Control Efectivo ISO 27001","OBSERVACIÓN - Revisar Controles")))</f>
        <v/>
      </c>
    </row>
    <row r="32">
      <c r="A32" s="99"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c r="AD32">
        <f>IF(AND(Y32="",Z32="",AA32="",AB32="",AC32=""),"",IF(OR(LEFT(AA32,2)="L0",LEFT(AA32,2)="L1",Y32="No Iniciado"),"CRÍTICO - Incumplimiento Normativo SEPS",IF(AND(Y32="Implementado",Z32&lt;&gt;"",OR(LEFT(AA32,2)="L4",LEFT(AA32,2)="L5"),AB32&lt;&gt;"",AC32&lt;&gt;"",AC32&lt;&gt;"N/A"),"CONFORME - Control Efectivo ISO 27001","OBSERVACIÓN - Revisar Controles")))</f>
        <v/>
      </c>
    </row>
    <row r="33">
      <c r="A33" s="99"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c r="AD33">
        <f>IF(AND(Y33="",Z33="",AA33="",AB33="",AC33=""),"",IF(OR(LEFT(AA33,2)="L0",LEFT(AA33,2)="L1",Y33="No Iniciado"),"CRÍTICO - Incumplimiento Normativo SEPS",IF(AND(Y33="Implementado",Z33&lt;&gt;"",OR(LEFT(AA33,2)="L4",LEFT(AA33,2)="L5"),AB33&lt;&gt;"",AC33&lt;&gt;"",AC33&lt;&gt;"N/A"),"CONFORME - Control Efectivo ISO 27001","OBSERVACIÓN - Revisar Controles")))</f>
        <v/>
      </c>
    </row>
    <row r="34">
      <c r="A34" s="99"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c r="AD34">
        <f>IF(AND(Y34="",Z34="",AA34="",AB34="",AC34=""),"",IF(OR(LEFT(AA34,2)="L0",LEFT(AA34,2)="L1",Y34="No Iniciado"),"CRÍTICO - Incumplimiento Normativo SEPS",IF(AND(Y34="Implementado",Z34&lt;&gt;"",OR(LEFT(AA34,2)="L4",LEFT(AA34,2)="L5"),AB34&lt;&gt;"",AC34&lt;&gt;"",AC34&lt;&gt;"N/A"),"CONFORME - Control Efectivo ISO 27001","OBSERVACIÓN - Revisar Controles")))</f>
        <v/>
      </c>
    </row>
    <row r="35">
      <c r="A35" s="99"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c r="AD35">
        <f>IF(AND(Y35="",Z35="",AA35="",AB35="",AC35=""),"",IF(OR(LEFT(AA35,2)="L0",LEFT(AA35,2)="L1",Y35="No Iniciado"),"CRÍTICO - Incumplimiento Normativo SEPS",IF(AND(Y35="Implementado",Z35&lt;&gt;"",OR(LEFT(AA35,2)="L4",LEFT(AA35,2)="L5"),AB35&lt;&gt;"",AC35&lt;&gt;"",AC35&lt;&gt;"N/A"),"CONFORME - Control Efectivo ISO 27001","OBSERVACIÓN - Revisar Controles")))</f>
        <v/>
      </c>
    </row>
    <row r="36">
      <c r="A36" s="99"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c r="AD36">
        <f>IF(AND(Y36="",Z36="",AA36="",AB36="",AC36=""),"",IF(OR(LEFT(AA36,2)="L0",LEFT(AA36,2)="L1",Y36="No Iniciado"),"CRÍTICO - Incumplimiento Normativo SEPS",IF(AND(Y36="Implementado",Z36&lt;&gt;"",OR(LEFT(AA36,2)="L4",LEFT(AA36,2)="L5"),AB36&lt;&gt;"",AC36&lt;&gt;"",AC36&lt;&gt;"N/A"),"CONFORME - Control Efectivo ISO 27001","OBSERVACIÓN - Revisar Controles")))</f>
        <v/>
      </c>
    </row>
    <row r="37">
      <c r="A37" s="99"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c r="AD37">
        <f>IF(AND(Y37="",Z37="",AA37="",AB37="",AC37=""),"",IF(OR(LEFT(AA37,2)="L0",LEFT(AA37,2)="L1",Y37="No Iniciado"),"CRÍTICO - Incumplimiento Normativo SEPS",IF(AND(Y37="Implementado",Z37&lt;&gt;"",OR(LEFT(AA37,2)="L4",LEFT(AA37,2)="L5"),AB37&lt;&gt;"",AC37&lt;&gt;"",AC37&lt;&gt;"N/A"),"CONFORME - Control Efectivo ISO 27001","OBSERVACIÓN - Revisar Controles")))</f>
        <v/>
      </c>
    </row>
    <row r="38">
      <c r="A38" s="99"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c r="AD38">
        <f>IF(AND(Y38="",Z38="",AA38="",AB38="",AC38=""),"",IF(OR(LEFT(AA38,2)="L0",LEFT(AA38,2)="L1",Y38="No Iniciado"),"CRÍTICO - Incumplimiento Normativo SEPS",IF(AND(Y38="Implementado",Z38&lt;&gt;"",OR(LEFT(AA38,2)="L4",LEFT(AA38,2)="L5"),AB38&lt;&gt;"",AC38&lt;&gt;"",AC38&lt;&gt;"N/A"),"CONFORME - Control Efectivo ISO 27001","OBSERVACIÓN - Revisar Controles")))</f>
        <v/>
      </c>
    </row>
    <row r="39">
      <c r="A39" s="99"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c r="AD39">
        <f>IF(AND(Y39="",Z39="",AA39="",AB39="",AC39=""),"",IF(OR(LEFT(AA39,2)="L0",LEFT(AA39,2)="L1",Y39="No Iniciado"),"CRÍTICO - Incumplimiento Normativo SEPS",IF(AND(Y39="Implementado",Z39&lt;&gt;"",OR(LEFT(AA39,2)="L4",LEFT(AA39,2)="L5"),AB39&lt;&gt;"",AC39&lt;&gt;"",AC39&lt;&gt;"N/A"),"CONFORME - Control Efectivo ISO 27001","OBSERVACIÓN - Revisar Controles")))</f>
        <v/>
      </c>
    </row>
    <row r="40">
      <c r="A40" s="99"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c r="AD40">
        <f>IF(AND(Y40="",Z40="",AA40="",AB40="",AC40=""),"",IF(OR(LEFT(AA40,2)="L0",LEFT(AA40,2)="L1",Y40="No Iniciado"),"CRÍTICO - Incumplimiento Normativo SEPS",IF(AND(Y40="Implementado",Z40&lt;&gt;"",OR(LEFT(AA40,2)="L4",LEFT(AA40,2)="L5"),AB40&lt;&gt;"",AC40&lt;&gt;"",AC40&lt;&gt;"N/A"),"CONFORME - Control Efectivo ISO 27001","OBSERVACIÓN - Revisar Controles")))</f>
        <v/>
      </c>
    </row>
    <row r="41">
      <c r="A41" s="99"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c r="AD41">
        <f>IF(AND(Y41="",Z41="",AA41="",AB41="",AC41=""),"",IF(OR(LEFT(AA41,2)="L0",LEFT(AA41,2)="L1",Y41="No Iniciado"),"CRÍTICO - Incumplimiento Normativo SEPS",IF(AND(Y41="Implementado",Z41&lt;&gt;"",OR(LEFT(AA41,2)="L4",LEFT(AA41,2)="L5"),AB41&lt;&gt;"",AC41&lt;&gt;"",AC41&lt;&gt;"N/A"),"CONFORME - Control Efectivo ISO 27001","OBSERVACIÓN - Revisar Controles")))</f>
        <v/>
      </c>
    </row>
    <row r="42">
      <c r="A42" s="99"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c r="AD42">
        <f>IF(AND(Y42="",Z42="",AA42="",AB42="",AC42=""),"",IF(OR(LEFT(AA42,2)="L0",LEFT(AA42,2)="L1",Y42="No Iniciado"),"CRÍTICO - Incumplimiento Normativo SEPS",IF(AND(Y42="Implementado",Z42&lt;&gt;"",OR(LEFT(AA42,2)="L4",LEFT(AA42,2)="L5"),AB42&lt;&gt;"",AC42&lt;&gt;"",AC42&lt;&gt;"N/A"),"CONFORME - Control Efectivo ISO 27001","OBSERVACIÓN - Revisar Controles")))</f>
        <v/>
      </c>
    </row>
    <row r="43">
      <c r="A43" s="99"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c r="AD43">
        <f>IF(AND(Y43="",Z43="",AA43="",AB43="",AC43=""),"",IF(OR(LEFT(AA43,2)="L0",LEFT(AA43,2)="L1",Y43="No Iniciado"),"CRÍTICO - Incumplimiento Normativo SEPS",IF(AND(Y43="Implementado",Z43&lt;&gt;"",OR(LEFT(AA43,2)="L4",LEFT(AA43,2)="L5"),AB43&lt;&gt;"",AC43&lt;&gt;"",AC43&lt;&gt;"N/A"),"CONFORME - Control Efectivo ISO 27001","OBSERVACIÓN - Revisar Controles")))</f>
        <v/>
      </c>
    </row>
    <row r="44">
      <c r="A44" s="99"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c r="AD44">
        <f>IF(AND(Y44="",Z44="",AA44="",AB44="",AC44=""),"",IF(OR(LEFT(AA44,2)="L0",LEFT(AA44,2)="L1",Y44="No Iniciado"),"CRÍTICO - Incumplimiento Normativo SEPS",IF(AND(Y44="Implementado",Z44&lt;&gt;"",OR(LEFT(AA44,2)="L4",LEFT(AA44,2)="L5"),AB44&lt;&gt;"",AC44&lt;&gt;"",AC44&lt;&gt;"N/A"),"CONFORME - Control Efectivo ISO 27001","OBSERVACIÓN - Revisar Controles")))</f>
        <v/>
      </c>
    </row>
    <row r="45">
      <c r="A45" s="99"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c r="AD45">
        <f>IF(AND(Y45="",Z45="",AA45="",AB45="",AC45=""),"",IF(OR(LEFT(AA45,2)="L0",LEFT(AA45,2)="L1",Y45="No Iniciado"),"CRÍTICO - Incumplimiento Normativo SEPS",IF(AND(Y45="Implementado",Z45&lt;&gt;"",OR(LEFT(AA45,2)="L4",LEFT(AA45,2)="L5"),AB45&lt;&gt;"",AC45&lt;&gt;"",AC45&lt;&gt;"N/A"),"CONFORME - Control Efectivo ISO 27001","OBSERVACIÓN - Revisar Controles")))</f>
        <v/>
      </c>
    </row>
    <row r="46">
      <c r="A46" s="99"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c r="AD46">
        <f>IF(AND(Y46="",Z46="",AA46="",AB46="",AC46=""),"",IF(OR(LEFT(AA46,2)="L0",LEFT(AA46,2)="L1",Y46="No Iniciado"),"CRÍTICO - Incumplimiento Normativo SEPS",IF(AND(Y46="Implementado",Z46&lt;&gt;"",OR(LEFT(AA46,2)="L4",LEFT(AA46,2)="L5"),AB46&lt;&gt;"",AC46&lt;&gt;"",AC46&lt;&gt;"N/A"),"CONFORME - Control Efectivo ISO 27001","OBSERVACIÓN - Revisar Controles")))</f>
        <v/>
      </c>
    </row>
    <row r="47">
      <c r="A47" s="99"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c r="AD47">
        <f>IF(AND(Y47="",Z47="",AA47="",AB47="",AC47=""),"",IF(OR(LEFT(AA47,2)="L0",LEFT(AA47,2)="L1",Y47="No Iniciado"),"CRÍTICO - Incumplimiento Normativo SEPS",IF(AND(Y47="Implementado",Z47&lt;&gt;"",OR(LEFT(AA47,2)="L4",LEFT(AA47,2)="L5"),AB47&lt;&gt;"",AC47&lt;&gt;"",AC47&lt;&gt;"N/A"),"CONFORME - Control Efectivo ISO 27001","OBSERVACIÓN - Revisar Controles")))</f>
        <v/>
      </c>
    </row>
    <row r="48">
      <c r="A48" s="99"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c r="AD48">
        <f>IF(AND(Y48="",Z48="",AA48="",AB48="",AC48=""),"",IF(OR(LEFT(AA48,2)="L0",LEFT(AA48,2)="L1",Y48="No Iniciado"),"CRÍTICO - Incumplimiento Normativo SEPS",IF(AND(Y48="Implementado",Z48&lt;&gt;"",OR(LEFT(AA48,2)="L4",LEFT(AA48,2)="L5"),AB48&lt;&gt;"",AC48&lt;&gt;"",AC48&lt;&gt;"N/A"),"CONFORME - Control Efectivo ISO 27001","OBSERVACIÓN - Revisar Controles")))</f>
        <v/>
      </c>
    </row>
    <row r="49">
      <c r="A49" s="99"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c r="AD49">
        <f>IF(AND(Y49="",Z49="",AA49="",AB49="",AC49=""),"",IF(OR(LEFT(AA49,2)="L0",LEFT(AA49,2)="L1",Y49="No Iniciado"),"CRÍTICO - Incumplimiento Normativo SEPS",IF(AND(Y49="Implementado",Z49&lt;&gt;"",OR(LEFT(AA49,2)="L4",LEFT(AA49,2)="L5"),AB49&lt;&gt;"",AC49&lt;&gt;"",AC49&lt;&gt;"N/A"),"CONFORME - Control Efectivo ISO 27001","OBSERVACIÓN - Revisar Controles")))</f>
        <v/>
      </c>
    </row>
    <row r="50">
      <c r="A50" s="99"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c r="AD50">
        <f>IF(AND(Y50="",Z50="",AA50="",AB50="",AC50=""),"",IF(OR(LEFT(AA50,2)="L0",LEFT(AA50,2)="L1",Y50="No Iniciado"),"CRÍTICO - Incumplimiento Normativo SEPS",IF(AND(Y50="Implementado",Z50&lt;&gt;"",OR(LEFT(AA50,2)="L4",LEFT(AA50,2)="L5"),AB50&lt;&gt;"",AC50&lt;&gt;"",AC50&lt;&gt;"N/A"),"CONFORME - Control Efectivo ISO 27001","OBSERVACIÓN - Revisar Controles")))</f>
        <v/>
      </c>
    </row>
    <row r="51">
      <c r="A51" s="99"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c r="AD51">
        <f>IF(AND(Y51="",Z51="",AA51="",AB51="",AC51=""),"",IF(OR(LEFT(AA51,2)="L0",LEFT(AA51,2)="L1",Y51="No Iniciado"),"CRÍTICO - Incumplimiento Normativo SEPS",IF(AND(Y51="Implementado",Z51&lt;&gt;"",OR(LEFT(AA51,2)="L4",LEFT(AA51,2)="L5"),AB51&lt;&gt;"",AC51&lt;&gt;"",AC51&lt;&gt;"N/A"),"CONFORME - Control Efectivo ISO 27001","OBSERVACIÓN - Revisar Controles")))</f>
        <v/>
      </c>
    </row>
    <row r="52">
      <c r="A52" s="99"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c r="AD52">
        <f>IF(AND(Y52="",Z52="",AA52="",AB52="",AC52=""),"",IF(OR(LEFT(AA52,2)="L0",LEFT(AA52,2)="L1",Y52="No Iniciado"),"CRÍTICO - Incumplimiento Normativo SEPS",IF(AND(Y52="Implementado",Z52&lt;&gt;"",OR(LEFT(AA52,2)="L4",LEFT(AA52,2)="L5"),AB52&lt;&gt;"",AC52&lt;&gt;"",AC52&lt;&gt;"N/A"),"CONFORME - Control Efectivo ISO 27001","OBSERVACIÓN - Revisar Controles")))</f>
        <v/>
      </c>
    </row>
    <row r="53">
      <c r="A53" s="99"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c r="AD53">
        <f>IF(AND(Y53="",Z53="",AA53="",AB53="",AC53=""),"",IF(OR(LEFT(AA53,2)="L0",LEFT(AA53,2)="L1",Y53="No Iniciado"),"CRÍTICO - Incumplimiento Normativo SEPS",IF(AND(Y53="Implementado",Z53&lt;&gt;"",OR(LEFT(AA53,2)="L4",LEFT(AA53,2)="L5"),AB53&lt;&gt;"",AC53&lt;&gt;"",AC53&lt;&gt;"N/A"),"CONFORME - Control Efectivo ISO 27001","OBSERVACIÓN - Revisar Controles")))</f>
        <v/>
      </c>
    </row>
    <row r="54">
      <c r="A54" s="99"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c r="AD54">
        <f>IF(AND(Y54="",Z54="",AA54="",AB54="",AC54=""),"",IF(OR(LEFT(AA54,2)="L0",LEFT(AA54,2)="L1",Y54="No Iniciado"),"CRÍTICO - Incumplimiento Normativo SEPS",IF(AND(Y54="Implementado",Z54&lt;&gt;"",OR(LEFT(AA54,2)="L4",LEFT(AA54,2)="L5"),AB54&lt;&gt;"",AC54&lt;&gt;"",AC54&lt;&gt;"N/A"),"CONFORME - Control Efectivo ISO 27001","OBSERVACIÓN - Revisar Controles")))</f>
        <v/>
      </c>
    </row>
    <row r="55">
      <c r="A55" s="99"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c r="AD55">
        <f>IF(AND(Y55="",Z55="",AA55="",AB55="",AC55=""),"",IF(OR(LEFT(AA55,2)="L0",LEFT(AA55,2)="L1",Y55="No Iniciado"),"CRÍTICO - Incumplimiento Normativo SEPS",IF(AND(Y55="Implementado",Z55&lt;&gt;"",OR(LEFT(AA55,2)="L4",LEFT(AA55,2)="L5"),AB55&lt;&gt;"",AC55&lt;&gt;"",AC55&lt;&gt;"N/A"),"CONFORME - Control Efectivo ISO 27001","OBSERVACIÓN - Revisar Controles")))</f>
        <v/>
      </c>
    </row>
    <row r="56">
      <c r="A56" s="99"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c r="AD56">
        <f>IF(AND(Y56="",Z56="",AA56="",AB56="",AC56=""),"",IF(OR(LEFT(AA56,2)="L0",LEFT(AA56,2)="L1",Y56="No Iniciado"),"CRÍTICO - Incumplimiento Normativo SEPS",IF(AND(Y56="Implementado",Z56&lt;&gt;"",OR(LEFT(AA56,2)="L4",LEFT(AA56,2)="L5"),AB56&lt;&gt;"",AC56&lt;&gt;"",AC56&lt;&gt;"N/A"),"CONFORME - Control Efectivo ISO 27001","OBSERVACIÓN - Revisar Controles")))</f>
        <v/>
      </c>
    </row>
    <row r="57">
      <c r="A57" s="99"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c r="AD57">
        <f>IF(AND(Y57="",Z57="",AA57="",AB57="",AC57=""),"",IF(OR(LEFT(AA57,2)="L0",LEFT(AA57,2)="L1",Y57="No Iniciado"),"CRÍTICO - Incumplimiento Normativo SEPS",IF(AND(Y57="Implementado",Z57&lt;&gt;"",OR(LEFT(AA57,2)="L4",LEFT(AA57,2)="L5"),AB57&lt;&gt;"",AC57&lt;&gt;"",AC57&lt;&gt;"N/A"),"CONFORME - Control Efectivo ISO 27001","OBSERVACIÓN - Revisar Controles")))</f>
        <v/>
      </c>
    </row>
    <row r="58">
      <c r="A58" s="99"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c r="AD58">
        <f>IF(AND(Y58="",Z58="",AA58="",AB58="",AC58=""),"",IF(OR(LEFT(AA58,2)="L0",LEFT(AA58,2)="L1",Y58="No Iniciado"),"CRÍTICO - Incumplimiento Normativo SEPS",IF(AND(Y58="Implementado",Z58&lt;&gt;"",OR(LEFT(AA58,2)="L4",LEFT(AA58,2)="L5"),AB58&lt;&gt;"",AC58&lt;&gt;"",AC58&lt;&gt;"N/A"),"CONFORME - Control Efectivo ISO 27001","OBSERVACIÓN - Revisar Controles")))</f>
        <v/>
      </c>
    </row>
    <row r="59">
      <c r="A59" s="99"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c r="AD59">
        <f>IF(AND(Y59="",Z59="",AA59="",AB59="",AC59=""),"",IF(OR(LEFT(AA59,2)="L0",LEFT(AA59,2)="L1",Y59="No Iniciado"),"CRÍTICO - Incumplimiento Normativo SEPS",IF(AND(Y59="Implementado",Z59&lt;&gt;"",OR(LEFT(AA59,2)="L4",LEFT(AA59,2)="L5"),AB59&lt;&gt;"",AC59&lt;&gt;"",AC59&lt;&gt;"N/A"),"CONFORME - Control Efectivo ISO 27001","OBSERVACIÓN - Revisar Controles")))</f>
        <v/>
      </c>
    </row>
    <row r="60">
      <c r="A60" s="99"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c r="AD60">
        <f>IF(AND(Y60="",Z60="",AA60="",AB60="",AC60=""),"",IF(OR(LEFT(AA60,2)="L0",LEFT(AA60,2)="L1",Y60="No Iniciado"),"CRÍTICO - Incumplimiento Normativo SEPS",IF(AND(Y60="Implementado",Z60&lt;&gt;"",OR(LEFT(AA60,2)="L4",LEFT(AA60,2)="L5"),AB60&lt;&gt;"",AC60&lt;&gt;"",AC60&lt;&gt;"N/A"),"CONFORME - Control Efectivo ISO 27001","OBSERVACIÓN - Revisar Controles")))</f>
        <v/>
      </c>
    </row>
    <row r="61">
      <c r="A61" s="99"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c r="AD61">
        <f>IF(AND(Y61="",Z61="",AA61="",AB61="",AC61=""),"",IF(OR(LEFT(AA61,2)="L0",LEFT(AA61,2)="L1",Y61="No Iniciado"),"CRÍTICO - Incumplimiento Normativo SEPS",IF(AND(Y61="Implementado",Z61&lt;&gt;"",OR(LEFT(AA61,2)="L4",LEFT(AA61,2)="L5"),AB61&lt;&gt;"",AC61&lt;&gt;"",AC61&lt;&gt;"N/A"),"CONFORME - Control Efectivo ISO 27001","OBSERVACIÓN - Revisar Controles")))</f>
        <v/>
      </c>
    </row>
    <row r="62">
      <c r="A62" s="99"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c r="AD62">
        <f>IF(AND(Y62="",Z62="",AA62="",AB62="",AC62=""),"",IF(OR(LEFT(AA62,2)="L0",LEFT(AA62,2)="L1",Y62="No Iniciado"),"CRÍTICO - Incumplimiento Normativo SEPS",IF(AND(Y62="Implementado",Z62&lt;&gt;"",OR(LEFT(AA62,2)="L4",LEFT(AA62,2)="L5"),AB62&lt;&gt;"",AC62&lt;&gt;"",AC62&lt;&gt;"N/A"),"CONFORME - Control Efectivo ISO 27001","OBSERVACIÓN - Revisar Controles")))</f>
        <v/>
      </c>
    </row>
    <row r="63">
      <c r="A63" s="99"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c r="AD63">
        <f>IF(AND(Y63="",Z63="",AA63="",AB63="",AC63=""),"",IF(OR(LEFT(AA63,2)="L0",LEFT(AA63,2)="L1",Y63="No Iniciado"),"CRÍTICO - Incumplimiento Normativo SEPS",IF(AND(Y63="Implementado",Z63&lt;&gt;"",OR(LEFT(AA63,2)="L4",LEFT(AA63,2)="L5"),AB63&lt;&gt;"",AC63&lt;&gt;"",AC63&lt;&gt;"N/A"),"CONFORME - Control Efectivo ISO 27001","OBSERVACIÓN - Revisar Controles")))</f>
        <v/>
      </c>
    </row>
    <row r="64">
      <c r="A64" s="99"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c r="AD64">
        <f>IF(AND(Y64="",Z64="",AA64="",AB64="",AC64=""),"",IF(OR(LEFT(AA64,2)="L0",LEFT(AA64,2)="L1",Y64="No Iniciado"),"CRÍTICO - Incumplimiento Normativo SEPS",IF(AND(Y64="Implementado",Z64&lt;&gt;"",OR(LEFT(AA64,2)="L4",LEFT(AA64,2)="L5"),AB64&lt;&gt;"",AC64&lt;&gt;"",AC64&lt;&gt;"N/A"),"CONFORME - Control Efectivo ISO 27001","OBSERVACIÓN - Revisar Controles")))</f>
        <v/>
      </c>
    </row>
    <row r="65">
      <c r="A65" s="99"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c r="AD65">
        <f>IF(AND(Y65="",Z65="",AA65="",AB65="",AC65=""),"",IF(OR(LEFT(AA65,2)="L0",LEFT(AA65,2)="L1",Y65="No Iniciado"),"CRÍTICO - Incumplimiento Normativo SEPS",IF(AND(Y65="Implementado",Z65&lt;&gt;"",OR(LEFT(AA65,2)="L4",LEFT(AA65,2)="L5"),AB65&lt;&gt;"",AC65&lt;&gt;"",AC65&lt;&gt;"N/A"),"CONFORME - Control Efectivo ISO 27001","OBSERVACIÓN - Revisar Controles")))</f>
        <v/>
      </c>
    </row>
    <row r="66">
      <c r="A66" s="99"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c r="AD66">
        <f>IF(AND(Y66="",Z66="",AA66="",AB66="",AC66=""),"",IF(OR(LEFT(AA66,2)="L0",LEFT(AA66,2)="L1",Y66="No Iniciado"),"CRÍTICO - Incumplimiento Normativo SEPS",IF(AND(Y66="Implementado",Z66&lt;&gt;"",OR(LEFT(AA66,2)="L4",LEFT(AA66,2)="L5"),AB66&lt;&gt;"",AC66&lt;&gt;"",AC66&lt;&gt;"N/A"),"CONFORME - Control Efectivo ISO 27001","OBSERVACIÓN - Revisar Controles")))</f>
        <v/>
      </c>
    </row>
    <row r="67">
      <c r="A67" s="99"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c r="AD67">
        <f>IF(AND(Y67="",Z67="",AA67="",AB67="",AC67=""),"",IF(OR(LEFT(AA67,2)="L0",LEFT(AA67,2)="L1",Y67="No Iniciado"),"CRÍTICO - Incumplimiento Normativo SEPS",IF(AND(Y67="Implementado",Z67&lt;&gt;"",OR(LEFT(AA67,2)="L4",LEFT(AA67,2)="L5"),AB67&lt;&gt;"",AC67&lt;&gt;"",AC67&lt;&gt;"N/A"),"CONFORME - Control Efectivo ISO 27001","OBSERVACIÓN - Revisar Controles")))</f>
        <v/>
      </c>
    </row>
    <row r="68">
      <c r="A68" s="99"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c r="AD68">
        <f>IF(AND(Y68="",Z68="",AA68="",AB68="",AC68=""),"",IF(OR(LEFT(AA68,2)="L0",LEFT(AA68,2)="L1",Y68="No Iniciado"),"CRÍTICO - Incumplimiento Normativo SEPS",IF(AND(Y68="Implementado",Z68&lt;&gt;"",OR(LEFT(AA68,2)="L4",LEFT(AA68,2)="L5"),AB68&lt;&gt;"",AC68&lt;&gt;"",AC68&lt;&gt;"N/A"),"CONFORME - Control Efectivo ISO 27001","OBSERVACIÓN - Revisar Controles")))</f>
        <v/>
      </c>
    </row>
    <row r="69">
      <c r="A69" s="99"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c r="AD69">
        <f>IF(AND(Y69="",Z69="",AA69="",AB69="",AC69=""),"",IF(OR(LEFT(AA69,2)="L0",LEFT(AA69,2)="L1",Y69="No Iniciado"),"CRÍTICO - Incumplimiento Normativo SEPS",IF(AND(Y69="Implementado",Z69&lt;&gt;"",OR(LEFT(AA69,2)="L4",LEFT(AA69,2)="L5"),AB69&lt;&gt;"",AC69&lt;&gt;"",AC69&lt;&gt;"N/A"),"CONFORME - Control Efectivo ISO 27001","OBSERVACIÓN - Revisar Controles")))</f>
        <v/>
      </c>
    </row>
    <row r="70">
      <c r="A70" s="99"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c r="AD70">
        <f>IF(AND(Y70="",Z70="",AA70="",AB70="",AC70=""),"",IF(OR(LEFT(AA70,2)="L0",LEFT(AA70,2)="L1",Y70="No Iniciado"),"CRÍTICO - Incumplimiento Normativo SEPS",IF(AND(Y70="Implementado",Z70&lt;&gt;"",OR(LEFT(AA70,2)="L4",LEFT(AA70,2)="L5"),AB70&lt;&gt;"",AC70&lt;&gt;"",AC70&lt;&gt;"N/A"),"CONFORME - Control Efectivo ISO 27001","OBSERVACIÓN - Revisar Controles")))</f>
        <v/>
      </c>
    </row>
    <row r="71">
      <c r="A71" s="99"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c r="AD71">
        <f>IF(AND(Y71="",Z71="",AA71="",AB71="",AC71=""),"",IF(OR(LEFT(AA71,2)="L0",LEFT(AA71,2)="L1",Y71="No Iniciado"),"CRÍTICO - Incumplimiento Normativo SEPS",IF(AND(Y71="Implementado",Z71&lt;&gt;"",OR(LEFT(AA71,2)="L4",LEFT(AA71,2)="L5"),AB71&lt;&gt;"",AC71&lt;&gt;"",AC71&lt;&gt;"N/A"),"CONFORME - Control Efectivo ISO 27001","OBSERVACIÓN - Revisar Controles")))</f>
        <v/>
      </c>
    </row>
    <row r="72">
      <c r="A72" s="99"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c r="AD72">
        <f>IF(AND(Y72="",Z72="",AA72="",AB72="",AC72=""),"",IF(OR(LEFT(AA72,2)="L0",LEFT(AA72,2)="L1",Y72="No Iniciado"),"CRÍTICO - Incumplimiento Normativo SEPS",IF(AND(Y72="Implementado",Z72&lt;&gt;"",OR(LEFT(AA72,2)="L4",LEFT(AA72,2)="L5"),AB72&lt;&gt;"",AC72&lt;&gt;"",AC72&lt;&gt;"N/A"),"CONFORME - Control Efectivo ISO 27001","OBSERVACIÓN - Revisar Controles")))</f>
        <v/>
      </c>
    </row>
    <row r="73" ht="41.1" customHeight="1" s="106">
      <c r="A73" s="99"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c r="AD73">
        <f>IF(AND(Y73="",Z73="",AA73="",AB73="",AC73=""),"",IF(OR(LEFT(AA73,2)="L0",LEFT(AA73,2)="L1",Y73="No Iniciado"),"CRÍTICO - Incumplimiento Normativo SEPS",IF(AND(Y73="Implementado",Z73&lt;&gt;"",OR(LEFT(AA73,2)="L4",LEFT(AA73,2)="L5"),AB73&lt;&gt;"",AC73&lt;&gt;"",AC73&lt;&gt;"N/A"),"CONFORME - Control Efectivo ISO 27001","OBSERVACIÓN - Revisar Controles")))</f>
        <v/>
      </c>
    </row>
    <row r="74">
      <c r="A74" s="99"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c r="AD74">
        <f>IF(AND(Y74="",Z74="",AA74="",AB74="",AC74=""),"",IF(OR(LEFT(AA74,2)="L0",LEFT(AA74,2)="L1",Y74="No Iniciado"),"CRÍTICO - Incumplimiento Normativo SEPS",IF(AND(Y74="Implementado",Z74&lt;&gt;"",OR(LEFT(AA74,2)="L4",LEFT(AA74,2)="L5"),AB74&lt;&gt;"",AC74&lt;&gt;"",AC74&lt;&gt;"N/A"),"CONFORME - Control Efectivo ISO 27001","OBSERVACIÓN - Revisar Controles")))</f>
        <v/>
      </c>
    </row>
    <row r="75">
      <c r="A75" s="99"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c r="AD75">
        <f>IF(AND(Y75="",Z75="",AA75="",AB75="",AC75=""),"",IF(OR(LEFT(AA75,2)="L0",LEFT(AA75,2)="L1",Y75="No Iniciado"),"CRÍTICO - Incumplimiento Normativo SEPS",IF(AND(Y75="Implementado",Z75&lt;&gt;"",OR(LEFT(AA75,2)="L4",LEFT(AA75,2)="L5"),AB75&lt;&gt;"",AC75&lt;&gt;"",AC75&lt;&gt;"N/A"),"CONFORME - Control Efectivo ISO 27001","OBSERVACIÓN - Revisar Controles")))</f>
        <v/>
      </c>
    </row>
    <row r="76">
      <c r="A76" s="99"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c r="AD76">
        <f>IF(AND(Y76="",Z76="",AA76="",AB76="",AC76=""),"",IF(OR(LEFT(AA76,2)="L0",LEFT(AA76,2)="L1",Y76="No Iniciado"),"CRÍTICO - Incumplimiento Normativo SEPS",IF(AND(Y76="Implementado",Z76&lt;&gt;"",OR(LEFT(AA76,2)="L4",LEFT(AA76,2)="L5"),AB76&lt;&gt;"",AC76&lt;&gt;"",AC76&lt;&gt;"N/A"),"CONFORME - Control Efectivo ISO 27001","OBSERVACIÓN - Revisar Controles")))</f>
        <v/>
      </c>
    </row>
    <row r="77">
      <c r="A77" s="99"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c r="AD77">
        <f>IF(AND(Y77="",Z77="",AA77="",AB77="",AC77=""),"",IF(OR(LEFT(AA77,2)="L0",LEFT(AA77,2)="L1",Y77="No Iniciado"),"CRÍTICO - Incumplimiento Normativo SEPS",IF(AND(Y77="Implementado",Z77&lt;&gt;"",OR(LEFT(AA77,2)="L4",LEFT(AA77,2)="L5"),AB77&lt;&gt;"",AC77&lt;&gt;"",AC77&lt;&gt;"N/A"),"CONFORME - Control Efectivo ISO 27001","OBSERVACIÓN - Revisar Controles")))</f>
        <v/>
      </c>
    </row>
    <row r="78">
      <c r="A78" s="99"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c r="AD78">
        <f>IF(AND(Y78="",Z78="",AA78="",AB78="",AC78=""),"",IF(OR(LEFT(AA78,2)="L0",LEFT(AA78,2)="L1",Y78="No Iniciado"),"CRÍTICO - Incumplimiento Normativo SEPS",IF(AND(Y78="Implementado",Z78&lt;&gt;"",OR(LEFT(AA78,2)="L4",LEFT(AA78,2)="L5"),AB78&lt;&gt;"",AC78&lt;&gt;"",AC78&lt;&gt;"N/A"),"CONFORME - Control Efectivo ISO 27001","OBSERVACIÓN - Revisar Controles")))</f>
        <v/>
      </c>
    </row>
    <row r="79">
      <c r="A79" s="99"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c r="AD79">
        <f>IF(AND(Y79="",Z79="",AA79="",AB79="",AC79=""),"",IF(OR(LEFT(AA79,2)="L0",LEFT(AA79,2)="L1",Y79="No Iniciado"),"CRÍTICO - Incumplimiento Normativo SEPS",IF(AND(Y79="Implementado",Z79&lt;&gt;"",OR(LEFT(AA79,2)="L4",LEFT(AA79,2)="L5"),AB79&lt;&gt;"",AC79&lt;&gt;"",AC79&lt;&gt;"N/A"),"CONFORME - Control Efectivo ISO 27001","OBSERVACIÓN - Revisar Controles")))</f>
        <v/>
      </c>
    </row>
    <row r="80">
      <c r="A80" s="99"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c r="AD80">
        <f>IF(AND(Y80="",Z80="",AA80="",AB80="",AC80=""),"",IF(OR(LEFT(AA80,2)="L0",LEFT(AA80,2)="L1",Y80="No Iniciado"),"CRÍTICO - Incumplimiento Normativo SEPS",IF(AND(Y80="Implementado",Z80&lt;&gt;"",OR(LEFT(AA80,2)="L4",LEFT(AA80,2)="L5"),AB80&lt;&gt;"",AC80&lt;&gt;"",AC80&lt;&gt;"N/A"),"CONFORME - Control Efectivo ISO 27001","OBSERVACIÓN - Revisar Controles")))</f>
        <v/>
      </c>
    </row>
    <row r="81">
      <c r="A81" s="99"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c r="AD81">
        <f>IF(AND(Y81="",Z81="",AA81="",AB81="",AC81=""),"",IF(OR(LEFT(AA81,2)="L0",LEFT(AA81,2)="L1",Y81="No Iniciado"),"CRÍTICO - Incumplimiento Normativo SEPS",IF(AND(Y81="Implementado",Z81&lt;&gt;"",OR(LEFT(AA81,2)="L4",LEFT(AA81,2)="L5"),AB81&lt;&gt;"",AC81&lt;&gt;"",AC81&lt;&gt;"N/A"),"CONFORME - Control Efectivo ISO 27001","OBSERVACIÓN - Revisar Controles")))</f>
        <v/>
      </c>
    </row>
    <row r="82">
      <c r="A82" s="99"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c r="AD82">
        <f>IF(AND(Y82="",Z82="",AA82="",AB82="",AC82=""),"",IF(OR(LEFT(AA82,2)="L0",LEFT(AA82,2)="L1",Y82="No Iniciado"),"CRÍTICO - Incumplimiento Normativo SEPS",IF(AND(Y82="Implementado",Z82&lt;&gt;"",OR(LEFT(AA82,2)="L4",LEFT(AA82,2)="L5"),AB82&lt;&gt;"",AC82&lt;&gt;"",AC82&lt;&gt;"N/A"),"CONFORME - Control Efectivo ISO 27001","OBSERVACIÓN - Revisar Controles")))</f>
        <v/>
      </c>
    </row>
    <row r="83">
      <c r="A83" s="99"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c r="AD83">
        <f>IF(AND(Y83="",Z83="",AA83="",AB83="",AC83=""),"",IF(OR(LEFT(AA83,2)="L0",LEFT(AA83,2)="L1",Y83="No Iniciado"),"CRÍTICO - Incumplimiento Normativo SEPS",IF(AND(Y83="Implementado",Z83&lt;&gt;"",OR(LEFT(AA83,2)="L4",LEFT(AA83,2)="L5"),AB83&lt;&gt;"",AC83&lt;&gt;"",AC83&lt;&gt;"N/A"),"CONFORME - Control Efectivo ISO 27001","OBSERVACIÓN - Revisar Controles")))</f>
        <v/>
      </c>
    </row>
    <row r="84">
      <c r="A84" s="99"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c r="AD84">
        <f>IF(AND(Y84="",Z84="",AA84="",AB84="",AC84=""),"",IF(OR(LEFT(AA84,2)="L0",LEFT(AA84,2)="L1",Y84="No Iniciado"),"CRÍTICO - Incumplimiento Normativo SEPS",IF(AND(Y84="Implementado",Z84&lt;&gt;"",OR(LEFT(AA84,2)="L4",LEFT(AA84,2)="L5"),AB84&lt;&gt;"",AC84&lt;&gt;"",AC84&lt;&gt;"N/A"),"CONFORME - Control Efectivo ISO 27001","OBSERVACIÓN - Revisar Controles")))</f>
        <v/>
      </c>
    </row>
    <row r="85">
      <c r="A85" s="99"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c r="AD85">
        <f>IF(AND(Y85="",Z85="",AA85="",AB85="",AC85=""),"",IF(OR(LEFT(AA85,2)="L0",LEFT(AA85,2)="L1",Y85="No Iniciado"),"CRÍTICO - Incumplimiento Normativo SEPS",IF(AND(Y85="Implementado",Z85&lt;&gt;"",OR(LEFT(AA85,2)="L4",LEFT(AA85,2)="L5"),AB85&lt;&gt;"",AC85&lt;&gt;"",AC85&lt;&gt;"N/A"),"CONFORME - Control Efectivo ISO 27001","OBSERVACIÓN - Revisar Controles")))</f>
        <v/>
      </c>
    </row>
    <row r="86">
      <c r="A86" s="99"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c r="AD86">
        <f>IF(AND(Y86="",Z86="",AA86="",AB86="",AC86=""),"",IF(OR(LEFT(AA86,2)="L0",LEFT(AA86,2)="L1",Y86="No Iniciado"),"CRÍTICO - Incumplimiento Normativo SEPS",IF(AND(Y86="Implementado",Z86&lt;&gt;"",OR(LEFT(AA86,2)="L4",LEFT(AA86,2)="L5"),AB86&lt;&gt;"",AC86&lt;&gt;"",AC86&lt;&gt;"N/A"),"CONFORME - Control Efectivo ISO 27001","OBSERVACIÓN - Revisar Controles")))</f>
        <v/>
      </c>
    </row>
    <row r="87">
      <c r="A87" s="99"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c r="AD87">
        <f>IF(AND(Y87="",Z87="",AA87="",AB87="",AC87=""),"",IF(OR(LEFT(AA87,2)="L0",LEFT(AA87,2)="L1",Y87="No Iniciado"),"CRÍTICO - Incumplimiento Normativo SEPS",IF(AND(Y87="Implementado",Z87&lt;&gt;"",OR(LEFT(AA87,2)="L4",LEFT(AA87,2)="L5"),AB87&lt;&gt;"",AC87&lt;&gt;"",AC87&lt;&gt;"N/A"),"CONFORME - Control Efectivo ISO 27001","OBSERVACIÓN - Revisar Controles")))</f>
        <v/>
      </c>
    </row>
    <row r="88">
      <c r="A88" s="99"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c r="AD88">
        <f>IF(AND(Y88="",Z88="",AA88="",AB88="",AC88=""),"",IF(OR(LEFT(AA88,2)="L0",LEFT(AA88,2)="L1",Y88="No Iniciado"),"CRÍTICO - Incumplimiento Normativo SEPS",IF(AND(Y88="Implementado",Z88&lt;&gt;"",OR(LEFT(AA88,2)="L4",LEFT(AA88,2)="L5"),AB88&lt;&gt;"",AC88&lt;&gt;"",AC88&lt;&gt;"N/A"),"CONFORME - Control Efectivo ISO 27001","OBSERVACIÓN - Revisar Controles")))</f>
        <v/>
      </c>
    </row>
    <row r="89">
      <c r="A89" s="99"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c r="AD89">
        <f>IF(AND(Y89="",Z89="",AA89="",AB89="",AC89=""),"",IF(OR(LEFT(AA89,2)="L0",LEFT(AA89,2)="L1",Y89="No Iniciado"),"CRÍTICO - Incumplimiento Normativo SEPS",IF(AND(Y89="Implementado",Z89&lt;&gt;"",OR(LEFT(AA89,2)="L4",LEFT(AA89,2)="L5"),AB89&lt;&gt;"",AC89&lt;&gt;"",AC89&lt;&gt;"N/A"),"CONFORME - Control Efectivo ISO 27001","OBSERVACIÓN - Revisar Controles")))</f>
        <v/>
      </c>
    </row>
    <row r="90">
      <c r="A90" s="99"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c r="AD90">
        <f>IF(AND(Y90="",Z90="",AA90="",AB90="",AC90=""),"",IF(OR(LEFT(AA90,2)="L0",LEFT(AA90,2)="L1",Y90="No Iniciado"),"CRÍTICO - Incumplimiento Normativo SEPS",IF(AND(Y90="Implementado",Z90&lt;&gt;"",OR(LEFT(AA90,2)="L4",LEFT(AA90,2)="L5"),AB90&lt;&gt;"",AC90&lt;&gt;"",AC90&lt;&gt;"N/A"),"CONFORME - Control Efectivo ISO 27001","OBSERVACIÓN - Revisar Controles")))</f>
        <v/>
      </c>
    </row>
    <row r="91">
      <c r="A91" s="99"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c r="AD91">
        <f>IF(AND(Y91="",Z91="",AA91="",AB91="",AC91=""),"",IF(OR(LEFT(AA91,2)="L0",LEFT(AA91,2)="L1",Y91="No Iniciado"),"CRÍTICO - Incumplimiento Normativo SEPS",IF(AND(Y91="Implementado",Z91&lt;&gt;"",OR(LEFT(AA91,2)="L4",LEFT(AA91,2)="L5"),AB91&lt;&gt;"",AC91&lt;&gt;"",AC91&lt;&gt;"N/A"),"CONFORME - Control Efectivo ISO 27001","OBSERVACIÓN - Revisar Controles")))</f>
        <v/>
      </c>
    </row>
    <row r="92">
      <c r="A92" s="99"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c r="AD92">
        <f>IF(AND(Y92="",Z92="",AA92="",AB92="",AC92=""),"",IF(OR(LEFT(AA92,2)="L0",LEFT(AA92,2)="L1",Y92="No Iniciado"),"CRÍTICO - Incumplimiento Normativo SEPS",IF(AND(Y92="Implementado",Z92&lt;&gt;"",OR(LEFT(AA92,2)="L4",LEFT(AA92,2)="L5"),AB92&lt;&gt;"",AC92&lt;&gt;"",AC92&lt;&gt;"N/A"),"CONFORME - Control Efectivo ISO 27001","OBSERVACIÓN - Revisar Controles")))</f>
        <v/>
      </c>
    </row>
    <row r="93">
      <c r="A93" s="99"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c r="AD93">
        <f>IF(AND(Y93="",Z93="",AA93="",AB93="",AC93=""),"",IF(OR(LEFT(AA93,2)="L0",LEFT(AA93,2)="L1",Y93="No Iniciado"),"CRÍTICO - Incumplimiento Normativo SEPS",IF(AND(Y93="Implementado",Z93&lt;&gt;"",OR(LEFT(AA93,2)="L4",LEFT(AA93,2)="L5"),AB93&lt;&gt;"",AC93&lt;&gt;"",AC93&lt;&gt;"N/A"),"CONFORME - Control Efectivo ISO 27001","OBSERVACIÓN - Revisar Controles")))</f>
        <v/>
      </c>
    </row>
    <row r="94">
      <c r="A94" s="99"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c r="AD94">
        <f>IF(AND(Y94="",Z94="",AA94="",AB94="",AC94=""),"",IF(OR(LEFT(AA94,2)="L0",LEFT(AA94,2)="L1",Y94="No Iniciado"),"CRÍTICO - Incumplimiento Normativo SEPS",IF(AND(Y94="Implementado",Z94&lt;&gt;"",OR(LEFT(AA94,2)="L4",LEFT(AA94,2)="L5"),AB94&lt;&gt;"",AC94&lt;&gt;"",AC94&lt;&gt;"N/A"),"CONFORME - Control Efectivo ISO 27001","OBSERVACIÓN - Revisar Controles")))</f>
        <v/>
      </c>
    </row>
    <row r="95">
      <c r="A95" s="99"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c r="AD95">
        <f>IF(AND(Y95="",Z95="",AA95="",AB95="",AC95=""),"",IF(OR(LEFT(AA95,2)="L0",LEFT(AA95,2)="L1",Y95="No Iniciado"),"CRÍTICO - Incumplimiento Normativo SEPS",IF(AND(Y95="Implementado",Z95&lt;&gt;"",OR(LEFT(AA95,2)="L4",LEFT(AA95,2)="L5"),AB95&lt;&gt;"",AC95&lt;&gt;"",AC95&lt;&gt;"N/A"),"CONFORME - Control Efectivo ISO 27001","OBSERVACIÓN - Revisar Controles")))</f>
        <v/>
      </c>
    </row>
    <row r="96">
      <c r="A96" s="99"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c r="AD96">
        <f>IF(AND(Y96="",Z96="",AA96="",AB96="",AC96=""),"",IF(OR(LEFT(AA96,2)="L0",LEFT(AA96,2)="L1",Y96="No Iniciado"),"CRÍTICO - Incumplimiento Normativo SEPS",IF(AND(Y96="Implementado",Z96&lt;&gt;"",OR(LEFT(AA96,2)="L4",LEFT(AA96,2)="L5"),AB96&lt;&gt;"",AC96&lt;&gt;"",AC96&lt;&gt;"N/A"),"CONFORME - Control Efectivo ISO 27001","OBSERVACIÓN - Revisar Controles")))</f>
        <v/>
      </c>
    </row>
    <row r="97">
      <c r="A97" s="99"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c r="AD97">
        <f>IF(AND(Y97="",Z97="",AA97="",AB97="",AC97=""),"",IF(OR(LEFT(AA97,2)="L0",LEFT(AA97,2)="L1",Y97="No Iniciado"),"CRÍTICO - Incumplimiento Normativo SEPS",IF(AND(Y97="Implementado",Z97&lt;&gt;"",OR(LEFT(AA97,2)="L4",LEFT(AA97,2)="L5"),AB97&lt;&gt;"",AC97&lt;&gt;"",AC97&lt;&gt;"N/A"),"CONFORME - Control Efectivo ISO 27001","OBSERVACIÓN - Revisar Controles")))</f>
        <v/>
      </c>
    </row>
    <row r="98">
      <c r="A98" s="99"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c r="AD98">
        <f>IF(AND(Y98="",Z98="",AA98="",AB98="",AC98=""),"",IF(OR(LEFT(AA98,2)="L0",LEFT(AA98,2)="L1",Y98="No Iniciado"),"CRÍTICO - Incumplimiento Normativo SEPS",IF(AND(Y98="Implementado",Z98&lt;&gt;"",OR(LEFT(AA98,2)="L4",LEFT(AA98,2)="L5"),AB98&lt;&gt;"",AC98&lt;&gt;"",AC98&lt;&gt;"N/A"),"CONFORME - Control Efectivo ISO 27001","OBSERVACIÓN - Revisar Controles")))</f>
        <v/>
      </c>
    </row>
    <row r="99">
      <c r="A99" s="99"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c r="AD99">
        <f>IF(AND(Y99="",Z99="",AA99="",AB99="",AC99=""),"",IF(OR(LEFT(AA99,2)="L0",LEFT(AA99,2)="L1",Y99="No Iniciado"),"CRÍTICO - Incumplimiento Normativo SEPS",IF(AND(Y99="Implementado",Z99&lt;&gt;"",OR(LEFT(AA99,2)="L4",LEFT(AA99,2)="L5"),AB99&lt;&gt;"",AC99&lt;&gt;"",AC99&lt;&gt;"N/A"),"CONFORME - Control Efectivo ISO 27001","OBSERVACIÓN - Revisar Controles")))</f>
        <v/>
      </c>
    </row>
    <row r="100">
      <c r="A100" s="99"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c r="AD100">
        <f>IF(AND(Y100="",Z100="",AA100="",AB100="",AC100=""),"",IF(OR(LEFT(AA100,2)="L0",LEFT(AA100,2)="L1",Y100="No Iniciado"),"CRÍTICO - Incumplimiento Normativo SEPS",IF(AND(Y100="Implementado",Z100&lt;&gt;"",OR(LEFT(AA100,2)="L4",LEFT(AA100,2)="L5"),AB100&lt;&gt;"",AC100&lt;&gt;"",AC100&lt;&gt;"N/A"),"CONFORME - Control Efectivo ISO 27001","OBSERVACIÓN - Revisar Controles")))</f>
        <v/>
      </c>
    </row>
    <row r="101">
      <c r="A101" s="99"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c r="AD101">
        <f>IF(AND(Y101="",Z101="",AA101="",AB101="",AC101=""),"",IF(OR(LEFT(AA101,2)="L0",LEFT(AA101,2)="L1",Y101="No Iniciado"),"CRÍTICO - Incumplimiento Normativo SEPS",IF(AND(Y101="Implementado",Z101&lt;&gt;"",OR(LEFT(AA101,2)="L4",LEFT(AA101,2)="L5"),AB101&lt;&gt;"",AC101&lt;&gt;"",AC101&lt;&gt;"N/A"),"CONFORME - Control Efectivo ISO 27001","OBSERVACIÓN - Revisar Controles")))</f>
        <v/>
      </c>
    </row>
    <row r="102">
      <c r="A102" s="99"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c r="AD102">
        <f>IF(AND(Y102="",Z102="",AA102="",AB102="",AC102=""),"",IF(OR(LEFT(AA102,2)="L0",LEFT(AA102,2)="L1",Y102="No Iniciado"),"CRÍTICO - Incumplimiento Normativo SEPS",IF(AND(Y102="Implementado",Z102&lt;&gt;"",OR(LEFT(AA102,2)="L4",LEFT(AA102,2)="L5"),AB102&lt;&gt;"",AC102&lt;&gt;"",AC102&lt;&gt;"N/A"),"CONFORME - Control Efectivo ISO 27001","OBSERVACIÓN - Revisar Controles")))</f>
        <v/>
      </c>
    </row>
    <row r="103">
      <c r="A103" s="99"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c r="AD103">
        <f>IF(AND(Y103="",Z103="",AA103="",AB103="",AC103=""),"",IF(OR(LEFT(AA103,2)="L0",LEFT(AA103,2)="L1",Y103="No Iniciado"),"CRÍTICO - Incumplimiento Normativo SEPS",IF(AND(Y103="Implementado",Z103&lt;&gt;"",OR(LEFT(AA103,2)="L4",LEFT(AA103,2)="L5"),AB103&lt;&gt;"",AC103&lt;&gt;"",AC103&lt;&gt;"N/A"),"CONFORME - Control Efectivo ISO 27001","OBSERVACIÓN - Revisar Controles")))</f>
        <v/>
      </c>
    </row>
    <row r="104">
      <c r="A104" s="99"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c r="AD104">
        <f>IF(AND(Y104="",Z104="",AA104="",AB104="",AC104=""),"",IF(OR(LEFT(AA104,2)="L0",LEFT(AA104,2)="L1",Y104="No Iniciado"),"CRÍTICO - Incumplimiento Normativo SEPS",IF(AND(Y104="Implementado",Z104&lt;&gt;"",OR(LEFT(AA104,2)="L4",LEFT(AA104,2)="L5"),AB104&lt;&gt;"",AC104&lt;&gt;"",AC104&lt;&gt;"N/A"),"CONFORME - Control Efectivo ISO 27001","OBSERVACIÓN - Revisar Controles")))</f>
        <v/>
      </c>
    </row>
    <row r="105">
      <c r="A105" s="99"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c r="AD105">
        <f>IF(AND(Y105="",Z105="",AA105="",AB105="",AC105=""),"",IF(OR(LEFT(AA105,2)="L0",LEFT(AA105,2)="L1",Y105="No Iniciado"),"CRÍTICO - Incumplimiento Normativo SEPS",IF(AND(Y105="Implementado",Z105&lt;&gt;"",OR(LEFT(AA105,2)="L4",LEFT(AA105,2)="L5"),AB105&lt;&gt;"",AC105&lt;&gt;"",AC105&lt;&gt;"N/A"),"CONFORME - Control Efectivo ISO 27001","OBSERVACIÓN - Revisar Controles")))</f>
        <v/>
      </c>
    </row>
    <row r="106">
      <c r="A106" s="99"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c r="AD106">
        <f>IF(AND(Y106="",Z106="",AA106="",AB106="",AC106=""),"",IF(OR(LEFT(AA106,2)="L0",LEFT(AA106,2)="L1",Y106="No Iniciado"),"CRÍTICO - Incumplimiento Normativo SEPS",IF(AND(Y106="Implementado",Z106&lt;&gt;"",OR(LEFT(AA106,2)="L4",LEFT(AA106,2)="L5"),AB106&lt;&gt;"",AC106&lt;&gt;"",AC106&lt;&gt;"N/A"),"CONFORME - Control Efectivo ISO 27001","OBSERVACIÓN - Revisar Controles")))</f>
        <v/>
      </c>
    </row>
    <row r="107">
      <c r="A107" s="99"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c r="AD107">
        <f>IF(AND(Y107="",Z107="",AA107="",AB107="",AC107=""),"",IF(OR(LEFT(AA107,2)="L0",LEFT(AA107,2)="L1",Y107="No Iniciado"),"CRÍTICO - Incumplimiento Normativo SEPS",IF(AND(Y107="Implementado",Z107&lt;&gt;"",OR(LEFT(AA107,2)="L4",LEFT(AA107,2)="L5"),AB107&lt;&gt;"",AC107&lt;&gt;"",AC107&lt;&gt;"N/A"),"CONFORME - Control Efectivo ISO 27001","OBSERVACIÓN - Revisar Controles")))</f>
        <v/>
      </c>
    </row>
    <row r="108">
      <c r="A108" s="99"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c r="AD108">
        <f>IF(AND(Y108="",Z108="",AA108="",AB108="",AC108=""),"",IF(OR(LEFT(AA108,2)="L0",LEFT(AA108,2)="L1",Y108="No Iniciado"),"CRÍTICO - Incumplimiento Normativo SEPS",IF(AND(Y108="Implementado",Z108&lt;&gt;"",OR(LEFT(AA108,2)="L4",LEFT(AA108,2)="L5"),AB108&lt;&gt;"",AC108&lt;&gt;"",AC108&lt;&gt;"N/A"),"CONFORME - Control Efectivo ISO 27001","OBSERVACIÓN - Revisar Controles")))</f>
        <v/>
      </c>
    </row>
    <row r="109">
      <c r="A109" s="99"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c r="AD109">
        <f>IF(AND(Y109="",Z109="",AA109="",AB109="",AC109=""),"",IF(OR(LEFT(AA109,2)="L0",LEFT(AA109,2)="L1",Y109="No Iniciado"),"CRÍTICO - Incumplimiento Normativo SEPS",IF(AND(Y109="Implementado",Z109&lt;&gt;"",OR(LEFT(AA109,2)="L4",LEFT(AA109,2)="L5"),AB109&lt;&gt;"",AC109&lt;&gt;"",AC109&lt;&gt;"N/A"),"CONFORME - Control Efectivo ISO 27001","OBSERVACIÓN - Revisar Controles")))</f>
        <v/>
      </c>
    </row>
    <row r="110">
      <c r="A110" s="99"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c r="AD110">
        <f>IF(AND(Y110="",Z110="",AA110="",AB110="",AC110=""),"",IF(OR(LEFT(AA110,2)="L0",LEFT(AA110,2)="L1",Y110="No Iniciado"),"CRÍTICO - Incumplimiento Normativo SEPS",IF(AND(Y110="Implementado",Z110&lt;&gt;"",OR(LEFT(AA110,2)="L4",LEFT(AA110,2)="L5"),AB110&lt;&gt;"",AC110&lt;&gt;"",AC110&lt;&gt;"N/A"),"CONFORME - Control Efectivo ISO 27001","OBSERVACIÓN - Revisar Controles")))</f>
        <v/>
      </c>
    </row>
    <row r="111">
      <c r="A111" s="99"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c r="AD111">
        <f>IF(AND(Y111="",Z111="",AA111="",AB111="",AC111=""),"",IF(OR(LEFT(AA111,2)="L0",LEFT(AA111,2)="L1",Y111="No Iniciado"),"CRÍTICO - Incumplimiento Normativo SEPS",IF(AND(Y111="Implementado",Z111&lt;&gt;"",OR(LEFT(AA111,2)="L4",LEFT(AA111,2)="L5"),AB111&lt;&gt;"",AC111&lt;&gt;"",AC111&lt;&gt;"N/A"),"CONFORME - Control Efectivo ISO 27001","OBSERVACIÓN - Revisar Controles")))</f>
        <v/>
      </c>
    </row>
    <row r="112">
      <c r="A112" s="99"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c r="AD112">
        <f>IF(AND(Y112="",Z112="",AA112="",AB112="",AC112=""),"",IF(OR(LEFT(AA112,2)="L0",LEFT(AA112,2)="L1",Y112="No Iniciado"),"CRÍTICO - Incumplimiento Normativo SEPS",IF(AND(Y112="Implementado",Z112&lt;&gt;"",OR(LEFT(AA112,2)="L4",LEFT(AA112,2)="L5"),AB112&lt;&gt;"",AC112&lt;&gt;"",AC112&lt;&gt;"N/A"),"CONFORME - Control Efectivo ISO 27001","OBSERVACIÓN - Revisar Controles")))</f>
        <v/>
      </c>
    </row>
    <row r="113">
      <c r="A113" s="99"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c r="AD113">
        <f>IF(AND(Y113="",Z113="",AA113="",AB113="",AC113=""),"",IF(OR(LEFT(AA113,2)="L0",LEFT(AA113,2)="L1",Y113="No Iniciado"),"CRÍTICO - Incumplimiento Normativo SEPS",IF(AND(Y113="Implementado",Z113&lt;&gt;"",OR(LEFT(AA113,2)="L4",LEFT(AA113,2)="L5"),AB113&lt;&gt;"",AC113&lt;&gt;"",AC113&lt;&gt;"N/A"),"CONFORME - Control Efectivo ISO 27001","OBSERVACIÓN - Revisar Controles")))</f>
        <v/>
      </c>
    </row>
    <row r="114">
      <c r="A114" s="99"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c r="AD114">
        <f>IF(AND(Y114="",Z114="",AA114="",AB114="",AC114=""),"",IF(OR(LEFT(AA114,2)="L0",LEFT(AA114,2)="L1",Y114="No Iniciado"),"CRÍTICO - Incumplimiento Normativo SEPS",IF(AND(Y114="Implementado",Z114&lt;&gt;"",OR(LEFT(AA114,2)="L4",LEFT(AA114,2)="L5"),AB114&lt;&gt;"",AC114&lt;&gt;"",AC114&lt;&gt;"N/A"),"CONFORME - Control Efectivo ISO 27001","OBSERVACIÓN - Revisar Controles")))</f>
        <v/>
      </c>
    </row>
    <row r="115">
      <c r="A115" s="99"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c r="AD115">
        <f>IF(AND(Y115="",Z115="",AA115="",AB115="",AC115=""),"",IF(OR(LEFT(AA115,2)="L0",LEFT(AA115,2)="L1",Y115="No Iniciado"),"CRÍTICO - Incumplimiento Normativo SEPS",IF(AND(Y115="Implementado",Z115&lt;&gt;"",OR(LEFT(AA115,2)="L4",LEFT(AA115,2)="L5"),AB115&lt;&gt;"",AC115&lt;&gt;"",AC115&lt;&gt;"N/A"),"CONFORME - Control Efectivo ISO 27001","OBSERVACIÓN - Revisar Controles")))</f>
        <v/>
      </c>
    </row>
    <row r="116">
      <c r="A116" s="99"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c r="AD116">
        <f>IF(AND(Y116="",Z116="",AA116="",AB116="",AC116=""),"",IF(OR(LEFT(AA116,2)="L0",LEFT(AA116,2)="L1",Y116="No Iniciado"),"CRÍTICO - Incumplimiento Normativo SEPS",IF(AND(Y116="Implementado",Z116&lt;&gt;"",OR(LEFT(AA116,2)="L4",LEFT(AA116,2)="L5"),AB116&lt;&gt;"",AC116&lt;&gt;"",AC116&lt;&gt;"N/A"),"CONFORME - Control Efectivo ISO 27001","OBSERVACIÓN - Revisar Controles")))</f>
        <v/>
      </c>
    </row>
    <row r="117">
      <c r="A117" s="99"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c r="AD117">
        <f>IF(AND(Y117="",Z117="",AA117="",AB117="",AC117=""),"",IF(OR(LEFT(AA117,2)="L0",LEFT(AA117,2)="L1",Y117="No Iniciado"),"CRÍTICO - Incumplimiento Normativo SEPS",IF(AND(Y117="Implementado",Z117&lt;&gt;"",OR(LEFT(AA117,2)="L4",LEFT(AA117,2)="L5"),AB117&lt;&gt;"",AC117&lt;&gt;"",AC117&lt;&gt;"N/A"),"CONFORME - Control Efectivo ISO 27001","OBSERVACIÓN - Revisar Controles")))</f>
        <v/>
      </c>
    </row>
    <row r="118">
      <c r="A118" s="99"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c r="AD118">
        <f>IF(AND(Y118="",Z118="",AA118="",AB118="",AC118=""),"",IF(OR(LEFT(AA118,2)="L0",LEFT(AA118,2)="L1",Y118="No Iniciado"),"CRÍTICO - Incumplimiento Normativo SEPS",IF(AND(Y118="Implementado",Z118&lt;&gt;"",OR(LEFT(AA118,2)="L4",LEFT(AA118,2)="L5"),AB118&lt;&gt;"",AC118&lt;&gt;"",AC118&lt;&gt;"N/A"),"CONFORME - Control Efectivo ISO 27001","OBSERVACIÓN - Revisar Controles")))</f>
        <v/>
      </c>
    </row>
    <row r="119">
      <c r="A119" s="99"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c r="AD119">
        <f>IF(AND(Y119="",Z119="",AA119="",AB119="",AC119=""),"",IF(OR(LEFT(AA119,2)="L0",LEFT(AA119,2)="L1",Y119="No Iniciado"),"CRÍTICO - Incumplimiento Normativo SEPS",IF(AND(Y119="Implementado",Z119&lt;&gt;"",OR(LEFT(AA119,2)="L4",LEFT(AA119,2)="L5"),AB119&lt;&gt;"",AC119&lt;&gt;"",AC119&lt;&gt;"N/A"),"CONFORME - Control Efectivo ISO 27001","OBSERVACIÓN - Revisar Controles")))</f>
        <v/>
      </c>
    </row>
    <row r="120">
      <c r="A120" s="99"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c r="AD120">
        <f>IF(AND(Y120="",Z120="",AA120="",AB120="",AC120=""),"",IF(OR(LEFT(AA120,2)="L0",LEFT(AA120,2)="L1",Y120="No Iniciado"),"CRÍTICO - Incumplimiento Normativo SEPS",IF(AND(Y120="Implementado",Z120&lt;&gt;"",OR(LEFT(AA120,2)="L4",LEFT(AA120,2)="L5"),AB120&lt;&gt;"",AC120&lt;&gt;"",AC120&lt;&gt;"N/A"),"CONFORME - Control Efectivo ISO 27001","OBSERVACIÓN - Revisar Controles")))</f>
        <v/>
      </c>
    </row>
    <row r="121">
      <c r="A121" s="99"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c r="AD121">
        <f>IF(AND(Y121="",Z121="",AA121="",AB121="",AC121=""),"",IF(OR(LEFT(AA121,2)="L0",LEFT(AA121,2)="L1",Y121="No Iniciado"),"CRÍTICO - Incumplimiento Normativo SEPS",IF(AND(Y121="Implementado",Z121&lt;&gt;"",OR(LEFT(AA121,2)="L4",LEFT(AA121,2)="L5"),AB121&lt;&gt;"",AC121&lt;&gt;"",AC121&lt;&gt;"N/A"),"CONFORME - Control Efectivo ISO 27001","OBSERVACIÓN - Revisar Controles")))</f>
        <v/>
      </c>
    </row>
    <row r="122">
      <c r="A122" s="99"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c r="AD122">
        <f>IF(AND(Y122="",Z122="",AA122="",AB122="",AC122=""),"",IF(OR(LEFT(AA122,2)="L0",LEFT(AA122,2)="L1",Y122="No Iniciado"),"CRÍTICO - Incumplimiento Normativo SEPS",IF(AND(Y122="Implementado",Z122&lt;&gt;"",OR(LEFT(AA122,2)="L4",LEFT(AA122,2)="L5"),AB122&lt;&gt;"",AC122&lt;&gt;"",AC122&lt;&gt;"N/A"),"CONFORME - Control Efectivo ISO 27001","OBSERVACIÓN - Revisar Controles")))</f>
        <v/>
      </c>
    </row>
    <row r="123">
      <c r="A123" s="99"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c r="AD123">
        <f>IF(AND(Y123="",Z123="",AA123="",AB123="",AC123=""),"",IF(OR(LEFT(AA123,2)="L0",LEFT(AA123,2)="L1",Y123="No Iniciado"),"CRÍTICO - Incumplimiento Normativo SEPS",IF(AND(Y123="Implementado",Z123&lt;&gt;"",OR(LEFT(AA123,2)="L4",LEFT(AA123,2)="L5"),AB123&lt;&gt;"",AC123&lt;&gt;"",AC123&lt;&gt;"N/A"),"CONFORME - Control Efectivo ISO 27001","OBSERVACIÓN - Revisar Controles")))</f>
        <v/>
      </c>
    </row>
    <row r="124">
      <c r="A124" s="99"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c r="AD124">
        <f>IF(AND(Y124="",Z124="",AA124="",AB124="",AC124=""),"",IF(OR(LEFT(AA124,2)="L0",LEFT(AA124,2)="L1",Y124="No Iniciado"),"CRÍTICO - Incumplimiento Normativo SEPS",IF(AND(Y124="Implementado",Z124&lt;&gt;"",OR(LEFT(AA124,2)="L4",LEFT(AA124,2)="L5"),AB124&lt;&gt;"",AC124&lt;&gt;"",AC124&lt;&gt;"N/A"),"CONFORME - Control Efectivo ISO 27001","OBSERVACIÓN - Revisar Controles")))</f>
        <v/>
      </c>
    </row>
    <row r="125">
      <c r="A125" s="99"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c r="AD125">
        <f>IF(AND(Y125="",Z125="",AA125="",AB125="",AC125=""),"",IF(OR(LEFT(AA125,2)="L0",LEFT(AA125,2)="L1",Y125="No Iniciado"),"CRÍTICO - Incumplimiento Normativo SEPS",IF(AND(Y125="Implementado",Z125&lt;&gt;"",OR(LEFT(AA125,2)="L4",LEFT(AA125,2)="L5"),AB125&lt;&gt;"",AC125&lt;&gt;"",AC125&lt;&gt;"N/A"),"CONFORME - Control Efectivo ISO 27001","OBSERVACIÓN - Revisar Controles")))</f>
        <v/>
      </c>
    </row>
    <row r="126">
      <c r="A126" s="99"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c r="AD126">
        <f>IF(AND(Y126="",Z126="",AA126="",AB126="",AC126=""),"",IF(OR(LEFT(AA126,2)="L0",LEFT(AA126,2)="L1",Y126="No Iniciado"),"CRÍTICO - Incumplimiento Normativo SEPS",IF(AND(Y126="Implementado",Z126&lt;&gt;"",OR(LEFT(AA126,2)="L4",LEFT(AA126,2)="L5"),AB126&lt;&gt;"",AC126&lt;&gt;"",AC126&lt;&gt;"N/A"),"CONFORME - Control Efectivo ISO 27001","OBSERVACIÓN - Revisar Controles")))</f>
        <v/>
      </c>
    </row>
    <row r="127">
      <c r="A127" s="99"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c r="AD127">
        <f>IF(AND(Y127="",Z127="",AA127="",AB127="",AC127=""),"",IF(OR(LEFT(AA127,2)="L0",LEFT(AA127,2)="L1",Y127="No Iniciado"),"CRÍTICO - Incumplimiento Normativo SEPS",IF(AND(Y127="Implementado",Z127&lt;&gt;"",OR(LEFT(AA127,2)="L4",LEFT(AA127,2)="L5"),AB127&lt;&gt;"",AC127&lt;&gt;"",AC127&lt;&gt;"N/A"),"CONFORME - Control Efectivo ISO 27001","OBSERVACIÓN - Revisar Controles")))</f>
        <v/>
      </c>
    </row>
    <row r="128">
      <c r="A128" s="99"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c r="AD128">
        <f>IF(AND(Y128="",Z128="",AA128="",AB128="",AC128=""),"",IF(OR(LEFT(AA128,2)="L0",LEFT(AA128,2)="L1",Y128="No Iniciado"),"CRÍTICO - Incumplimiento Normativo SEPS",IF(AND(Y128="Implementado",Z128&lt;&gt;"",OR(LEFT(AA128,2)="L4",LEFT(AA128,2)="L5"),AB128&lt;&gt;"",AC128&lt;&gt;"",AC128&lt;&gt;"N/A"),"CONFORME - Control Efectivo ISO 27001","OBSERVACIÓN - Revisar Controles")))</f>
        <v/>
      </c>
    </row>
    <row r="129">
      <c r="A129" s="99"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c r="AD129">
        <f>IF(AND(Y129="",Z129="",AA129="",AB129="",AC129=""),"",IF(OR(LEFT(AA129,2)="L0",LEFT(AA129,2)="L1",Y129="No Iniciado"),"CRÍTICO - Incumplimiento Normativo SEPS",IF(AND(Y129="Implementado",Z129&lt;&gt;"",OR(LEFT(AA129,2)="L4",LEFT(AA129,2)="L5"),AB129&lt;&gt;"",AC129&lt;&gt;"",AC129&lt;&gt;"N/A"),"CONFORME - Control Efectivo ISO 27001","OBSERVACIÓN - Revisar Controles")))</f>
        <v/>
      </c>
    </row>
    <row r="130">
      <c r="A130" s="99"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c r="AD130">
        <f>IF(AND(Y130="",Z130="",AA130="",AB130="",AC130=""),"",IF(OR(LEFT(AA130,2)="L0",LEFT(AA130,2)="L1",Y130="No Iniciado"),"CRÍTICO - Incumplimiento Normativo SEPS",IF(AND(Y130="Implementado",Z130&lt;&gt;"",OR(LEFT(AA130,2)="L4",LEFT(AA130,2)="L5"),AB130&lt;&gt;"",AC130&lt;&gt;"",AC130&lt;&gt;"N/A"),"CONFORME - Control Efectivo ISO 27001","OBSERVACIÓN - Revisar Controles")))</f>
        <v/>
      </c>
    </row>
    <row r="131">
      <c r="A131" s="99"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c r="AD131">
        <f>IF(AND(Y131="",Z131="",AA131="",AB131="",AC131=""),"",IF(OR(LEFT(AA131,2)="L0",LEFT(AA131,2)="L1",Y131="No Iniciado"),"CRÍTICO - Incumplimiento Normativo SEPS",IF(AND(Y131="Implementado",Z131&lt;&gt;"",OR(LEFT(AA131,2)="L4",LEFT(AA131,2)="L5"),AB131&lt;&gt;"",AC131&lt;&gt;"",AC131&lt;&gt;"N/A"),"CONFORME - Control Efectivo ISO 27001","OBSERVACIÓN - Revisar Controles")))</f>
        <v/>
      </c>
    </row>
    <row r="132">
      <c r="A132" s="99"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c r="AD132">
        <f>IF(AND(Y132="",Z132="",AA132="",AB132="",AC132=""),"",IF(OR(LEFT(AA132,2)="L0",LEFT(AA132,2)="L1",Y132="No Iniciado"),"CRÍTICO - Incumplimiento Normativo SEPS",IF(AND(Y132="Implementado",Z132&lt;&gt;"",OR(LEFT(AA132,2)="L4",LEFT(AA132,2)="L5"),AB132&lt;&gt;"",AC132&lt;&gt;"",AC132&lt;&gt;"N/A"),"CONFORME - Control Efectivo ISO 27001","OBSERVACIÓN - Revisar Controles")))</f>
        <v/>
      </c>
    </row>
    <row r="133">
      <c r="A133" s="99"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c r="AD133">
        <f>IF(AND(Y133="",Z133="",AA133="",AB133="",AC133=""),"",IF(OR(LEFT(AA133,2)="L0",LEFT(AA133,2)="L1",Y133="No Iniciado"),"CRÍTICO - Incumplimiento Normativo SEPS",IF(AND(Y133="Implementado",Z133&lt;&gt;"",OR(LEFT(AA133,2)="L4",LEFT(AA133,2)="L5"),AB133&lt;&gt;"",AC133&lt;&gt;"",AC133&lt;&gt;"N/A"),"CONFORME - Control Efectivo ISO 27001","OBSERVACIÓN - Revisar Controles")))</f>
        <v/>
      </c>
    </row>
    <row r="134">
      <c r="A134" s="99"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c r="AD134">
        <f>IF(AND(Y134="",Z134="",AA134="",AB134="",AC134=""),"",IF(OR(LEFT(AA134,2)="L0",LEFT(AA134,2)="L1",Y134="No Iniciado"),"CRÍTICO - Incumplimiento Normativo SEPS",IF(AND(Y134="Implementado",Z134&lt;&gt;"",OR(LEFT(AA134,2)="L4",LEFT(AA134,2)="L5"),AB134&lt;&gt;"",AC134&lt;&gt;"",AC134&lt;&gt;"N/A"),"CONFORME - Control Efectivo ISO 27001","OBSERVACIÓN - Revisar Controles")))</f>
        <v/>
      </c>
    </row>
    <row r="135">
      <c r="A135" s="99"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c r="AD135">
        <f>IF(AND(Y135="",Z135="",AA135="",AB135="",AC135=""),"",IF(OR(LEFT(AA135,2)="L0",LEFT(AA135,2)="L1",Y135="No Iniciado"),"CRÍTICO - Incumplimiento Normativo SEPS",IF(AND(Y135="Implementado",Z135&lt;&gt;"",OR(LEFT(AA135,2)="L4",LEFT(AA135,2)="L5"),AB135&lt;&gt;"",AC135&lt;&gt;"",AC135&lt;&gt;"N/A"),"CONFORME - Control Efectivo ISO 27001","OBSERVACIÓN - Revisar Controles")))</f>
        <v/>
      </c>
    </row>
    <row r="136">
      <c r="A136" s="99"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c r="AD136">
        <f>IF(AND(Y136="",Z136="",AA136="",AB136="",AC136=""),"",IF(OR(LEFT(AA136,2)="L0",LEFT(AA136,2)="L1",Y136="No Iniciado"),"CRÍTICO - Incumplimiento Normativo SEPS",IF(AND(Y136="Implementado",Z136&lt;&gt;"",OR(LEFT(AA136,2)="L4",LEFT(AA136,2)="L5"),AB136&lt;&gt;"",AC136&lt;&gt;"",AC136&lt;&gt;"N/A"),"CONFORME - Control Efectivo ISO 27001","OBSERVACIÓN - Revisar Controles")))</f>
        <v/>
      </c>
    </row>
    <row r="137">
      <c r="A137" s="99"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c r="AD137">
        <f>IF(AND(Y137="",Z137="",AA137="",AB137="",AC137=""),"",IF(OR(LEFT(AA137,2)="L0",LEFT(AA137,2)="L1",Y137="No Iniciado"),"CRÍTICO - Incumplimiento Normativo SEPS",IF(AND(Y137="Implementado",Z137&lt;&gt;"",OR(LEFT(AA137,2)="L4",LEFT(AA137,2)="L5"),AB137&lt;&gt;"",AC137&lt;&gt;"",AC137&lt;&gt;"N/A"),"CONFORME - Control Efectivo ISO 27001","OBSERVACIÓN - Revisar Controles")))</f>
        <v/>
      </c>
    </row>
    <row r="138">
      <c r="A138" s="99"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c r="AD138">
        <f>IF(AND(Y138="",Z138="",AA138="",AB138="",AC138=""),"",IF(OR(LEFT(AA138,2)="L0",LEFT(AA138,2)="L1",Y138="No Iniciado"),"CRÍTICO - Incumplimiento Normativo SEPS",IF(AND(Y138="Implementado",Z138&lt;&gt;"",OR(LEFT(AA138,2)="L4",LEFT(AA138,2)="L5"),AB138&lt;&gt;"",AC138&lt;&gt;"",AC138&lt;&gt;"N/A"),"CONFORME - Control Efectivo ISO 27001","OBSERVACIÓN - Revisar Controles")))</f>
        <v/>
      </c>
    </row>
    <row r="139">
      <c r="A139" s="99"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c r="AD139">
        <f>IF(AND(Y139="",Z139="",AA139="",AB139="",AC139=""),"",IF(OR(LEFT(AA139,2)="L0",LEFT(AA139,2)="L1",Y139="No Iniciado"),"CRÍTICO - Incumplimiento Normativo SEPS",IF(AND(Y139="Implementado",Z139&lt;&gt;"",OR(LEFT(AA139,2)="L4",LEFT(AA139,2)="L5"),AB139&lt;&gt;"",AC139&lt;&gt;"",AC139&lt;&gt;"N/A"),"CONFORME - Control Efectivo ISO 27001","OBSERVACIÓN - Revisar Controles")))</f>
        <v/>
      </c>
    </row>
    <row r="140">
      <c r="A140" s="99"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c r="AD140">
        <f>IF(AND(Y140="",Z140="",AA140="",AB140="",AC140=""),"",IF(OR(LEFT(AA140,2)="L0",LEFT(AA140,2)="L1",Y140="No Iniciado"),"CRÍTICO - Incumplimiento Normativo SEPS",IF(AND(Y140="Implementado",Z140&lt;&gt;"",OR(LEFT(AA140,2)="L4",LEFT(AA140,2)="L5"),AB140&lt;&gt;"",AC140&lt;&gt;"",AC140&lt;&gt;"N/A"),"CONFORME - Control Efectivo ISO 27001","OBSERVACIÓN - Revisar Controles")))</f>
        <v/>
      </c>
    </row>
    <row r="141">
      <c r="A141" s="99"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c r="AD141">
        <f>IF(AND(Y141="",Z141="",AA141="",AB141="",AC141=""),"",IF(OR(LEFT(AA141,2)="L0",LEFT(AA141,2)="L1",Y141="No Iniciado"),"CRÍTICO - Incumplimiento Normativo SEPS",IF(AND(Y141="Implementado",Z141&lt;&gt;"",OR(LEFT(AA141,2)="L4",LEFT(AA141,2)="L5"),AB141&lt;&gt;"",AC141&lt;&gt;"",AC141&lt;&gt;"N/A"),"CONFORME - Control Efectivo ISO 27001","OBSERVACIÓN - Revisar Controles")))</f>
        <v/>
      </c>
    </row>
    <row r="142">
      <c r="A142" s="99"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c r="AD142">
        <f>IF(AND(Y142="",Z142="",AA142="",AB142="",AC142=""),"",IF(OR(LEFT(AA142,2)="L0",LEFT(AA142,2)="L1",Y142="No Iniciado"),"CRÍTICO - Incumplimiento Normativo SEPS",IF(AND(Y142="Implementado",Z142&lt;&gt;"",OR(LEFT(AA142,2)="L4",LEFT(AA142,2)="L5"),AB142&lt;&gt;"",AC142&lt;&gt;"",AC142&lt;&gt;"N/A"),"CONFORME - Control Efectivo ISO 27001","OBSERVACIÓN - Revisar Controles")))</f>
        <v/>
      </c>
    </row>
    <row r="143">
      <c r="A143" s="99"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c r="AD143">
        <f>IF(AND(Y143="",Z143="",AA143="",AB143="",AC143=""),"",IF(OR(LEFT(AA143,2)="L0",LEFT(AA143,2)="L1",Y143="No Iniciado"),"CRÍTICO - Incumplimiento Normativo SEPS",IF(AND(Y143="Implementado",Z143&lt;&gt;"",OR(LEFT(AA143,2)="L4",LEFT(AA143,2)="L5"),AB143&lt;&gt;"",AC143&lt;&gt;"",AC143&lt;&gt;"N/A"),"CONFORME - Control Efectivo ISO 27001","OBSERVACIÓN - Revisar Controles")))</f>
        <v/>
      </c>
    </row>
    <row r="144">
      <c r="A144" s="99"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c r="AD144">
        <f>IF(AND(Y144="",Z144="",AA144="",AB144="",AC144=""),"",IF(OR(LEFT(AA144,2)="L0",LEFT(AA144,2)="L1",Y144="No Iniciado"),"CRÍTICO - Incumplimiento Normativo SEPS",IF(AND(Y144="Implementado",Z144&lt;&gt;"",OR(LEFT(AA144,2)="L4",LEFT(AA144,2)="L5"),AB144&lt;&gt;"",AC144&lt;&gt;"",AC144&lt;&gt;"N/A"),"CONFORME - Control Efectivo ISO 27001","OBSERVACIÓN - Revisar Controles")))</f>
        <v/>
      </c>
    </row>
    <row r="145">
      <c r="A145" s="99"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c r="AD145">
        <f>IF(AND(Y145="",Z145="",AA145="",AB145="",AC145=""),"",IF(OR(LEFT(AA145,2)="L0",LEFT(AA145,2)="L1",Y145="No Iniciado"),"CRÍTICO - Incumplimiento Normativo SEPS",IF(AND(Y145="Implementado",Z145&lt;&gt;"",OR(LEFT(AA145,2)="L4",LEFT(AA145,2)="L5"),AB145&lt;&gt;"",AC145&lt;&gt;"",AC145&lt;&gt;"N/A"),"CONFORME - Control Efectivo ISO 27001","OBSERVACIÓN - Revisar Controles")))</f>
        <v/>
      </c>
    </row>
    <row r="146">
      <c r="A146" s="99"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c r="AD146">
        <f>IF(AND(Y146="",Z146="",AA146="",AB146="",AC146=""),"",IF(OR(LEFT(AA146,2)="L0",LEFT(AA146,2)="L1",Y146="No Iniciado"),"CRÍTICO - Incumplimiento Normativo SEPS",IF(AND(Y146="Implementado",Z146&lt;&gt;"",OR(LEFT(AA146,2)="L4",LEFT(AA146,2)="L5"),AB146&lt;&gt;"",AC146&lt;&gt;"",AC146&lt;&gt;"N/A"),"CONFORME - Control Efectivo ISO 27001","OBSERVACIÓN - Revisar Controles")))</f>
        <v/>
      </c>
    </row>
    <row r="147">
      <c r="A147" s="99"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c r="AD147">
        <f>IF(AND(Y147="",Z147="",AA147="",AB147="",AC147=""),"",IF(OR(LEFT(AA147,2)="L0",LEFT(AA147,2)="L1",Y147="No Iniciado"),"CRÍTICO - Incumplimiento Normativo SEPS",IF(AND(Y147="Implementado",Z147&lt;&gt;"",OR(LEFT(AA147,2)="L4",LEFT(AA147,2)="L5"),AB147&lt;&gt;"",AC147&lt;&gt;"",AC147&lt;&gt;"N/A"),"CONFORME - Control Efectivo ISO 27001","OBSERVACIÓN - Revisar Controles")))</f>
        <v/>
      </c>
    </row>
    <row r="148">
      <c r="A148" s="99"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c r="AD148">
        <f>IF(AND(Y148="",Z148="",AA148="",AB148="",AC148=""),"",IF(OR(LEFT(AA148,2)="L0",LEFT(AA148,2)="L1",Y148="No Iniciado"),"CRÍTICO - Incumplimiento Normativo SEPS",IF(AND(Y148="Implementado",Z148&lt;&gt;"",OR(LEFT(AA148,2)="L4",LEFT(AA148,2)="L5"),AB148&lt;&gt;"",AC148&lt;&gt;"",AC148&lt;&gt;"N/A"),"CONFORME - Control Efectivo ISO 27001","OBSERVACIÓN - Revisar Controles")))</f>
        <v/>
      </c>
    </row>
    <row r="149">
      <c r="A149" s="99"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c r="AD149">
        <f>IF(AND(Y149="",Z149="",AA149="",AB149="",AC149=""),"",IF(OR(LEFT(AA149,2)="L0",LEFT(AA149,2)="L1",Y149="No Iniciado"),"CRÍTICO - Incumplimiento Normativo SEPS",IF(AND(Y149="Implementado",Z149&lt;&gt;"",OR(LEFT(AA149,2)="L4",LEFT(AA149,2)="L5"),AB149&lt;&gt;"",AC149&lt;&gt;"",AC149&lt;&gt;"N/A"),"CONFORME - Control Efectivo ISO 27001","OBSERVACIÓN - Revisar Controles")))</f>
        <v/>
      </c>
    </row>
    <row r="150">
      <c r="A150" s="99"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c r="AD150">
        <f>IF(AND(Y150="",Z150="",AA150="",AB150="",AC150=""),"",IF(OR(LEFT(AA150,2)="L0",LEFT(AA150,2)="L1",Y150="No Iniciado"),"CRÍTICO - Incumplimiento Normativo SEPS",IF(AND(Y150="Implementado",Z150&lt;&gt;"",OR(LEFT(AA150,2)="L4",LEFT(AA150,2)="L5"),AB150&lt;&gt;"",AC150&lt;&gt;"",AC150&lt;&gt;"N/A"),"CONFORME - Control Efectivo ISO 27001","OBSERVACIÓN - Revisar Controles")))</f>
        <v/>
      </c>
    </row>
    <row r="151">
      <c r="A151" s="99"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c r="AD151">
        <f>IF(AND(Y151="",Z151="",AA151="",AB151="",AC151=""),"",IF(OR(LEFT(AA151,2)="L0",LEFT(AA151,2)="L1",Y151="No Iniciado"),"CRÍTICO - Incumplimiento Normativo SEPS",IF(AND(Y151="Implementado",Z151&lt;&gt;"",OR(LEFT(AA151,2)="L4",LEFT(AA151,2)="L5"),AB151&lt;&gt;"",AC151&lt;&gt;"",AC151&lt;&gt;"N/A"),"CONFORME - Control Efectivo ISO 27001","OBSERVACIÓN - Revisar Controles")))</f>
        <v/>
      </c>
    </row>
    <row r="152">
      <c r="A152" s="99"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c r="AD152">
        <f>IF(AND(Y152="",Z152="",AA152="",AB152="",AC152=""),"",IF(OR(LEFT(AA152,2)="L0",LEFT(AA152,2)="L1",Y152="No Iniciado"),"CRÍTICO - Incumplimiento Normativo SEPS",IF(AND(Y152="Implementado",Z152&lt;&gt;"",OR(LEFT(AA152,2)="L4",LEFT(AA152,2)="L5"),AB152&lt;&gt;"",AC152&lt;&gt;"",AC152&lt;&gt;"N/A"),"CONFORME - Control Efectivo ISO 27001","OBSERVACIÓN - Revisar Controles")))</f>
        <v/>
      </c>
    </row>
    <row r="153">
      <c r="A153" s="99"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c r="AD153">
        <f>IF(AND(Y153="",Z153="",AA153="",AB153="",AC153=""),"",IF(OR(LEFT(AA153,2)="L0",LEFT(AA153,2)="L1",Y153="No Iniciado"),"CRÍTICO - Incumplimiento Normativo SEPS",IF(AND(Y153="Implementado",Z153&lt;&gt;"",OR(LEFT(AA153,2)="L4",LEFT(AA153,2)="L5"),AB153&lt;&gt;"",AC153&lt;&gt;"",AC153&lt;&gt;"N/A"),"CONFORME - Control Efectivo ISO 27001","OBSERVACIÓN - Revisar Controles")))</f>
        <v/>
      </c>
    </row>
    <row r="154">
      <c r="A154" s="99"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c r="AD154">
        <f>IF(AND(Y154="",Z154="",AA154="",AB154="",AC154=""),"",IF(OR(LEFT(AA154,2)="L0",LEFT(AA154,2)="L1",Y154="No Iniciado"),"CRÍTICO - Incumplimiento Normativo SEPS",IF(AND(Y154="Implementado",Z154&lt;&gt;"",OR(LEFT(AA154,2)="L4",LEFT(AA154,2)="L5"),AB154&lt;&gt;"",AC154&lt;&gt;"",AC154&lt;&gt;"N/A"),"CONFORME - Control Efectivo ISO 27001","OBSERVACIÓN - Revisar Controles")))</f>
        <v/>
      </c>
    </row>
    <row r="155">
      <c r="A155" s="99"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c r="AD155">
        <f>IF(AND(Y155="",Z155="",AA155="",AB155="",AC155=""),"",IF(OR(LEFT(AA155,2)="L0",LEFT(AA155,2)="L1",Y155="No Iniciado"),"CRÍTICO - Incumplimiento Normativo SEPS",IF(AND(Y155="Implementado",Z155&lt;&gt;"",OR(LEFT(AA155,2)="L4",LEFT(AA155,2)="L5"),AB155&lt;&gt;"",AC155&lt;&gt;"",AC155&lt;&gt;"N/A"),"CONFORME - Control Efectivo ISO 27001","OBSERVACIÓN - Revisar Controles")))</f>
        <v/>
      </c>
    </row>
    <row r="156">
      <c r="A156" s="99"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c r="AD156">
        <f>IF(AND(Y156="",Z156="",AA156="",AB156="",AC156=""),"",IF(OR(LEFT(AA156,2)="L0",LEFT(AA156,2)="L1",Y156="No Iniciado"),"CRÍTICO - Incumplimiento Normativo SEPS",IF(AND(Y156="Implementado",Z156&lt;&gt;"",OR(LEFT(AA156,2)="L4",LEFT(AA156,2)="L5"),AB156&lt;&gt;"",AC156&lt;&gt;"",AC156&lt;&gt;"N/A"),"CONFORME - Control Efectivo ISO 27001","OBSERVACIÓN - Revisar Controles")))</f>
        <v/>
      </c>
    </row>
    <row r="157">
      <c r="A157" s="99"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c r="AD157">
        <f>IF(AND(Y157="",Z157="",AA157="",AB157="",AC157=""),"",IF(OR(LEFT(AA157,2)="L0",LEFT(AA157,2)="L1",Y157="No Iniciado"),"CRÍTICO - Incumplimiento Normativo SEPS",IF(AND(Y157="Implementado",Z157&lt;&gt;"",OR(LEFT(AA157,2)="L4",LEFT(AA157,2)="L5"),AB157&lt;&gt;"",AC157&lt;&gt;"",AC157&lt;&gt;"N/A"),"CONFORME - Control Efectivo ISO 27001","OBSERVACIÓN - Revisar Controles")))</f>
        <v/>
      </c>
    </row>
    <row r="158">
      <c r="A158" s="99"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c r="AD158">
        <f>IF(AND(Y158="",Z158="",AA158="",AB158="",AC158=""),"",IF(OR(LEFT(AA158,2)="L0",LEFT(AA158,2)="L1",Y158="No Iniciado"),"CRÍTICO - Incumplimiento Normativo SEPS",IF(AND(Y158="Implementado",Z158&lt;&gt;"",OR(LEFT(AA158,2)="L4",LEFT(AA158,2)="L5"),AB158&lt;&gt;"",AC158&lt;&gt;"",AC158&lt;&gt;"N/A"),"CONFORME - Control Efectivo ISO 27001","OBSERVACIÓN - Revisar Controles")))</f>
        <v/>
      </c>
    </row>
    <row r="159">
      <c r="A159" s="99"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c r="AD159">
        <f>IF(AND(Y159="",Z159="",AA159="",AB159="",AC159=""),"",IF(OR(LEFT(AA159,2)="L0",LEFT(AA159,2)="L1",Y159="No Iniciado"),"CRÍTICO - Incumplimiento Normativo SEPS",IF(AND(Y159="Implementado",Z159&lt;&gt;"",OR(LEFT(AA159,2)="L4",LEFT(AA159,2)="L5"),AB159&lt;&gt;"",AC159&lt;&gt;"",AC159&lt;&gt;"N/A"),"CONFORME - Control Efectivo ISO 27001","OBSERVACIÓN - Revisar Controles")))</f>
        <v/>
      </c>
    </row>
    <row r="160">
      <c r="A160" s="99"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c r="AD160">
        <f>IF(AND(Y160="",Z160="",AA160="",AB160="",AC160=""),"",IF(OR(LEFT(AA160,2)="L0",LEFT(AA160,2)="L1",Y160="No Iniciado"),"CRÍTICO - Incumplimiento Normativo SEPS",IF(AND(Y160="Implementado",Z160&lt;&gt;"",OR(LEFT(AA160,2)="L4",LEFT(AA160,2)="L5"),AB160&lt;&gt;"",AC160&lt;&gt;"",AC160&lt;&gt;"N/A"),"CONFORME - Control Efectivo ISO 27001","OBSERVACIÓN - Revisar Controles")))</f>
        <v/>
      </c>
    </row>
    <row r="161">
      <c r="A161" s="99"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c r="AD161">
        <f>IF(AND(Y161="",Z161="",AA161="",AB161="",AC161=""),"",IF(OR(LEFT(AA161,2)="L0",LEFT(AA161,2)="L1",Y161="No Iniciado"),"CRÍTICO - Incumplimiento Normativo SEPS",IF(AND(Y161="Implementado",Z161&lt;&gt;"",OR(LEFT(AA161,2)="L4",LEFT(AA161,2)="L5"),AB161&lt;&gt;"",AC161&lt;&gt;"",AC161&lt;&gt;"N/A"),"CONFORME - Control Efectivo ISO 27001","OBSERVACIÓN - Revisar Controles")))</f>
        <v/>
      </c>
    </row>
    <row r="162">
      <c r="A162" s="99"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c r="AD162">
        <f>IF(AND(Y162="",Z162="",AA162="",AB162="",AC162=""),"",IF(OR(LEFT(AA162,2)="L0",LEFT(AA162,2)="L1",Y162="No Iniciado"),"CRÍTICO - Incumplimiento Normativo SEPS",IF(AND(Y162="Implementado",Z162&lt;&gt;"",OR(LEFT(AA162,2)="L4",LEFT(AA162,2)="L5"),AB162&lt;&gt;"",AC162&lt;&gt;"",AC162&lt;&gt;"N/A"),"CONFORME - Control Efectivo ISO 27001","OBSERVACIÓN - Revisar Controles")))</f>
        <v/>
      </c>
    </row>
    <row r="163">
      <c r="A163" s="99"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c r="AD163">
        <f>IF(AND(Y163="",Z163="",AA163="",AB163="",AC163=""),"",IF(OR(LEFT(AA163,2)="L0",LEFT(AA163,2)="L1",Y163="No Iniciado"),"CRÍTICO - Incumplimiento Normativo SEPS",IF(AND(Y163="Implementado",Z163&lt;&gt;"",OR(LEFT(AA163,2)="L4",LEFT(AA163,2)="L5"),AB163&lt;&gt;"",AC163&lt;&gt;"",AC163&lt;&gt;"N/A"),"CONFORME - Control Efectivo ISO 27001","OBSERVACIÓN - Revisar Controles")))</f>
        <v/>
      </c>
    </row>
    <row r="164">
      <c r="A164" s="99"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c r="AD164">
        <f>IF(AND(Y164="",Z164="",AA164="",AB164="",AC164=""),"",IF(OR(LEFT(AA164,2)="L0",LEFT(AA164,2)="L1",Y164="No Iniciado"),"CRÍTICO - Incumplimiento Normativo SEPS",IF(AND(Y164="Implementado",Z164&lt;&gt;"",OR(LEFT(AA164,2)="L4",LEFT(AA164,2)="L5"),AB164&lt;&gt;"",AC164&lt;&gt;"",AC164&lt;&gt;"N/A"),"CONFORME - Control Efectivo ISO 27001","OBSERVACIÓN - Revisar Controles")))</f>
        <v/>
      </c>
    </row>
    <row r="165">
      <c r="A165" s="99"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c r="AD165">
        <f>IF(AND(Y165="",Z165="",AA165="",AB165="",AC165=""),"",IF(OR(LEFT(AA165,2)="L0",LEFT(AA165,2)="L1",Y165="No Iniciado"),"CRÍTICO - Incumplimiento Normativo SEPS",IF(AND(Y165="Implementado",Z165&lt;&gt;"",OR(LEFT(AA165,2)="L4",LEFT(AA165,2)="L5"),AB165&lt;&gt;"",AC165&lt;&gt;"",AC165&lt;&gt;"N/A"),"CONFORME - Control Efectivo ISO 27001","OBSERVACIÓN - Revisar Controles")))</f>
        <v/>
      </c>
    </row>
    <row r="166">
      <c r="A166" s="99"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c r="AD166">
        <f>IF(AND(Y166="",Z166="",AA166="",AB166="",AC166=""),"",IF(OR(LEFT(AA166,2)="L0",LEFT(AA166,2)="L1",Y166="No Iniciado"),"CRÍTICO - Incumplimiento Normativo SEPS",IF(AND(Y166="Implementado",Z166&lt;&gt;"",OR(LEFT(AA166,2)="L4",LEFT(AA166,2)="L5"),AB166&lt;&gt;"",AC166&lt;&gt;"",AC166&lt;&gt;"N/A"),"CONFORME - Control Efectivo ISO 27001","OBSERVACIÓN - Revisar Controles")))</f>
        <v/>
      </c>
    </row>
    <row r="167">
      <c r="A167" s="99"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c r="AD167">
        <f>IF(AND(Y167="",Z167="",AA167="",AB167="",AC167=""),"",IF(OR(LEFT(AA167,2)="L0",LEFT(AA167,2)="L1",Y167="No Iniciado"),"CRÍTICO - Incumplimiento Normativo SEPS",IF(AND(Y167="Implementado",Z167&lt;&gt;"",OR(LEFT(AA167,2)="L4",LEFT(AA167,2)="L5"),AB167&lt;&gt;"",AC167&lt;&gt;"",AC167&lt;&gt;"N/A"),"CONFORME - Control Efectivo ISO 27001","OBSERVACIÓN - Revisar Controles")))</f>
        <v/>
      </c>
    </row>
    <row r="168">
      <c r="A168" s="99"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c r="AD168">
        <f>IF(AND(Y168="",Z168="",AA168="",AB168="",AC168=""),"",IF(OR(LEFT(AA168,2)="L0",LEFT(AA168,2)="L1",Y168="No Iniciado"),"CRÍTICO - Incumplimiento Normativo SEPS",IF(AND(Y168="Implementado",Z168&lt;&gt;"",OR(LEFT(AA168,2)="L4",LEFT(AA168,2)="L5"),AB168&lt;&gt;"",AC168&lt;&gt;"",AC168&lt;&gt;"N/A"),"CONFORME - Control Efectivo ISO 27001","OBSERVACIÓN - Revisar Controles")))</f>
        <v/>
      </c>
    </row>
    <row r="169">
      <c r="A169" s="99"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c r="AD169">
        <f>IF(AND(Y169="",Z169="",AA169="",AB169="",AC169=""),"",IF(OR(LEFT(AA169,2)="L0",LEFT(AA169,2)="L1",Y169="No Iniciado"),"CRÍTICO - Incumplimiento Normativo SEPS",IF(AND(Y169="Implementado",Z169&lt;&gt;"",OR(LEFT(AA169,2)="L4",LEFT(AA169,2)="L5"),AB169&lt;&gt;"",AC169&lt;&gt;"",AC169&lt;&gt;"N/A"),"CONFORME - Control Efectivo ISO 27001","OBSERVACIÓN - Revisar Controles")))</f>
        <v/>
      </c>
    </row>
    <row r="170">
      <c r="A170" s="99"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c r="AD170">
        <f>IF(AND(Y170="",Z170="",AA170="",AB170="",AC170=""),"",IF(OR(LEFT(AA170,2)="L0",LEFT(AA170,2)="L1",Y170="No Iniciado"),"CRÍTICO - Incumplimiento Normativo SEPS",IF(AND(Y170="Implementado",Z170&lt;&gt;"",OR(LEFT(AA170,2)="L4",LEFT(AA170,2)="L5"),AB170&lt;&gt;"",AC170&lt;&gt;"",AC170&lt;&gt;"N/A"),"CONFORME - Control Efectivo ISO 27001","OBSERVACIÓN - Revisar Controles")))</f>
        <v/>
      </c>
    </row>
    <row r="171">
      <c r="A171" s="99"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c r="AD171">
        <f>IF(AND(Y171="",Z171="",AA171="",AB171="",AC171=""),"",IF(OR(LEFT(AA171,2)="L0",LEFT(AA171,2)="L1",Y171="No Iniciado"),"CRÍTICO - Incumplimiento Normativo SEPS",IF(AND(Y171="Implementado",Z171&lt;&gt;"",OR(LEFT(AA171,2)="L4",LEFT(AA171,2)="L5"),AB171&lt;&gt;"",AC171&lt;&gt;"",AC171&lt;&gt;"N/A"),"CONFORME - Control Efectivo ISO 27001","OBSERVACIÓN - Revisar Controles")))</f>
        <v/>
      </c>
    </row>
    <row r="172">
      <c r="A172" s="99"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c r="AD172">
        <f>IF(AND(Y172="",Z172="",AA172="",AB172="",AC172=""),"",IF(OR(LEFT(AA172,2)="L0",LEFT(AA172,2)="L1",Y172="No Iniciado"),"CRÍTICO - Incumplimiento Normativo SEPS",IF(AND(Y172="Implementado",Z172&lt;&gt;"",OR(LEFT(AA172,2)="L4",LEFT(AA172,2)="L5"),AB172&lt;&gt;"",AC172&lt;&gt;"",AC172&lt;&gt;"N/A"),"CONFORME - Control Efectivo ISO 27001","OBSERVACIÓN - Revisar Controles")))</f>
        <v/>
      </c>
    </row>
    <row r="173">
      <c r="A173" s="99"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c r="AD173">
        <f>IF(AND(Y173="",Z173="",AA173="",AB173="",AC173=""),"",IF(OR(LEFT(AA173,2)="L0",LEFT(AA173,2)="L1",Y173="No Iniciado"),"CRÍTICO - Incumplimiento Normativo SEPS",IF(AND(Y173="Implementado",Z173&lt;&gt;"",OR(LEFT(AA173,2)="L4",LEFT(AA173,2)="L5"),AB173&lt;&gt;"",AC173&lt;&gt;"",AC173&lt;&gt;"N/A"),"CONFORME - Control Efectivo ISO 27001","OBSERVACIÓN - Revisar Controles")))</f>
        <v/>
      </c>
    </row>
    <row r="174">
      <c r="A174" s="99"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c r="AD174">
        <f>IF(AND(Y174="",Z174="",AA174="",AB174="",AC174=""),"",IF(OR(LEFT(AA174,2)="L0",LEFT(AA174,2)="L1",Y174="No Iniciado"),"CRÍTICO - Incumplimiento Normativo SEPS",IF(AND(Y174="Implementado",Z174&lt;&gt;"",OR(LEFT(AA174,2)="L4",LEFT(AA174,2)="L5"),AB174&lt;&gt;"",AC174&lt;&gt;"",AC174&lt;&gt;"N/A"),"CONFORME - Control Efectivo ISO 27001","OBSERVACIÓN - Revisar Controles")))</f>
        <v/>
      </c>
    </row>
    <row r="175">
      <c r="A175" s="99"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c r="AD175">
        <f>IF(AND(Y175="",Z175="",AA175="",AB175="",AC175=""),"",IF(OR(LEFT(AA175,2)="L0",LEFT(AA175,2)="L1",Y175="No Iniciado"),"CRÍTICO - Incumplimiento Normativo SEPS",IF(AND(Y175="Implementado",Z175&lt;&gt;"",OR(LEFT(AA175,2)="L4",LEFT(AA175,2)="L5"),AB175&lt;&gt;"",AC175&lt;&gt;"",AC175&lt;&gt;"N/A"),"CONFORME - Control Efectivo ISO 27001","OBSERVACIÓN - Revisar Controles")))</f>
        <v/>
      </c>
    </row>
    <row r="176">
      <c r="A176" s="99"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c r="AD176">
        <f>IF(AND(Y176="",Z176="",AA176="",AB176="",AC176=""),"",IF(OR(LEFT(AA176,2)="L0",LEFT(AA176,2)="L1",Y176="No Iniciado"),"CRÍTICO - Incumplimiento Normativo SEPS",IF(AND(Y176="Implementado",Z176&lt;&gt;"",OR(LEFT(AA176,2)="L4",LEFT(AA176,2)="L5"),AB176&lt;&gt;"",AC176&lt;&gt;"",AC176&lt;&gt;"N/A"),"CONFORME - Control Efectivo ISO 27001","OBSERVACIÓN - Revisar Controles")))</f>
        <v/>
      </c>
    </row>
    <row r="177">
      <c r="A177" s="99"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c r="AD177">
        <f>IF(AND(Y177="",Z177="",AA177="",AB177="",AC177=""),"",IF(OR(LEFT(AA177,2)="L0",LEFT(AA177,2)="L1",Y177="No Iniciado"),"CRÍTICO - Incumplimiento Normativo SEPS",IF(AND(Y177="Implementado",Z177&lt;&gt;"",OR(LEFT(AA177,2)="L4",LEFT(AA177,2)="L5"),AB177&lt;&gt;"",AC177&lt;&gt;"",AC177&lt;&gt;"N/A"),"CONFORME - Control Efectivo ISO 27001","OBSERVACIÓN - Revisar Controles")))</f>
        <v/>
      </c>
    </row>
    <row r="178">
      <c r="A178" s="99"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c r="AD178">
        <f>IF(AND(Y178="",Z178="",AA178="",AB178="",AC178=""),"",IF(OR(LEFT(AA178,2)="L0",LEFT(AA178,2)="L1",Y178="No Iniciado"),"CRÍTICO - Incumplimiento Normativo SEPS",IF(AND(Y178="Implementado",Z178&lt;&gt;"",OR(LEFT(AA178,2)="L4",LEFT(AA178,2)="L5"),AB178&lt;&gt;"",AC178&lt;&gt;"",AC178&lt;&gt;"N/A"),"CONFORME - Control Efectivo ISO 27001","OBSERVACIÓN - Revisar Controles")))</f>
        <v/>
      </c>
    </row>
    <row r="179">
      <c r="A179" s="99"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c r="AD179">
        <f>IF(AND(Y179="",Z179="",AA179="",AB179="",AC179=""),"",IF(OR(LEFT(AA179,2)="L0",LEFT(AA179,2)="L1",Y179="No Iniciado"),"CRÍTICO - Incumplimiento Normativo SEPS",IF(AND(Y179="Implementado",Z179&lt;&gt;"",OR(LEFT(AA179,2)="L4",LEFT(AA179,2)="L5"),AB179&lt;&gt;"",AC179&lt;&gt;"",AC179&lt;&gt;"N/A"),"CONFORME - Control Efectivo ISO 27001","OBSERVACIÓN - Revisar Controles")))</f>
        <v/>
      </c>
    </row>
    <row r="180">
      <c r="A180" s="99"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c r="AD180">
        <f>IF(AND(Y180="",Z180="",AA180="",AB180="",AC180=""),"",IF(OR(LEFT(AA180,2)="L0",LEFT(AA180,2)="L1",Y180="No Iniciado"),"CRÍTICO - Incumplimiento Normativo SEPS",IF(AND(Y180="Implementado",Z180&lt;&gt;"",OR(LEFT(AA180,2)="L4",LEFT(AA180,2)="L5"),AB180&lt;&gt;"",AC180&lt;&gt;"",AC180&lt;&gt;"N/A"),"CONFORME - Control Efectivo ISO 27001","OBSERVACIÓN - Revisar Controles")))</f>
        <v/>
      </c>
    </row>
    <row r="181">
      <c r="A181" s="99"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c r="AD181">
        <f>IF(AND(Y181="",Z181="",AA181="",AB181="",AC181=""),"",IF(OR(LEFT(AA181,2)="L0",LEFT(AA181,2)="L1",Y181="No Iniciado"),"CRÍTICO - Incumplimiento Normativo SEPS",IF(AND(Y181="Implementado",Z181&lt;&gt;"",OR(LEFT(AA181,2)="L4",LEFT(AA181,2)="L5"),AB181&lt;&gt;"",AC181&lt;&gt;"",AC181&lt;&gt;"N/A"),"CONFORME - Control Efectivo ISO 27001","OBSERVACIÓN - Revisar Controles")))</f>
        <v/>
      </c>
    </row>
    <row r="182">
      <c r="A182" s="99"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c r="AD182">
        <f>IF(AND(Y182="",Z182="",AA182="",AB182="",AC182=""),"",IF(OR(LEFT(AA182,2)="L0",LEFT(AA182,2)="L1",Y182="No Iniciado"),"CRÍTICO - Incumplimiento Normativo SEPS",IF(AND(Y182="Implementado",Z182&lt;&gt;"",OR(LEFT(AA182,2)="L4",LEFT(AA182,2)="L5"),AB182&lt;&gt;"",AC182&lt;&gt;"",AC182&lt;&gt;"N/A"),"CONFORME - Control Efectivo ISO 27001","OBSERVACIÓN - Revisar Controles")))</f>
        <v/>
      </c>
    </row>
    <row r="183">
      <c r="A183" s="99"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c r="AD183">
        <f>IF(AND(Y183="",Z183="",AA183="",AB183="",AC183=""),"",IF(OR(LEFT(AA183,2)="L0",LEFT(AA183,2)="L1",Y183="No Iniciado"),"CRÍTICO - Incumplimiento Normativo SEPS",IF(AND(Y183="Implementado",Z183&lt;&gt;"",OR(LEFT(AA183,2)="L4",LEFT(AA183,2)="L5"),AB183&lt;&gt;"",AC183&lt;&gt;"",AC183&lt;&gt;"N/A"),"CONFORME - Control Efectivo ISO 27001","OBSERVACIÓN - Revisar Controles")))</f>
        <v/>
      </c>
    </row>
    <row r="184">
      <c r="A184" s="99"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c r="AD184">
        <f>IF(AND(Y184="",Z184="",AA184="",AB184="",AC184=""),"",IF(OR(LEFT(AA184,2)="L0",LEFT(AA184,2)="L1",Y184="No Iniciado"),"CRÍTICO - Incumplimiento Normativo SEPS",IF(AND(Y184="Implementado",Z184&lt;&gt;"",OR(LEFT(AA184,2)="L4",LEFT(AA184,2)="L5"),AB184&lt;&gt;"",AC184&lt;&gt;"",AC184&lt;&gt;"N/A"),"CONFORME - Control Efectivo ISO 27001","OBSERVACIÓN - Revisar Controles")))</f>
        <v/>
      </c>
    </row>
    <row r="185">
      <c r="A185" s="99"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c r="AD185">
        <f>IF(AND(Y185="",Z185="",AA185="",AB185="",AC185=""),"",IF(OR(LEFT(AA185,2)="L0",LEFT(AA185,2)="L1",Y185="No Iniciado"),"CRÍTICO - Incumplimiento Normativo SEPS",IF(AND(Y185="Implementado",Z185&lt;&gt;"",OR(LEFT(AA185,2)="L4",LEFT(AA185,2)="L5"),AB185&lt;&gt;"",AC185&lt;&gt;"",AC185&lt;&gt;"N/A"),"CONFORME - Control Efectivo ISO 27001","OBSERVACIÓN - Revisar Controles")))</f>
        <v/>
      </c>
    </row>
    <row r="186">
      <c r="A186" s="99"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c r="AD186">
        <f>IF(AND(Y186="",Z186="",AA186="",AB186="",AC186=""),"",IF(OR(LEFT(AA186,2)="L0",LEFT(AA186,2)="L1",Y186="No Iniciado"),"CRÍTICO - Incumplimiento Normativo SEPS",IF(AND(Y186="Implementado",Z186&lt;&gt;"",OR(LEFT(AA186,2)="L4",LEFT(AA186,2)="L5"),AB186&lt;&gt;"",AC186&lt;&gt;"",AC186&lt;&gt;"N/A"),"CONFORME - Control Efectivo ISO 27001","OBSERVACIÓN - Revisar Controles")))</f>
        <v/>
      </c>
    </row>
    <row r="187">
      <c r="A187" s="99"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c r="AD187">
        <f>IF(AND(Y187="",Z187="",AA187="",AB187="",AC187=""),"",IF(OR(LEFT(AA187,2)="L0",LEFT(AA187,2)="L1",Y187="No Iniciado"),"CRÍTICO - Incumplimiento Normativo SEPS",IF(AND(Y187="Implementado",Z187&lt;&gt;"",OR(LEFT(AA187,2)="L4",LEFT(AA187,2)="L5"),AB187&lt;&gt;"",AC187&lt;&gt;"",AC187&lt;&gt;"N/A"),"CONFORME - Control Efectivo ISO 27001","OBSERVACIÓN - Revisar Controles")))</f>
        <v/>
      </c>
    </row>
    <row r="188">
      <c r="A188" s="99"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c r="AD188">
        <f>IF(AND(Y188="",Z188="",AA188="",AB188="",AC188=""),"",IF(OR(LEFT(AA188,2)="L0",LEFT(AA188,2)="L1",Y188="No Iniciado"),"CRÍTICO - Incumplimiento Normativo SEPS",IF(AND(Y188="Implementado",Z188&lt;&gt;"",OR(LEFT(AA188,2)="L4",LEFT(AA188,2)="L5"),AB188&lt;&gt;"",AC188&lt;&gt;"",AC188&lt;&gt;"N/A"),"CONFORME - Control Efectivo ISO 27001","OBSERVACIÓN - Revisar Controles")))</f>
        <v/>
      </c>
    </row>
    <row r="189">
      <c r="A189" s="99"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c r="AD189">
        <f>IF(AND(Y189="",Z189="",AA189="",AB189="",AC189=""),"",IF(OR(LEFT(AA189,2)="L0",LEFT(AA189,2)="L1",Y189="No Iniciado"),"CRÍTICO - Incumplimiento Normativo SEPS",IF(AND(Y189="Implementado",Z189&lt;&gt;"",OR(LEFT(AA189,2)="L4",LEFT(AA189,2)="L5"),AB189&lt;&gt;"",AC189&lt;&gt;"",AC189&lt;&gt;"N/A"),"CONFORME - Control Efectivo ISO 27001","OBSERVACIÓN - Revisar Controles")))</f>
        <v/>
      </c>
    </row>
    <row r="190">
      <c r="A190" s="99"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c r="AD190">
        <f>IF(AND(Y190="",Z190="",AA190="",AB190="",AC190=""),"",IF(OR(LEFT(AA190,2)="L0",LEFT(AA190,2)="L1",Y190="No Iniciado"),"CRÍTICO - Incumplimiento Normativo SEPS",IF(AND(Y190="Implementado",Z190&lt;&gt;"",OR(LEFT(AA190,2)="L4",LEFT(AA190,2)="L5"),AB190&lt;&gt;"",AC190&lt;&gt;"",AC190&lt;&gt;"N/A"),"CONFORME - Control Efectivo ISO 27001","OBSERVACIÓN - Revisar Controles")))</f>
        <v/>
      </c>
    </row>
    <row r="191">
      <c r="A191" s="99"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c r="AD191">
        <f>IF(AND(Y191="",Z191="",AA191="",AB191="",AC191=""),"",IF(OR(LEFT(AA191,2)="L0",LEFT(AA191,2)="L1",Y191="No Iniciado"),"CRÍTICO - Incumplimiento Normativo SEPS",IF(AND(Y191="Implementado",Z191&lt;&gt;"",OR(LEFT(AA191,2)="L4",LEFT(AA191,2)="L5"),AB191&lt;&gt;"",AC191&lt;&gt;"",AC191&lt;&gt;"N/A"),"CONFORME - Control Efectivo ISO 27001","OBSERVACIÓN - Revisar Controles")))</f>
        <v/>
      </c>
    </row>
    <row r="192">
      <c r="A192" s="99"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c r="AD192">
        <f>IF(AND(Y192="",Z192="",AA192="",AB192="",AC192=""),"",IF(OR(LEFT(AA192,2)="L0",LEFT(AA192,2)="L1",Y192="No Iniciado"),"CRÍTICO - Incumplimiento Normativo SEPS",IF(AND(Y192="Implementado",Z192&lt;&gt;"",OR(LEFT(AA192,2)="L4",LEFT(AA192,2)="L5"),AB192&lt;&gt;"",AC192&lt;&gt;"",AC192&lt;&gt;"N/A"),"CONFORME - Control Efectivo ISO 27001","OBSERVACIÓN - Revisar Controles")))</f>
        <v/>
      </c>
    </row>
    <row r="193">
      <c r="A193" s="99"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c r="AD193">
        <f>IF(AND(Y193="",Z193="",AA193="",AB193="",AC193=""),"",IF(OR(LEFT(AA193,2)="L0",LEFT(AA193,2)="L1",Y193="No Iniciado"),"CRÍTICO - Incumplimiento Normativo SEPS",IF(AND(Y193="Implementado",Z193&lt;&gt;"",OR(LEFT(AA193,2)="L4",LEFT(AA193,2)="L5"),AB193&lt;&gt;"",AC193&lt;&gt;"",AC193&lt;&gt;"N/A"),"CONFORME - Control Efectivo ISO 27001","OBSERVACIÓN - Revisar Controles")))</f>
        <v/>
      </c>
    </row>
    <row r="194">
      <c r="A194" s="99"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c r="AD194">
        <f>IF(AND(Y194="",Z194="",AA194="",AB194="",AC194=""),"",IF(OR(LEFT(AA194,2)="L0",LEFT(AA194,2)="L1",Y194="No Iniciado"),"CRÍTICO - Incumplimiento Normativo SEPS",IF(AND(Y194="Implementado",Z194&lt;&gt;"",OR(LEFT(AA194,2)="L4",LEFT(AA194,2)="L5"),AB194&lt;&gt;"",AC194&lt;&gt;"",AC194&lt;&gt;"N/A"),"CONFORME - Control Efectivo ISO 27001","OBSERVACIÓN - Revisar Controles")))</f>
        <v/>
      </c>
    </row>
    <row r="195">
      <c r="A195" s="99"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c r="AD195">
        <f>IF(AND(Y195="",Z195="",AA195="",AB195="",AC195=""),"",IF(OR(LEFT(AA195,2)="L0",LEFT(AA195,2)="L1",Y195="No Iniciado"),"CRÍTICO - Incumplimiento Normativo SEPS",IF(AND(Y195="Implementado",Z195&lt;&gt;"",OR(LEFT(AA195,2)="L4",LEFT(AA195,2)="L5"),AB195&lt;&gt;"",AC195&lt;&gt;"",AC195&lt;&gt;"N/A"),"CONFORME - Control Efectivo ISO 27001","OBSERVACIÓN - Revisar Controles")))</f>
        <v/>
      </c>
    </row>
    <row r="196">
      <c r="A196" s="99"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c r="AD196">
        <f>IF(AND(Y196="",Z196="",AA196="",AB196="",AC196=""),"",IF(OR(LEFT(AA196,2)="L0",LEFT(AA196,2)="L1",Y196="No Iniciado"),"CRÍTICO - Incumplimiento Normativo SEPS",IF(AND(Y196="Implementado",Z196&lt;&gt;"",OR(LEFT(AA196,2)="L4",LEFT(AA196,2)="L5"),AB196&lt;&gt;"",AC196&lt;&gt;"",AC196&lt;&gt;"N/A"),"CONFORME - Control Efectivo ISO 27001","OBSERVACIÓN - Revisar Controles")))</f>
        <v/>
      </c>
    </row>
    <row r="197">
      <c r="A197" s="99"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c r="AD197">
        <f>IF(AND(Y197="",Z197="",AA197="",AB197="",AC197=""),"",IF(OR(LEFT(AA197,2)="L0",LEFT(AA197,2)="L1",Y197="No Iniciado"),"CRÍTICO - Incumplimiento Normativo SEPS",IF(AND(Y197="Implementado",Z197&lt;&gt;"",OR(LEFT(AA197,2)="L4",LEFT(AA197,2)="L5"),AB197&lt;&gt;"",AC197&lt;&gt;"",AC197&lt;&gt;"N/A"),"CONFORME - Control Efectivo ISO 27001","OBSERVACIÓN - Revisar Controles")))</f>
        <v/>
      </c>
    </row>
    <row r="198">
      <c r="A198" s="99"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c r="AD198">
        <f>IF(AND(Y198="",Z198="",AA198="",AB198="",AC198=""),"",IF(OR(LEFT(AA198,2)="L0",LEFT(AA198,2)="L1",Y198="No Iniciado"),"CRÍTICO - Incumplimiento Normativo SEPS",IF(AND(Y198="Implementado",Z198&lt;&gt;"",OR(LEFT(AA198,2)="L4",LEFT(AA198,2)="L5"),AB198&lt;&gt;"",AC198&lt;&gt;"",AC198&lt;&gt;"N/A"),"CONFORME - Control Efectivo ISO 27001","OBSERVACIÓN - Revisar Controles")))</f>
        <v/>
      </c>
    </row>
    <row r="199">
      <c r="A199" s="99"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c r="AD199">
        <f>IF(AND(Y199="",Z199="",AA199="",AB199="",AC199=""),"",IF(OR(LEFT(AA199,2)="L0",LEFT(AA199,2)="L1",Y199="No Iniciado"),"CRÍTICO - Incumplimiento Normativo SEPS",IF(AND(Y199="Implementado",Z199&lt;&gt;"",OR(LEFT(AA199,2)="L4",LEFT(AA199,2)="L5"),AB199&lt;&gt;"",AC199&lt;&gt;"",AC199&lt;&gt;"N/A"),"CONFORME - Control Efectivo ISO 27001","OBSERVACIÓN - Revisar Controles")))</f>
        <v/>
      </c>
    </row>
    <row r="200">
      <c r="A200" s="99"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c r="AD200">
        <f>IF(AND(Y200="",Z200="",AA200="",AB200="",AC200=""),"",IF(OR(LEFT(AA200,2)="L0",LEFT(AA200,2)="L1",Y200="No Iniciado"),"CRÍTICO - Incumplimiento Normativo SEPS",IF(AND(Y200="Implementado",Z200&lt;&gt;"",OR(LEFT(AA200,2)="L4",LEFT(AA200,2)="L5"),AB200&lt;&gt;"",AC200&lt;&gt;"",AC200&lt;&gt;"N/A"),"CONFORME - Control Efectivo ISO 27001","OBSERVACIÓN - Revisar Controles")))</f>
        <v/>
      </c>
    </row>
    <row r="201">
      <c r="A201" s="99"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c r="AD201">
        <f>IF(AND(Y201="",Z201="",AA201="",AB201="",AC201=""),"",IF(OR(LEFT(AA201,2)="L0",LEFT(AA201,2)="L1",Y201="No Iniciado"),"CRÍTICO - Incumplimiento Normativo SEPS",IF(AND(Y201="Implementado",Z201&lt;&gt;"",OR(LEFT(AA201,2)="L4",LEFT(AA201,2)="L5"),AB201&lt;&gt;"",AC201&lt;&gt;"",AC201&lt;&gt;"N/A"),"CONFORME - Control Efectivo ISO 27001","OBSERVACIÓN - Revisar Controles")))</f>
        <v/>
      </c>
    </row>
    <row r="202">
      <c r="A202" s="99"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c r="AD202">
        <f>IF(AND(Y202="",Z202="",AA202="",AB202="",AC202=""),"",IF(OR(LEFT(AA202,2)="L0",LEFT(AA202,2)="L1",Y202="No Iniciado"),"CRÍTICO - Incumplimiento Normativo SEPS",IF(AND(Y202="Implementado",Z202&lt;&gt;"",OR(LEFT(AA202,2)="L4",LEFT(AA202,2)="L5"),AB202&lt;&gt;"",AC202&lt;&gt;"",AC202&lt;&gt;"N/A"),"CONFORME - Control Efectivo ISO 27001","OBSERVACIÓN - Revisar Controles")))</f>
        <v/>
      </c>
    </row>
    <row r="203">
      <c r="A203" s="99"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c r="AD203">
        <f>IF(AND(Y203="",Z203="",AA203="",AB203="",AC203=""),"",IF(OR(LEFT(AA203,2)="L0",LEFT(AA203,2)="L1",Y203="No Iniciado"),"CRÍTICO - Incumplimiento Normativo SEPS",IF(AND(Y203="Implementado",Z203&lt;&gt;"",OR(LEFT(AA203,2)="L4",LEFT(AA203,2)="L5"),AB203&lt;&gt;"",AC203&lt;&gt;"",AC203&lt;&gt;"N/A"),"CONFORME - Control Efectivo ISO 27001","OBSERVACIÓN - Revisar Controles")))</f>
        <v/>
      </c>
    </row>
    <row r="204">
      <c r="A204" s="99"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c r="AD204">
        <f>IF(AND(Y204="",Z204="",AA204="",AB204="",AC204=""),"",IF(OR(LEFT(AA204,2)="L0",LEFT(AA204,2)="L1",Y204="No Iniciado"),"CRÍTICO - Incumplimiento Normativo SEPS",IF(AND(Y204="Implementado",Z204&lt;&gt;"",OR(LEFT(AA204,2)="L4",LEFT(AA204,2)="L5"),AB204&lt;&gt;"",AC204&lt;&gt;"",AC204&lt;&gt;"N/A"),"CONFORME - Control Efectivo ISO 27001","OBSERVACIÓN - Revisar Controles")))</f>
        <v/>
      </c>
    </row>
    <row r="205">
      <c r="A205" s="99"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c r="AD205">
        <f>IF(AND(Y205="",Z205="",AA205="",AB205="",AC205=""),"",IF(OR(LEFT(AA205,2)="L0",LEFT(AA205,2)="L1",Y205="No Iniciado"),"CRÍTICO - Incumplimiento Normativo SEPS",IF(AND(Y205="Implementado",Z205&lt;&gt;"",OR(LEFT(AA205,2)="L4",LEFT(AA205,2)="L5"),AB205&lt;&gt;"",AC205&lt;&gt;"",AC205&lt;&gt;"N/A"),"CONFORME - Control Efectivo ISO 27001","OBSERVACIÓN - Revisar Controles")))</f>
        <v/>
      </c>
    </row>
    <row r="206">
      <c r="A206" s="99"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c r="AD206">
        <f>IF(AND(Y206="",Z206="",AA206="",AB206="",AC206=""),"",IF(OR(LEFT(AA206,2)="L0",LEFT(AA206,2)="L1",Y206="No Iniciado"),"CRÍTICO - Incumplimiento Normativo SEPS",IF(AND(Y206="Implementado",Z206&lt;&gt;"",OR(LEFT(AA206,2)="L4",LEFT(AA206,2)="L5"),AB206&lt;&gt;"",AC206&lt;&gt;"",AC206&lt;&gt;"N/A"),"CONFORME - Control Efectivo ISO 27001","OBSERVACIÓN - Revisar Controles")))</f>
        <v/>
      </c>
    </row>
    <row r="207">
      <c r="A207" s="99"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c r="AD207">
        <f>IF(AND(Y207="",Z207="",AA207="",AB207="",AC207=""),"",IF(OR(LEFT(AA207,2)="L0",LEFT(AA207,2)="L1",Y207="No Iniciado"),"CRÍTICO - Incumplimiento Normativo SEPS",IF(AND(Y207="Implementado",Z207&lt;&gt;"",OR(LEFT(AA207,2)="L4",LEFT(AA207,2)="L5"),AB207&lt;&gt;"",AC207&lt;&gt;"",AC207&lt;&gt;"N/A"),"CONFORME - Control Efectivo ISO 27001","OBSERVACIÓN - Revisar Controles")))</f>
        <v/>
      </c>
    </row>
    <row r="208">
      <c r="A208" s="99"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c r="AD208">
        <f>IF(AND(Y208="",Z208="",AA208="",AB208="",AC208=""),"",IF(OR(LEFT(AA208,2)="L0",LEFT(AA208,2)="L1",Y208="No Iniciado"),"CRÍTICO - Incumplimiento Normativo SEPS",IF(AND(Y208="Implementado",Z208&lt;&gt;"",OR(LEFT(AA208,2)="L4",LEFT(AA208,2)="L5"),AB208&lt;&gt;"",AC208&lt;&gt;"",AC208&lt;&gt;"N/A"),"CONFORME - Control Efectivo ISO 27001","OBSERVACIÓN - Revisar Controles")))</f>
        <v/>
      </c>
    </row>
    <row r="209">
      <c r="A209" s="99"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c r="AD209">
        <f>IF(AND(Y209="",Z209="",AA209="",AB209="",AC209=""),"",IF(OR(LEFT(AA209,2)="L0",LEFT(AA209,2)="L1",Y209="No Iniciado"),"CRÍTICO - Incumplimiento Normativo SEPS",IF(AND(Y209="Implementado",Z209&lt;&gt;"",OR(LEFT(AA209,2)="L4",LEFT(AA209,2)="L5"),AB209&lt;&gt;"",AC209&lt;&gt;"",AC209&lt;&gt;"N/A"),"CONFORME - Control Efectivo ISO 27001","OBSERVACIÓN - Revisar Controles")))</f>
        <v/>
      </c>
    </row>
    <row r="210">
      <c r="A210" s="99"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c r="AD210">
        <f>IF(AND(Y210="",Z210="",AA210="",AB210="",AC210=""),"",IF(OR(LEFT(AA210,2)="L0",LEFT(AA210,2)="L1",Y210="No Iniciado"),"CRÍTICO - Incumplimiento Normativo SEPS",IF(AND(Y210="Implementado",Z210&lt;&gt;"",OR(LEFT(AA210,2)="L4",LEFT(AA210,2)="L5"),AB210&lt;&gt;"",AC210&lt;&gt;"",AC210&lt;&gt;"N/A"),"CONFORME - Control Efectivo ISO 27001","OBSERVACIÓN - Revisar Controles")))</f>
        <v/>
      </c>
    </row>
    <row r="211">
      <c r="A211" s="99"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c r="AD211">
        <f>IF(AND(Y211="",Z211="",AA211="",AB211="",AC211=""),"",IF(OR(LEFT(AA211,2)="L0",LEFT(AA211,2)="L1",Y211="No Iniciado"),"CRÍTICO - Incumplimiento Normativo SEPS",IF(AND(Y211="Implementado",Z211&lt;&gt;"",OR(LEFT(AA211,2)="L4",LEFT(AA211,2)="L5"),AB211&lt;&gt;"",AC211&lt;&gt;"",AC211&lt;&gt;"N/A"),"CONFORME - Control Efectivo ISO 27001","OBSERVACIÓN - Revisar Controles")))</f>
        <v/>
      </c>
    </row>
    <row r="212">
      <c r="A212" s="99"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c r="AD212">
        <f>IF(AND(Y212="",Z212="",AA212="",AB212="",AC212=""),"",IF(OR(LEFT(AA212,2)="L0",LEFT(AA212,2)="L1",Y212="No Iniciado"),"CRÍTICO - Incumplimiento Normativo SEPS",IF(AND(Y212="Implementado",Z212&lt;&gt;"",OR(LEFT(AA212,2)="L4",LEFT(AA212,2)="L5"),AB212&lt;&gt;"",AC212&lt;&gt;"",AC212&lt;&gt;"N/A"),"CONFORME - Control Efectivo ISO 27001","OBSERVACIÓN - Revisar Controles")))</f>
        <v/>
      </c>
    </row>
    <row r="213">
      <c r="A213" s="99"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c r="AD213">
        <f>IF(AND(Y213="",Z213="",AA213="",AB213="",AC213=""),"",IF(OR(LEFT(AA213,2)="L0",LEFT(AA213,2)="L1",Y213="No Iniciado"),"CRÍTICO - Incumplimiento Normativo SEPS",IF(AND(Y213="Implementado",Z213&lt;&gt;"",OR(LEFT(AA213,2)="L4",LEFT(AA213,2)="L5"),AB213&lt;&gt;"",AC213&lt;&gt;"",AC213&lt;&gt;"N/A"),"CONFORME - Control Efectivo ISO 27001","OBSERVACIÓN - Revisar Controles")))</f>
        <v/>
      </c>
    </row>
    <row r="214">
      <c r="A214" s="99"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c r="AD214">
        <f>IF(AND(Y214="",Z214="",AA214="",AB214="",AC214=""),"",IF(OR(LEFT(AA214,2)="L0",LEFT(AA214,2)="L1",Y214="No Iniciado"),"CRÍTICO - Incumplimiento Normativo SEPS",IF(AND(Y214="Implementado",Z214&lt;&gt;"",OR(LEFT(AA214,2)="L4",LEFT(AA214,2)="L5"),AB214&lt;&gt;"",AC214&lt;&gt;"",AC214&lt;&gt;"N/A"),"CONFORME - Control Efectivo ISO 27001","OBSERVACIÓN - Revisar Controles")))</f>
        <v/>
      </c>
    </row>
    <row r="215">
      <c r="A215" s="99"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c r="AD215">
        <f>IF(AND(Y215="",Z215="",AA215="",AB215="",AC215=""),"",IF(OR(LEFT(AA215,2)="L0",LEFT(AA215,2)="L1",Y215="No Iniciado"),"CRÍTICO - Incumplimiento Normativo SEPS",IF(AND(Y215="Implementado",Z215&lt;&gt;"",OR(LEFT(AA215,2)="L4",LEFT(AA215,2)="L5"),AB215&lt;&gt;"",AC215&lt;&gt;"",AC215&lt;&gt;"N/A"),"CONFORME - Control Efectivo ISO 27001","OBSERVACIÓN - Revisar Controles")))</f>
        <v/>
      </c>
    </row>
    <row r="216">
      <c r="A216" s="99"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c r="AD216">
        <f>IF(AND(Y216="",Z216="",AA216="",AB216="",AC216=""),"",IF(OR(LEFT(AA216,2)="L0",LEFT(AA216,2)="L1",Y216="No Iniciado"),"CRÍTICO - Incumplimiento Normativo SEPS",IF(AND(Y216="Implementado",Z216&lt;&gt;"",OR(LEFT(AA216,2)="L4",LEFT(AA216,2)="L5"),AB216&lt;&gt;"",AC216&lt;&gt;"",AC216&lt;&gt;"N/A"),"CONFORME - Control Efectivo ISO 27001","OBSERVACIÓN - Revisar Controles")))</f>
        <v/>
      </c>
    </row>
    <row r="217">
      <c r="A217" s="99"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c r="AD217">
        <f>IF(AND(Y217="",Z217="",AA217="",AB217="",AC217=""),"",IF(OR(LEFT(AA217,2)="L0",LEFT(AA217,2)="L1",Y217="No Iniciado"),"CRÍTICO - Incumplimiento Normativo SEPS",IF(AND(Y217="Implementado",Z217&lt;&gt;"",OR(LEFT(AA217,2)="L4",LEFT(AA217,2)="L5"),AB217&lt;&gt;"",AC217&lt;&gt;"",AC217&lt;&gt;"N/A"),"CONFORME - Control Efectivo ISO 27001","OBSERVACIÓN - Revisar Controles")))</f>
        <v/>
      </c>
    </row>
    <row r="218">
      <c r="A218" s="99"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c r="AD218">
        <f>IF(AND(Y218="",Z218="",AA218="",AB218="",AC218=""),"",IF(OR(LEFT(AA218,2)="L0",LEFT(AA218,2)="L1",Y218="No Iniciado"),"CRÍTICO - Incumplimiento Normativo SEPS",IF(AND(Y218="Implementado",Z218&lt;&gt;"",OR(LEFT(AA218,2)="L4",LEFT(AA218,2)="L5"),AB218&lt;&gt;"",AC218&lt;&gt;"",AC218&lt;&gt;"N/A"),"CONFORME - Control Efectivo ISO 27001","OBSERVACIÓN - Revisar Controles")))</f>
        <v/>
      </c>
    </row>
    <row r="219">
      <c r="A219" s="99"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c r="AD219">
        <f>IF(AND(Y219="",Z219="",AA219="",AB219="",AC219=""),"",IF(OR(LEFT(AA219,2)="L0",LEFT(AA219,2)="L1",Y219="No Iniciado"),"CRÍTICO - Incumplimiento Normativo SEPS",IF(AND(Y219="Implementado",Z219&lt;&gt;"",OR(LEFT(AA219,2)="L4",LEFT(AA219,2)="L5"),AB219&lt;&gt;"",AC219&lt;&gt;"",AC219&lt;&gt;"N/A"),"CONFORME - Control Efectivo ISO 27001","OBSERVACIÓN - Revisar Controles")))</f>
        <v/>
      </c>
    </row>
    <row r="220">
      <c r="A220" s="99"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c r="AD220">
        <f>IF(AND(Y220="",Z220="",AA220="",AB220="",AC220=""),"",IF(OR(LEFT(AA220,2)="L0",LEFT(AA220,2)="L1",Y220="No Iniciado"),"CRÍTICO - Incumplimiento Normativo SEPS",IF(AND(Y220="Implementado",Z220&lt;&gt;"",OR(LEFT(AA220,2)="L4",LEFT(AA220,2)="L5"),AB220&lt;&gt;"",AC220&lt;&gt;"",AC220&lt;&gt;"N/A"),"CONFORME - Control Efectivo ISO 27001","OBSERVACIÓN - Revisar Controles")))</f>
        <v/>
      </c>
    </row>
    <row r="221">
      <c r="A221" s="99"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c r="AD221">
        <f>IF(AND(Y221="",Z221="",AA221="",AB221="",AC221=""),"",IF(OR(LEFT(AA221,2)="L0",LEFT(AA221,2)="L1",Y221="No Iniciado"),"CRÍTICO - Incumplimiento Normativo SEPS",IF(AND(Y221="Implementado",Z221&lt;&gt;"",OR(LEFT(AA221,2)="L4",LEFT(AA221,2)="L5"),AB221&lt;&gt;"",AC221&lt;&gt;"",AC221&lt;&gt;"N/A"),"CONFORME - Control Efectivo ISO 27001","OBSERVACIÓN - Revisar Controles")))</f>
        <v/>
      </c>
    </row>
    <row r="222">
      <c r="A222" s="99"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c r="AD222">
        <f>IF(AND(Y222="",Z222="",AA222="",AB222="",AC222=""),"",IF(OR(LEFT(AA222,2)="L0",LEFT(AA222,2)="L1",Y222="No Iniciado"),"CRÍTICO - Incumplimiento Normativo SEPS",IF(AND(Y222="Implementado",Z222&lt;&gt;"",OR(LEFT(AA222,2)="L4",LEFT(AA222,2)="L5"),AB222&lt;&gt;"",AC222&lt;&gt;"",AC222&lt;&gt;"N/A"),"CONFORME - Control Efectivo ISO 27001","OBSERVACIÓN - Revisar Controles")))</f>
        <v/>
      </c>
    </row>
    <row r="223">
      <c r="A223" s="99"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c r="AD223">
        <f>IF(AND(Y223="",Z223="",AA223="",AB223="",AC223=""),"",IF(OR(LEFT(AA223,2)="L0",LEFT(AA223,2)="L1",Y223="No Iniciado"),"CRÍTICO - Incumplimiento Normativo SEPS",IF(AND(Y223="Implementado",Z223&lt;&gt;"",OR(LEFT(AA223,2)="L4",LEFT(AA223,2)="L5"),AB223&lt;&gt;"",AC223&lt;&gt;"",AC223&lt;&gt;"N/A"),"CONFORME - Control Efectivo ISO 27001","OBSERVACIÓN - Revisar Controles")))</f>
        <v/>
      </c>
    </row>
    <row r="224">
      <c r="A224" s="99"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c r="AD224">
        <f>IF(AND(Y224="",Z224="",AA224="",AB224="",AC224=""),"",IF(OR(LEFT(AA224,2)="L0",LEFT(AA224,2)="L1",Y224="No Iniciado"),"CRÍTICO - Incumplimiento Normativo SEPS",IF(AND(Y224="Implementado",Z224&lt;&gt;"",OR(LEFT(AA224,2)="L4",LEFT(AA224,2)="L5"),AB224&lt;&gt;"",AC224&lt;&gt;"",AC224&lt;&gt;"N/A"),"CONFORME - Control Efectivo ISO 27001","OBSERVACIÓN - Revisar Controles")))</f>
        <v/>
      </c>
    </row>
    <row r="225">
      <c r="A225" s="99"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c r="AD225">
        <f>IF(AND(Y225="",Z225="",AA225="",AB225="",AC225=""),"",IF(OR(LEFT(AA225,2)="L0",LEFT(AA225,2)="L1",Y225="No Iniciado"),"CRÍTICO - Incumplimiento Normativo SEPS",IF(AND(Y225="Implementado",Z225&lt;&gt;"",OR(LEFT(AA225,2)="L4",LEFT(AA225,2)="L5"),AB225&lt;&gt;"",AC225&lt;&gt;"",AC225&lt;&gt;"N/A"),"CONFORME - Control Efectivo ISO 27001","OBSERVACIÓN - Revisar Controles")))</f>
        <v/>
      </c>
    </row>
    <row r="226">
      <c r="A226" s="99"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c r="AD226">
        <f>IF(AND(Y226="",Z226="",AA226="",AB226="",AC226=""),"",IF(OR(LEFT(AA226,2)="L0",LEFT(AA226,2)="L1",Y226="No Iniciado"),"CRÍTICO - Incumplimiento Normativo SEPS",IF(AND(Y226="Implementado",Z226&lt;&gt;"",OR(LEFT(AA226,2)="L4",LEFT(AA226,2)="L5"),AB226&lt;&gt;"",AC226&lt;&gt;"",AC226&lt;&gt;"N/A"),"CONFORME - Control Efectivo ISO 27001","OBSERVACIÓN - Revisar Controles")))</f>
        <v/>
      </c>
    </row>
    <row r="227">
      <c r="A227" s="99"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c r="AD227">
        <f>IF(AND(Y227="",Z227="",AA227="",AB227="",AC227=""),"",IF(OR(LEFT(AA227,2)="L0",LEFT(AA227,2)="L1",Y227="No Iniciado"),"CRÍTICO - Incumplimiento Normativo SEPS",IF(AND(Y227="Implementado",Z227&lt;&gt;"",OR(LEFT(AA227,2)="L4",LEFT(AA227,2)="L5"),AB227&lt;&gt;"",AC227&lt;&gt;"",AC227&lt;&gt;"N/A"),"CONFORME - Control Efectivo ISO 27001","OBSERVACIÓN - Revisar Controles")))</f>
        <v/>
      </c>
    </row>
    <row r="228">
      <c r="A228" s="99"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c r="AD228">
        <f>IF(AND(Y228="",Z228="",AA228="",AB228="",AC228=""),"",IF(OR(LEFT(AA228,2)="L0",LEFT(AA228,2)="L1",Y228="No Iniciado"),"CRÍTICO - Incumplimiento Normativo SEPS",IF(AND(Y228="Implementado",Z228&lt;&gt;"",OR(LEFT(AA228,2)="L4",LEFT(AA228,2)="L5"),AB228&lt;&gt;"",AC228&lt;&gt;"",AC228&lt;&gt;"N/A"),"CONFORME - Control Efectivo ISO 27001","OBSERVACIÓN - Revisar Controles")))</f>
        <v/>
      </c>
    </row>
    <row r="229">
      <c r="A229" s="99"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c r="AD229">
        <f>IF(AND(Y229="",Z229="",AA229="",AB229="",AC229=""),"",IF(OR(LEFT(AA229,2)="L0",LEFT(AA229,2)="L1",Y229="No Iniciado"),"CRÍTICO - Incumplimiento Normativo SEPS",IF(AND(Y229="Implementado",Z229&lt;&gt;"",OR(LEFT(AA229,2)="L4",LEFT(AA229,2)="L5"),AB229&lt;&gt;"",AC229&lt;&gt;"",AC229&lt;&gt;"N/A"),"CONFORME - Control Efectivo ISO 27001","OBSERVACIÓN - Revisar Controles")))</f>
        <v/>
      </c>
    </row>
    <row r="230">
      <c r="A230" s="99"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c r="AD230">
        <f>IF(AND(Y230="",Z230="",AA230="",AB230="",AC230=""),"",IF(OR(LEFT(AA230,2)="L0",LEFT(AA230,2)="L1",Y230="No Iniciado"),"CRÍTICO - Incumplimiento Normativo SEPS",IF(AND(Y230="Implementado",Z230&lt;&gt;"",OR(LEFT(AA230,2)="L4",LEFT(AA230,2)="L5"),AB230&lt;&gt;"",AC230&lt;&gt;"",AC230&lt;&gt;"N/A"),"CONFORME - Control Efectivo ISO 27001","OBSERVACIÓN - Revisar Controles")))</f>
        <v/>
      </c>
    </row>
    <row r="231">
      <c r="A231" s="99"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c r="AD231">
        <f>IF(AND(Y231="",Z231="",AA231="",AB231="",AC231=""),"",IF(OR(LEFT(AA231,2)="L0",LEFT(AA231,2)="L1",Y231="No Iniciado"),"CRÍTICO - Incumplimiento Normativo SEPS",IF(AND(Y231="Implementado",Z231&lt;&gt;"",OR(LEFT(AA231,2)="L4",LEFT(AA231,2)="L5"),AB231&lt;&gt;"",AC231&lt;&gt;"",AC231&lt;&gt;"N/A"),"CONFORME - Control Efectivo ISO 27001","OBSERVACIÓN - Revisar Controles")))</f>
        <v/>
      </c>
    </row>
    <row r="232">
      <c r="A232" s="99"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c r="AD232">
        <f>IF(AND(Y232="",Z232="",AA232="",AB232="",AC232=""),"",IF(OR(LEFT(AA232,2)="L0",LEFT(AA232,2)="L1",Y232="No Iniciado"),"CRÍTICO - Incumplimiento Normativo SEPS",IF(AND(Y232="Implementado",Z232&lt;&gt;"",OR(LEFT(AA232,2)="L4",LEFT(AA232,2)="L5"),AB232&lt;&gt;"",AC232&lt;&gt;"",AC232&lt;&gt;"N/A"),"CONFORME - Control Efectivo ISO 27001","OBSERVACIÓN - Revisar Controles")))</f>
        <v/>
      </c>
    </row>
    <row r="233">
      <c r="A233" s="99"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c r="AD233">
        <f>IF(AND(Y233="",Z233="",AA233="",AB233="",AC233=""),"",IF(OR(LEFT(AA233,2)="L0",LEFT(AA233,2)="L1",Y233="No Iniciado"),"CRÍTICO - Incumplimiento Normativo SEPS",IF(AND(Y233="Implementado",Z233&lt;&gt;"",OR(LEFT(AA233,2)="L4",LEFT(AA233,2)="L5"),AB233&lt;&gt;"",AC233&lt;&gt;"",AC233&lt;&gt;"N/A"),"CONFORME - Control Efectivo ISO 27001","OBSERVACIÓN - Revisar Controles")))</f>
        <v/>
      </c>
    </row>
    <row r="234">
      <c r="A234" s="99"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c r="AD234">
        <f>IF(AND(Y234="",Z234="",AA234="",AB234="",AC234=""),"",IF(OR(LEFT(AA234,2)="L0",LEFT(AA234,2)="L1",Y234="No Iniciado"),"CRÍTICO - Incumplimiento Normativo SEPS",IF(AND(Y234="Implementado",Z234&lt;&gt;"",OR(LEFT(AA234,2)="L4",LEFT(AA234,2)="L5"),AB234&lt;&gt;"",AC234&lt;&gt;"",AC234&lt;&gt;"N/A"),"CONFORME - Control Efectivo ISO 27001","OBSERVACIÓN - Revisar Controles")))</f>
        <v/>
      </c>
    </row>
    <row r="235">
      <c r="A235" s="99"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c r="AD235">
        <f>IF(AND(Y235="",Z235="",AA235="",AB235="",AC235=""),"",IF(OR(LEFT(AA235,2)="L0",LEFT(AA235,2)="L1",Y235="No Iniciado"),"CRÍTICO - Incumplimiento Normativo SEPS",IF(AND(Y235="Implementado",Z235&lt;&gt;"",OR(LEFT(AA235,2)="L4",LEFT(AA235,2)="L5"),AB235&lt;&gt;"",AC235&lt;&gt;"",AC235&lt;&gt;"N/A"),"CONFORME - Control Efectivo ISO 27001","OBSERVACIÓN - Revisar Controles")))</f>
        <v/>
      </c>
    </row>
    <row r="236">
      <c r="A236" s="99"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c r="AD236">
        <f>IF(AND(Y236="",Z236="",AA236="",AB236="",AC236=""),"",IF(OR(LEFT(AA236,2)="L0",LEFT(AA236,2)="L1",Y236="No Iniciado"),"CRÍTICO - Incumplimiento Normativo SEPS",IF(AND(Y236="Implementado",Z236&lt;&gt;"",OR(LEFT(AA236,2)="L4",LEFT(AA236,2)="L5"),AB236&lt;&gt;"",AC236&lt;&gt;"",AC236&lt;&gt;"N/A"),"CONFORME - Control Efectivo ISO 27001","OBSERVACIÓN - Revisar Controles")))</f>
        <v/>
      </c>
    </row>
    <row r="237">
      <c r="A237" s="99"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c r="AD237">
        <f>IF(AND(Y237="",Z237="",AA237="",AB237="",AC237=""),"",IF(OR(LEFT(AA237,2)="L0",LEFT(AA237,2)="L1",Y237="No Iniciado"),"CRÍTICO - Incumplimiento Normativo SEPS",IF(AND(Y237="Implementado",Z237&lt;&gt;"",OR(LEFT(AA237,2)="L4",LEFT(AA237,2)="L5"),AB237&lt;&gt;"",AC237&lt;&gt;"",AC237&lt;&gt;"N/A"),"CONFORME - Control Efectivo ISO 27001","OBSERVACIÓN - Revisar Controles")))</f>
        <v/>
      </c>
    </row>
    <row r="238">
      <c r="A238" s="99"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c r="AD238">
        <f>IF(AND(Y238="",Z238="",AA238="",AB238="",AC238=""),"",IF(OR(LEFT(AA238,2)="L0",LEFT(AA238,2)="L1",Y238="No Iniciado"),"CRÍTICO - Incumplimiento Normativo SEPS",IF(AND(Y238="Implementado",Z238&lt;&gt;"",OR(LEFT(AA238,2)="L4",LEFT(AA238,2)="L5"),AB238&lt;&gt;"",AC238&lt;&gt;"",AC238&lt;&gt;"N/A"),"CONFORME - Control Efectivo ISO 27001","OBSERVACIÓN - Revisar Controles")))</f>
        <v/>
      </c>
    </row>
    <row r="239">
      <c r="A239" s="99"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c r="AD239">
        <f>IF(AND(Y239="",Z239="",AA239="",AB239="",AC239=""),"",IF(OR(LEFT(AA239,2)="L0",LEFT(AA239,2)="L1",Y239="No Iniciado"),"CRÍTICO - Incumplimiento Normativo SEPS",IF(AND(Y239="Implementado",Z239&lt;&gt;"",OR(LEFT(AA239,2)="L4",LEFT(AA239,2)="L5"),AB239&lt;&gt;"",AC239&lt;&gt;"",AC239&lt;&gt;"N/A"),"CONFORME - Control Efectivo ISO 27001","OBSERVACIÓN - Revisar Controles")))</f>
        <v/>
      </c>
    </row>
    <row r="240">
      <c r="A240" s="99"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c r="AD240">
        <f>IF(AND(Y240="",Z240="",AA240="",AB240="",AC240=""),"",IF(OR(LEFT(AA240,2)="L0",LEFT(AA240,2)="L1",Y240="No Iniciado"),"CRÍTICO - Incumplimiento Normativo SEPS",IF(AND(Y240="Implementado",Z240&lt;&gt;"",OR(LEFT(AA240,2)="L4",LEFT(AA240,2)="L5"),AB240&lt;&gt;"",AC240&lt;&gt;"",AC240&lt;&gt;"N/A"),"CONFORME - Control Efectivo ISO 27001","OBSERVACIÓN - Revisar Controles")))</f>
        <v/>
      </c>
    </row>
    <row r="241">
      <c r="A241" s="99"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c r="AD241">
        <f>IF(AND(Y241="",Z241="",AA241="",AB241="",AC241=""),"",IF(OR(LEFT(AA241,2)="L0",LEFT(AA241,2)="L1",Y241="No Iniciado"),"CRÍTICO - Incumplimiento Normativo SEPS",IF(AND(Y241="Implementado",Z241&lt;&gt;"",OR(LEFT(AA241,2)="L4",LEFT(AA241,2)="L5"),AB241&lt;&gt;"",AC241&lt;&gt;"",AC241&lt;&gt;"N/A"),"CONFORME - Control Efectivo ISO 27001","OBSERVACIÓN - Revisar Controles")))</f>
        <v/>
      </c>
    </row>
    <row r="242">
      <c r="A242" s="99"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c r="AD242">
        <f>IF(AND(Y242="",Z242="",AA242="",AB242="",AC242=""),"",IF(OR(LEFT(AA242,2)="L0",LEFT(AA242,2)="L1",Y242="No Iniciado"),"CRÍTICO - Incumplimiento Normativo SEPS",IF(AND(Y242="Implementado",Z242&lt;&gt;"",OR(LEFT(AA242,2)="L4",LEFT(AA242,2)="L5"),AB242&lt;&gt;"",AC242&lt;&gt;"",AC242&lt;&gt;"N/A"),"CONFORME - Control Efectivo ISO 27001","OBSERVACIÓN - Revisar Controles")))</f>
        <v/>
      </c>
    </row>
    <row r="243">
      <c r="A243" s="99"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c r="AD243">
        <f>IF(AND(Y243="",Z243="",AA243="",AB243="",AC243=""),"",IF(OR(LEFT(AA243,2)="L0",LEFT(AA243,2)="L1",Y243="No Iniciado"),"CRÍTICO - Incumplimiento Normativo SEPS",IF(AND(Y243="Implementado",Z243&lt;&gt;"",OR(LEFT(AA243,2)="L4",LEFT(AA243,2)="L5"),AB243&lt;&gt;"",AC243&lt;&gt;"",AC243&lt;&gt;"N/A"),"CONFORME - Control Efectivo ISO 27001","OBSERVACIÓN - Revisar Controles")))</f>
        <v/>
      </c>
    </row>
    <row r="244">
      <c r="A244" s="99"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c r="AD244">
        <f>IF(AND(Y244="",Z244="",AA244="",AB244="",AC244=""),"",IF(OR(LEFT(AA244,2)="L0",LEFT(AA244,2)="L1",Y244="No Iniciado"),"CRÍTICO - Incumplimiento Normativo SEPS",IF(AND(Y244="Implementado",Z244&lt;&gt;"",OR(LEFT(AA244,2)="L4",LEFT(AA244,2)="L5"),AB244&lt;&gt;"",AC244&lt;&gt;"",AC244&lt;&gt;"N/A"),"CONFORME - Control Efectivo ISO 27001","OBSERVACIÓN - Revisar Controles")))</f>
        <v/>
      </c>
    </row>
    <row r="245">
      <c r="A245" s="99"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c r="AD245">
        <f>IF(AND(Y245="",Z245="",AA245="",AB245="",AC245=""),"",IF(OR(LEFT(AA245,2)="L0",LEFT(AA245,2)="L1",Y245="No Iniciado"),"CRÍTICO - Incumplimiento Normativo SEPS",IF(AND(Y245="Implementado",Z245&lt;&gt;"",OR(LEFT(AA245,2)="L4",LEFT(AA245,2)="L5"),AB245&lt;&gt;"",AC245&lt;&gt;"",AC245&lt;&gt;"N/A"),"CONFORME - Control Efectivo ISO 27001","OBSERVACIÓN - Revisar Controles")))</f>
        <v/>
      </c>
    </row>
    <row r="246">
      <c r="A246" s="99"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c r="AD246">
        <f>IF(AND(Y246="",Z246="",AA246="",AB246="",AC246=""),"",IF(OR(LEFT(AA246,2)="L0",LEFT(AA246,2)="L1",Y246="No Iniciado"),"CRÍTICO - Incumplimiento Normativo SEPS",IF(AND(Y246="Implementado",Z246&lt;&gt;"",OR(LEFT(AA246,2)="L4",LEFT(AA246,2)="L5"),AB246&lt;&gt;"",AC246&lt;&gt;"",AC246&lt;&gt;"N/A"),"CONFORME - Control Efectivo ISO 27001","OBSERVACIÓN - Revisar Controles")))</f>
        <v/>
      </c>
    </row>
    <row r="247">
      <c r="A247" s="99"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c r="AD247">
        <f>IF(AND(Y247="",Z247="",AA247="",AB247="",AC247=""),"",IF(OR(LEFT(AA247,2)="L0",LEFT(AA247,2)="L1",Y247="No Iniciado"),"CRÍTICO - Incumplimiento Normativo SEPS",IF(AND(Y247="Implementado",Z247&lt;&gt;"",OR(LEFT(AA247,2)="L4",LEFT(AA247,2)="L5"),AB247&lt;&gt;"",AC247&lt;&gt;"",AC247&lt;&gt;"N/A"),"CONFORME - Control Efectivo ISO 27001","OBSERVACIÓN - Revisar Controles")))</f>
        <v/>
      </c>
    </row>
    <row r="248">
      <c r="A248" s="99"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c r="AD248">
        <f>IF(AND(Y248="",Z248="",AA248="",AB248="",AC248=""),"",IF(OR(LEFT(AA248,2)="L0",LEFT(AA248,2)="L1",Y248="No Iniciado"),"CRÍTICO - Incumplimiento Normativo SEPS",IF(AND(Y248="Implementado",Z248&lt;&gt;"",OR(LEFT(AA248,2)="L4",LEFT(AA248,2)="L5"),AB248&lt;&gt;"",AC248&lt;&gt;"",AC248&lt;&gt;"N/A"),"CONFORME - Control Efectivo ISO 27001","OBSERVACIÓN - Revisar Controles")))</f>
        <v/>
      </c>
    </row>
    <row r="249">
      <c r="A249" s="99"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c r="AD249">
        <f>IF(AND(Y249="",Z249="",AA249="",AB249="",AC249=""),"",IF(OR(LEFT(AA249,2)="L0",LEFT(AA249,2)="L1",Y249="No Iniciado"),"CRÍTICO - Incumplimiento Normativo SEPS",IF(AND(Y249="Implementado",Z249&lt;&gt;"",OR(LEFT(AA249,2)="L4",LEFT(AA249,2)="L5"),AB249&lt;&gt;"",AC249&lt;&gt;"",AC249&lt;&gt;"N/A"),"CONFORME - Control Efectivo ISO 27001","OBSERVACIÓN - Revisar Controles")))</f>
        <v/>
      </c>
    </row>
    <row r="250">
      <c r="A250" s="99"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c r="AD250">
        <f>IF(AND(Y250="",Z250="",AA250="",AB250="",AC250=""),"",IF(OR(LEFT(AA250,2)="L0",LEFT(AA250,2)="L1",Y250="No Iniciado"),"CRÍTICO - Incumplimiento Normativo SEPS",IF(AND(Y250="Implementado",Z250&lt;&gt;"",OR(LEFT(AA250,2)="L4",LEFT(AA250,2)="L5"),AB250&lt;&gt;"",AC250&lt;&gt;"",AC250&lt;&gt;"N/A"),"CONFORME - Control Efectivo ISO 27001","OBSERVACIÓN - Revisar Controles")))</f>
        <v/>
      </c>
    </row>
    <row r="251">
      <c r="A251" s="99"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c r="AD251">
        <f>IF(AND(Y251="",Z251="",AA251="",AB251="",AC251=""),"",IF(OR(LEFT(AA251,2)="L0",LEFT(AA251,2)="L1",Y251="No Iniciado"),"CRÍTICO - Incumplimiento Normativo SEPS",IF(AND(Y251="Implementado",Z251&lt;&gt;"",OR(LEFT(AA251,2)="L4",LEFT(AA251,2)="L5"),AB251&lt;&gt;"",AC251&lt;&gt;"",AC251&lt;&gt;"N/A"),"CONFORME - Control Efectivo ISO 27001","OBSERVACIÓN - Revisar Controles")))</f>
        <v/>
      </c>
    </row>
    <row r="252">
      <c r="A252" s="99"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c r="AD252">
        <f>IF(AND(Y252="",Z252="",AA252="",AB252="",AC252=""),"",IF(OR(LEFT(AA252,2)="L0",LEFT(AA252,2)="L1",Y252="No Iniciado"),"CRÍTICO - Incumplimiento Normativo SEPS",IF(AND(Y252="Implementado",Z252&lt;&gt;"",OR(LEFT(AA252,2)="L4",LEFT(AA252,2)="L5"),AB252&lt;&gt;"",AC252&lt;&gt;"",AC252&lt;&gt;"N/A"),"CONFORME - Control Efectivo ISO 27001","OBSERVACIÓN - Revisar Controles")))</f>
        <v/>
      </c>
    </row>
    <row r="253">
      <c r="A253" s="99"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c r="AD253">
        <f>IF(AND(Y253="",Z253="",AA253="",AB253="",AC253=""),"",IF(OR(LEFT(AA253,2)="L0",LEFT(AA253,2)="L1",Y253="No Iniciado"),"CRÍTICO - Incumplimiento Normativo SEPS",IF(AND(Y253="Implementado",Z253&lt;&gt;"",OR(LEFT(AA253,2)="L4",LEFT(AA253,2)="L5"),AB253&lt;&gt;"",AC253&lt;&gt;"",AC253&lt;&gt;"N/A"),"CONFORME - Control Efectivo ISO 27001","OBSERVACIÓN - Revisar Controles")))</f>
        <v/>
      </c>
    </row>
    <row r="254">
      <c r="A254" s="99"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c r="AD254">
        <f>IF(AND(Y254="",Z254="",AA254="",AB254="",AC254=""),"",IF(OR(LEFT(AA254,2)="L0",LEFT(AA254,2)="L1",Y254="No Iniciado"),"CRÍTICO - Incumplimiento Normativo SEPS",IF(AND(Y254="Implementado",Z254&lt;&gt;"",OR(LEFT(AA254,2)="L4",LEFT(AA254,2)="L5"),AB254&lt;&gt;"",AC254&lt;&gt;"",AC254&lt;&gt;"N/A"),"CONFORME - Control Efectivo ISO 27001","OBSERVACIÓN - Revisar Controles")))</f>
        <v/>
      </c>
    </row>
    <row r="255">
      <c r="A255" s="99"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c r="AD255">
        <f>IF(AND(Y255="",Z255="",AA255="",AB255="",AC255=""),"",IF(OR(LEFT(AA255,2)="L0",LEFT(AA255,2)="L1",Y255="No Iniciado"),"CRÍTICO - Incumplimiento Normativo SEPS",IF(AND(Y255="Implementado",Z255&lt;&gt;"",OR(LEFT(AA255,2)="L4",LEFT(AA255,2)="L5"),AB255&lt;&gt;"",AC255&lt;&gt;"",AC255&lt;&gt;"N/A"),"CONFORME - Control Efectivo ISO 27001","OBSERVACIÓN - Revisar Controles")))</f>
        <v/>
      </c>
    </row>
    <row r="256">
      <c r="A256" s="99"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c r="AD256">
        <f>IF(AND(Y256="",Z256="",AA256="",AB256="",AC256=""),"",IF(OR(LEFT(AA256,2)="L0",LEFT(AA256,2)="L1",Y256="No Iniciado"),"CRÍTICO - Incumplimiento Normativo SEPS",IF(AND(Y256="Implementado",Z256&lt;&gt;"",OR(LEFT(AA256,2)="L4",LEFT(AA256,2)="L5"),AB256&lt;&gt;"",AC256&lt;&gt;"",AC256&lt;&gt;"N/A"),"CONFORME - Control Efectivo ISO 27001","OBSERVACIÓN - Revisar Controles")))</f>
        <v/>
      </c>
    </row>
    <row r="257">
      <c r="A257" s="99"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c r="AD257">
        <f>IF(AND(Y257="",Z257="",AA257="",AB257="",AC257=""),"",IF(OR(LEFT(AA257,2)="L0",LEFT(AA257,2)="L1",Y257="No Iniciado"),"CRÍTICO - Incumplimiento Normativo SEPS",IF(AND(Y257="Implementado",Z257&lt;&gt;"",OR(LEFT(AA257,2)="L4",LEFT(AA257,2)="L5"),AB257&lt;&gt;"",AC257&lt;&gt;"",AC257&lt;&gt;"N/A"),"CONFORME - Control Efectivo ISO 27001","OBSERVACIÓN - Revisar Controles")))</f>
        <v/>
      </c>
    </row>
    <row r="258">
      <c r="A258" s="99"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c r="AD258">
        <f>IF(AND(Y258="",Z258="",AA258="",AB258="",AC258=""),"",IF(OR(LEFT(AA258,2)="L0",LEFT(AA258,2)="L1",Y258="No Iniciado"),"CRÍTICO - Incumplimiento Normativo SEPS",IF(AND(Y258="Implementado",Z258&lt;&gt;"",OR(LEFT(AA258,2)="L4",LEFT(AA258,2)="L5"),AB258&lt;&gt;"",AC258&lt;&gt;"",AC258&lt;&gt;"N/A"),"CONFORME - Control Efectivo ISO 27001","OBSERVACIÓN - Revisar Controles")))</f>
        <v/>
      </c>
    </row>
    <row r="259">
      <c r="A259" s="99"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c r="AD259">
        <f>IF(AND(Y259="",Z259="",AA259="",AB259="",AC259=""),"",IF(OR(LEFT(AA259,2)="L0",LEFT(AA259,2)="L1",Y259="No Iniciado"),"CRÍTICO - Incumplimiento Normativo SEPS",IF(AND(Y259="Implementado",Z259&lt;&gt;"",OR(LEFT(AA259,2)="L4",LEFT(AA259,2)="L5"),AB259&lt;&gt;"",AC259&lt;&gt;"",AC259&lt;&gt;"N/A"),"CONFORME - Control Efectivo ISO 27001","OBSERVACIÓN - Revisar Controles")))</f>
        <v/>
      </c>
    </row>
    <row r="260">
      <c r="A260" s="99"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c r="AD260">
        <f>IF(AND(Y260="",Z260="",AA260="",AB260="",AC260=""),"",IF(OR(LEFT(AA260,2)="L0",LEFT(AA260,2)="L1",Y260="No Iniciado"),"CRÍTICO - Incumplimiento Normativo SEPS",IF(AND(Y260="Implementado",Z260&lt;&gt;"",OR(LEFT(AA260,2)="L4",LEFT(AA260,2)="L5"),AB260&lt;&gt;"",AC260&lt;&gt;"",AC260&lt;&gt;"N/A"),"CONFORME - Control Efectivo ISO 27001","OBSERVACIÓN - Revisar Controles")))</f>
        <v/>
      </c>
    </row>
    <row r="261">
      <c r="A261" s="99"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c r="AD261">
        <f>IF(AND(Y261="",Z261="",AA261="",AB261="",AC261=""),"",IF(OR(LEFT(AA261,2)="L0",LEFT(AA261,2)="L1",Y261="No Iniciado"),"CRÍTICO - Incumplimiento Normativo SEPS",IF(AND(Y261="Implementado",Z261&lt;&gt;"",OR(LEFT(AA261,2)="L4",LEFT(AA261,2)="L5"),AB261&lt;&gt;"",AC261&lt;&gt;"",AC261&lt;&gt;"N/A"),"CONFORME - Control Efectivo ISO 27001","OBSERVACIÓN - Revisar Controles")))</f>
        <v/>
      </c>
    </row>
    <row r="262">
      <c r="A262" s="99"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c r="AD262">
        <f>IF(AND(Y262="",Z262="",AA262="",AB262="",AC262=""),"",IF(OR(LEFT(AA262,2)="L0",LEFT(AA262,2)="L1",Y262="No Iniciado"),"CRÍTICO - Incumplimiento Normativo SEPS",IF(AND(Y262="Implementado",Z262&lt;&gt;"",OR(LEFT(AA262,2)="L4",LEFT(AA262,2)="L5"),AB262&lt;&gt;"",AC262&lt;&gt;"",AC262&lt;&gt;"N/A"),"CONFORME - Control Efectivo ISO 27001","OBSERVACIÓN - Revisar Controles")))</f>
        <v/>
      </c>
    </row>
    <row r="263">
      <c r="A263" s="99"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c r="AD263">
        <f>IF(AND(Y263="",Z263="",AA263="",AB263="",AC263=""),"",IF(OR(LEFT(AA263,2)="L0",LEFT(AA263,2)="L1",Y263="No Iniciado"),"CRÍTICO - Incumplimiento Normativo SEPS",IF(AND(Y263="Implementado",Z263&lt;&gt;"",OR(LEFT(AA263,2)="L4",LEFT(AA263,2)="L5"),AB263&lt;&gt;"",AC263&lt;&gt;"",AC263&lt;&gt;"N/A"),"CONFORME - Control Efectivo ISO 27001","OBSERVACIÓN - Revisar Controles")))</f>
        <v/>
      </c>
    </row>
    <row r="264" ht="20.45" customHeight="1" s="106">
      <c r="A264" s="99"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c r="AD264">
        <f>IF(AND(Y264="",Z264="",AA264="",AB264="",AC264=""),"",IF(OR(LEFT(AA264,2)="L0",LEFT(AA264,2)="L1",Y264="No Iniciado"),"CRÍTICO - Incumplimiento Normativo SEPS",IF(AND(Y264="Implementado",Z264&lt;&gt;"",OR(LEFT(AA264,2)="L4",LEFT(AA264,2)="L5"),AB264&lt;&gt;"",AC264&lt;&gt;"",AC264&lt;&gt;"N/A"),"CONFORME - Control Efectivo ISO 27001","OBSERVACIÓN - Revisar Controles")))</f>
        <v/>
      </c>
    </row>
    <row r="265">
      <c r="A265" s="99"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c r="AD265">
        <f>IF(AND(Y265="",Z265="",AA265="",AB265="",AC265=""),"",IF(OR(LEFT(AA265,2)="L0",LEFT(AA265,2)="L1",Y265="No Iniciado"),"CRÍTICO - Incumplimiento Normativo SEPS",IF(AND(Y265="Implementado",Z265&lt;&gt;"",OR(LEFT(AA265,2)="L4",LEFT(AA265,2)="L5"),AB265&lt;&gt;"",AC265&lt;&gt;"",AC265&lt;&gt;"N/A"),"CONFORME - Control Efectivo ISO 27001","OBSERVACIÓN - Revisar Controles")))</f>
        <v/>
      </c>
    </row>
    <row r="266">
      <c r="A266" s="99"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c r="AD266">
        <f>IF(AND(Y266="",Z266="",AA266="",AB266="",AC266=""),"",IF(OR(LEFT(AA266,2)="L0",LEFT(AA266,2)="L1",Y266="No Iniciado"),"CRÍTICO - Incumplimiento Normativo SEPS",IF(AND(Y266="Implementado",Z266&lt;&gt;"",OR(LEFT(AA266,2)="L4",LEFT(AA266,2)="L5"),AB266&lt;&gt;"",AC266&lt;&gt;"",AC266&lt;&gt;"N/A"),"CONFORME - Control Efectivo ISO 27001","OBSERVACIÓN - Revisar Controles")))</f>
        <v/>
      </c>
    </row>
    <row r="267">
      <c r="A267" s="99"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c r="AD267">
        <f>IF(AND(Y267="",Z267="",AA267="",AB267="",AC267=""),"",IF(OR(LEFT(AA267,2)="L0",LEFT(AA267,2)="L1",Y267="No Iniciado"),"CRÍTICO - Incumplimiento Normativo SEPS",IF(AND(Y267="Implementado",Z267&lt;&gt;"",OR(LEFT(AA267,2)="L4",LEFT(AA267,2)="L5"),AB267&lt;&gt;"",AC267&lt;&gt;"",AC267&lt;&gt;"N/A"),"CONFORME - Control Efectivo ISO 27001","OBSERVACIÓN - Revisar Controles")))</f>
        <v/>
      </c>
    </row>
    <row r="268">
      <c r="A268" s="99"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c r="AD268">
        <f>IF(AND(Y268="",Z268="",AA268="",AB268="",AC268=""),"",IF(OR(LEFT(AA268,2)="L0",LEFT(AA268,2)="L1",Y268="No Iniciado"),"CRÍTICO - Incumplimiento Normativo SEPS",IF(AND(Y268="Implementado",Z268&lt;&gt;"",OR(LEFT(AA268,2)="L4",LEFT(AA268,2)="L5"),AB268&lt;&gt;"",AC268&lt;&gt;"",AC268&lt;&gt;"N/A"),"CONFORME - Control Efectivo ISO 27001","OBSERVACIÓN - Revisar Controles")))</f>
        <v/>
      </c>
    </row>
    <row r="269" ht="20.45" customHeight="1" s="106">
      <c r="A269" s="99"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c r="AD269">
        <f>IF(AND(Y269="",Z269="",AA269="",AB269="",AC269=""),"",IF(OR(LEFT(AA269,2)="L0",LEFT(AA269,2)="L1",Y269="No Iniciado"),"CRÍTICO - Incumplimiento Normativo SEPS",IF(AND(Y269="Implementado",Z269&lt;&gt;"",OR(LEFT(AA269,2)="L4",LEFT(AA269,2)="L5"),AB269&lt;&gt;"",AC269&lt;&gt;"",AC269&lt;&gt;"N/A"),"CONFORME - Control Efectivo ISO 27001","OBSERVACIÓN - Revisar Controles")))</f>
        <v/>
      </c>
    </row>
    <row r="270">
      <c r="A270" s="99"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c r="AD270">
        <f>IF(AND(Y270="",Z270="",AA270="",AB270="",AC270=""),"",IF(OR(LEFT(AA270,2)="L0",LEFT(AA270,2)="L1",Y270="No Iniciado"),"CRÍTICO - Incumplimiento Normativo SEPS",IF(AND(Y270="Implementado",Z270&lt;&gt;"",OR(LEFT(AA270,2)="L4",LEFT(AA270,2)="L5"),AB270&lt;&gt;"",AC270&lt;&gt;"",AC270&lt;&gt;"N/A"),"CONFORME - Control Efectivo ISO 27001","OBSERVACIÓN - Revisar Controles")))</f>
        <v/>
      </c>
    </row>
    <row r="271">
      <c r="A271" s="99"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c r="AD271">
        <f>IF(AND(Y271="",Z271="",AA271="",AB271="",AC271=""),"",IF(OR(LEFT(AA271,2)="L0",LEFT(AA271,2)="L1",Y271="No Iniciado"),"CRÍTICO - Incumplimiento Normativo SEPS",IF(AND(Y271="Implementado",Z271&lt;&gt;"",OR(LEFT(AA271,2)="L4",LEFT(AA271,2)="L5"),AB271&lt;&gt;"",AC271&lt;&gt;"",AC271&lt;&gt;"N/A"),"CONFORME - Control Efectivo ISO 27001","OBSERVACIÓN - Revisar Controles")))</f>
        <v/>
      </c>
    </row>
    <row r="272">
      <c r="A272" s="99"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c r="AD272">
        <f>IF(AND(Y272="",Z272="",AA272="",AB272="",AC272=""),"",IF(OR(LEFT(AA272,2)="L0",LEFT(AA272,2)="L1",Y272="No Iniciado"),"CRÍTICO - Incumplimiento Normativo SEPS",IF(AND(Y272="Implementado",Z272&lt;&gt;"",OR(LEFT(AA272,2)="L4",LEFT(AA272,2)="L5"),AB272&lt;&gt;"",AC272&lt;&gt;"",AC272&lt;&gt;"N/A"),"CONFORME - Control Efectivo ISO 27001","OBSERVACIÓN - Revisar Controles")))</f>
        <v/>
      </c>
    </row>
    <row r="273" ht="20.45" customHeight="1" s="106">
      <c r="A273" s="99"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c r="AD273">
        <f>IF(AND(Y273="",Z273="",AA273="",AB273="",AC273=""),"",IF(OR(LEFT(AA273,2)="L0",LEFT(AA273,2)="L1",Y273="No Iniciado"),"CRÍTICO - Incumplimiento Normativo SEPS",IF(AND(Y273="Implementado",Z273&lt;&gt;"",OR(LEFT(AA273,2)="L4",LEFT(AA273,2)="L5"),AB273&lt;&gt;"",AC273&lt;&gt;"",AC273&lt;&gt;"N/A"),"CONFORME - Control Efectivo ISO 27001","OBSERVACIÓN - Revisar Controles")))</f>
        <v/>
      </c>
    </row>
    <row r="274">
      <c r="A274" s="99"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c r="AD274">
        <f>IF(AND(Y274="",Z274="",AA274="",AB274="",AC274=""),"",IF(OR(LEFT(AA274,2)="L0",LEFT(AA274,2)="L1",Y274="No Iniciado"),"CRÍTICO - Incumplimiento Normativo SEPS",IF(AND(Y274="Implementado",Z274&lt;&gt;"",OR(LEFT(AA274,2)="L4",LEFT(AA274,2)="L5"),AB274&lt;&gt;"",AC274&lt;&gt;"",AC274&lt;&gt;"N/A"),"CONFORME - Control Efectivo ISO 27001","OBSERVACIÓN - Revisar Controles")))</f>
        <v/>
      </c>
    </row>
    <row r="275">
      <c r="A275" s="99"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c r="AD275">
        <f>IF(AND(Y275="",Z275="",AA275="",AB275="",AC275=""),"",IF(OR(LEFT(AA275,2)="L0",LEFT(AA275,2)="L1",Y275="No Iniciado"),"CRÍTICO - Incumplimiento Normativo SEPS",IF(AND(Y275="Implementado",Z275&lt;&gt;"",OR(LEFT(AA275,2)="L4",LEFT(AA275,2)="L5"),AB275&lt;&gt;"",AC275&lt;&gt;"",AC275&lt;&gt;"N/A"),"CONFORME - Control Efectivo ISO 27001","OBSERVACIÓN - Revisar Controles")))</f>
        <v/>
      </c>
    </row>
    <row r="276">
      <c r="A276" s="99"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c r="AD276">
        <f>IF(AND(Y276="",Z276="",AA276="",AB276="",AC276=""),"",IF(OR(LEFT(AA276,2)="L0",LEFT(AA276,2)="L1",Y276="No Iniciado"),"CRÍTICO - Incumplimiento Normativo SEPS",IF(AND(Y276="Implementado",Z276&lt;&gt;"",OR(LEFT(AA276,2)="L4",LEFT(AA276,2)="L5"),AB276&lt;&gt;"",AC276&lt;&gt;"",AC276&lt;&gt;"N/A"),"CONFORME - Control Efectivo ISO 27001","OBSERVACIÓN - Revisar Controles")))</f>
        <v/>
      </c>
    </row>
    <row r="277">
      <c r="A277" s="99"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c r="AD277">
        <f>IF(AND(Y277="",Z277="",AA277="",AB277="",AC277=""),"",IF(OR(LEFT(AA277,2)="L0",LEFT(AA277,2)="L1",Y277="No Iniciado"),"CRÍTICO - Incumplimiento Normativo SEPS",IF(AND(Y277="Implementado",Z277&lt;&gt;"",OR(LEFT(AA277,2)="L4",LEFT(AA277,2)="L5"),AB277&lt;&gt;"",AC277&lt;&gt;"",AC277&lt;&gt;"N/A"),"CONFORME - Control Efectivo ISO 27001","OBSERVACIÓN - Revisar Controles")))</f>
        <v/>
      </c>
    </row>
    <row r="278">
      <c r="A278" s="99"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c r="AD278">
        <f>IF(AND(Y278="",Z278="",AA278="",AB278="",AC278=""),"",IF(OR(LEFT(AA278,2)="L0",LEFT(AA278,2)="L1",Y278="No Iniciado"),"CRÍTICO - Incumplimiento Normativo SEPS",IF(AND(Y278="Implementado",Z278&lt;&gt;"",OR(LEFT(AA278,2)="L4",LEFT(AA278,2)="L5"),AB278&lt;&gt;"",AC278&lt;&gt;"",AC278&lt;&gt;"N/A"),"CONFORME - Control Efectivo ISO 27001","OBSERVACIÓN - Revisar Controles")))</f>
        <v/>
      </c>
    </row>
    <row r="279">
      <c r="A279" s="99"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c r="AD279">
        <f>IF(AND(Y279="",Z279="",AA279="",AB279="",AC279=""),"",IF(OR(LEFT(AA279,2)="L0",LEFT(AA279,2)="L1",Y279="No Iniciado"),"CRÍTICO - Incumplimiento Normativo SEPS",IF(AND(Y279="Implementado",Z279&lt;&gt;"",OR(LEFT(AA279,2)="L4",LEFT(AA279,2)="L5"),AB279&lt;&gt;"",AC279&lt;&gt;"",AC279&lt;&gt;"N/A"),"CONFORME - Control Efectivo ISO 27001","OBSERVACIÓN - Revisar Controles")))</f>
        <v/>
      </c>
    </row>
    <row r="280" ht="20.45" customHeight="1" s="106">
      <c r="A280" s="99"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c r="AD280">
        <f>IF(AND(Y280="",Z280="",AA280="",AB280="",AC280=""),"",IF(OR(LEFT(AA280,2)="L0",LEFT(AA280,2)="L1",Y280="No Iniciado"),"CRÍTICO - Incumplimiento Normativo SEPS",IF(AND(Y280="Implementado",Z280&lt;&gt;"",OR(LEFT(AA280,2)="L4",LEFT(AA280,2)="L5"),AB280&lt;&gt;"",AC280&lt;&gt;"",AC280&lt;&gt;"N/A"),"CONFORME - Control Efectivo ISO 27001","OBSERVACIÓN - Revisar Controles")))</f>
        <v/>
      </c>
    </row>
    <row r="281" ht="20.45" customHeight="1" s="106">
      <c r="A281" s="99"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c r="AD281">
        <f>IF(AND(Y281="",Z281="",AA281="",AB281="",AC281=""),"",IF(OR(LEFT(AA281,2)="L0",LEFT(AA281,2)="L1",Y281="No Iniciado"),"CRÍTICO - Incumplimiento Normativo SEPS",IF(AND(Y281="Implementado",Z281&lt;&gt;"",OR(LEFT(AA281,2)="L4",LEFT(AA281,2)="L5"),AB281&lt;&gt;"",AC281&lt;&gt;"",AC281&lt;&gt;"N/A"),"CONFORME - Control Efectivo ISO 27001","OBSERVACIÓN - Revisar Controles")))</f>
        <v/>
      </c>
    </row>
    <row r="282">
      <c r="A282" s="99"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c r="AD282">
        <f>IF(AND(Y282="",Z282="",AA282="",AB282="",AC282=""),"",IF(OR(LEFT(AA282,2)="L0",LEFT(AA282,2)="L1",Y282="No Iniciado"),"CRÍTICO - Incumplimiento Normativo SEPS",IF(AND(Y282="Implementado",Z282&lt;&gt;"",OR(LEFT(AA282,2)="L4",LEFT(AA282,2)="L5"),AB282&lt;&gt;"",AC282&lt;&gt;"",AC282&lt;&gt;"N/A"),"CONFORME - Control Efectivo ISO 27001","OBSERVACIÓN - Revisar Controles")))</f>
        <v/>
      </c>
    </row>
    <row r="283" ht="12" customHeight="1" s="106">
      <c r="A283" s="99"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c r="AD283">
        <f>IF(AND(Y283="",Z283="",AA283="",AB283="",AC283=""),"",IF(OR(LEFT(AA283,2)="L0",LEFT(AA283,2)="L1",Y283="No Iniciado"),"CRÍTICO - Incumplimiento Normativo SEPS",IF(AND(Y283="Implementado",Z283&lt;&gt;"",OR(LEFT(AA283,2)="L4",LEFT(AA283,2)="L5"),AB283&lt;&gt;"",AC283&lt;&gt;"",AC283&lt;&gt;"N/A"),"CONFORME - Control Efectivo ISO 27001","OBSERVACIÓN - Revisar Controles")))</f>
        <v/>
      </c>
    </row>
    <row r="284">
      <c r="A284" s="99"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c r="AD284">
        <f>IF(AND(Y284="",Z284="",AA284="",AB284="",AC284=""),"",IF(OR(LEFT(AA284,2)="L0",LEFT(AA284,2)="L1",Y284="No Iniciado"),"CRÍTICO - Incumplimiento Normativo SEPS",IF(AND(Y284="Implementado",Z284&lt;&gt;"",OR(LEFT(AA284,2)="L4",LEFT(AA284,2)="L5"),AB284&lt;&gt;"",AC284&lt;&gt;"",AC284&lt;&gt;"N/A"),"CONFORME - Control Efectivo ISO 27001","OBSERVACIÓN - Revisar Controles")))</f>
        <v/>
      </c>
    </row>
    <row r="285" ht="30.6" customHeight="1" s="106">
      <c r="A285" s="99"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c r="AD285">
        <f>IF(AND(Y285="",Z285="",AA285="",AB285="",AC285=""),"",IF(OR(LEFT(AA285,2)="L0",LEFT(AA285,2)="L1",Y285="No Iniciado"),"CRÍTICO - Incumplimiento Normativo SEPS",IF(AND(Y285="Implementado",Z285&lt;&gt;"",OR(LEFT(AA285,2)="L4",LEFT(AA285,2)="L5"),AB285&lt;&gt;"",AC285&lt;&gt;"",AC285&lt;&gt;"N/A"),"CONFORME - Control Efectivo ISO 27001","OBSERVACIÓN - Revisar Controles")))</f>
        <v/>
      </c>
    </row>
    <row r="286" ht="12" customHeight="1" s="106">
      <c r="A286" s="99"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c r="AD286">
        <f>IF(AND(Y286="",Z286="",AA286="",AB286="",AC286=""),"",IF(OR(LEFT(AA286,2)="L0",LEFT(AA286,2)="L1",Y286="No Iniciado"),"CRÍTICO - Incumplimiento Normativo SEPS",IF(AND(Y286="Implementado",Z286&lt;&gt;"",OR(LEFT(AA286,2)="L4",LEFT(AA286,2)="L5"),AB286&lt;&gt;"",AC286&lt;&gt;"",AC286&lt;&gt;"N/A"),"CONFORME - Control Efectivo ISO 27001","OBSERVACIÓN - Revisar Controles")))</f>
        <v/>
      </c>
    </row>
    <row r="287" ht="20.45" customHeight="1" s="106">
      <c r="A287" s="99"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c r="AD287">
        <f>IF(AND(Y287="",Z287="",AA287="",AB287="",AC287=""),"",IF(OR(LEFT(AA287,2)="L0",LEFT(AA287,2)="L1",Y287="No Iniciado"),"CRÍTICO - Incumplimiento Normativo SEPS",IF(AND(Y287="Implementado",Z287&lt;&gt;"",OR(LEFT(AA287,2)="L4",LEFT(AA287,2)="L5"),AB287&lt;&gt;"",AC287&lt;&gt;"",AC287&lt;&gt;"N/A"),"CONFORME - Control Efectivo ISO 27001","OBSERVACIÓN - Revisar Controles")))</f>
        <v/>
      </c>
    </row>
    <row r="288">
      <c r="A288" s="99"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c r="AD288">
        <f>IF(AND(Y288="",Z288="",AA288="",AB288="",AC288=""),"",IF(OR(LEFT(AA288,2)="L0",LEFT(AA288,2)="L1",Y288="No Iniciado"),"CRÍTICO - Incumplimiento Normativo SEPS",IF(AND(Y288="Implementado",Z288&lt;&gt;"",OR(LEFT(AA288,2)="L4",LEFT(AA288,2)="L5"),AB288&lt;&gt;"",AC288&lt;&gt;"",AC288&lt;&gt;"N/A"),"CONFORME - Control Efectivo ISO 27001","OBSERVACIÓN - Revisar Controles")))</f>
        <v/>
      </c>
    </row>
    <row r="289">
      <c r="A289" s="99"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c r="AD289">
        <f>IF(AND(Y289="",Z289="",AA289="",AB289="",AC289=""),"",IF(OR(LEFT(AA289,2)="L0",LEFT(AA289,2)="L1",Y289="No Iniciado"),"CRÍTICO - Incumplimiento Normativo SEPS",IF(AND(Y289="Implementado",Z289&lt;&gt;"",OR(LEFT(AA289,2)="L4",LEFT(AA289,2)="L5"),AB289&lt;&gt;"",AC289&lt;&gt;"",AC289&lt;&gt;"N/A"),"CONFORME - Control Efectivo ISO 27001","OBSERVACIÓN - Revisar Controles")))</f>
        <v/>
      </c>
    </row>
    <row r="290">
      <c r="A290" s="99"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c r="AD290">
        <f>IF(AND(Y290="",Z290="",AA290="",AB290="",AC290=""),"",IF(OR(LEFT(AA290,2)="L0",LEFT(AA290,2)="L1",Y290="No Iniciado"),"CRÍTICO - Incumplimiento Normativo SEPS",IF(AND(Y290="Implementado",Z290&lt;&gt;"",OR(LEFT(AA290,2)="L4",LEFT(AA290,2)="L5"),AB290&lt;&gt;"",AC290&lt;&gt;"",AC290&lt;&gt;"N/A"),"CONFORME - Control Efectivo ISO 27001","OBSERVACIÓN - Revisar Controles")))</f>
        <v/>
      </c>
    </row>
    <row r="291">
      <c r="A291" s="99"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c r="AD291">
        <f>IF(AND(Y291="",Z291="",AA291="",AB291="",AC291=""),"",IF(OR(LEFT(AA291,2)="L0",LEFT(AA291,2)="L1",Y291="No Iniciado"),"CRÍTICO - Incumplimiento Normativo SEPS",IF(AND(Y291="Implementado",Z291&lt;&gt;"",OR(LEFT(AA291,2)="L4",LEFT(AA291,2)="L5"),AB291&lt;&gt;"",AC291&lt;&gt;"",AC291&lt;&gt;"N/A"),"CONFORME - Control Efectivo ISO 27001","OBSERVACIÓN - Revisar Controles")))</f>
        <v/>
      </c>
    </row>
    <row r="292">
      <c r="A292" s="99"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c r="AD292">
        <f>IF(AND(Y292="",Z292="",AA292="",AB292="",AC292=""),"",IF(OR(LEFT(AA292,2)="L0",LEFT(AA292,2)="L1",Y292="No Iniciado"),"CRÍTICO - Incumplimiento Normativo SEPS",IF(AND(Y292="Implementado",Z292&lt;&gt;"",OR(LEFT(AA292,2)="L4",LEFT(AA292,2)="L5"),AB292&lt;&gt;"",AC292&lt;&gt;"",AC292&lt;&gt;"N/A"),"CONFORME - Control Efectivo ISO 27001","OBSERVACIÓN - Revisar Controles")))</f>
        <v/>
      </c>
    </row>
    <row r="293" ht="20.45" customHeight="1" s="106">
      <c r="A293" s="99"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c r="AD293">
        <f>IF(AND(Y293="",Z293="",AA293="",AB293="",AC293=""),"",IF(OR(LEFT(AA293,2)="L0",LEFT(AA293,2)="L1",Y293="No Iniciado"),"CRÍTICO - Incumplimiento Normativo SEPS",IF(AND(Y293="Implementado",Z293&lt;&gt;"",OR(LEFT(AA293,2)="L4",LEFT(AA293,2)="L5"),AB293&lt;&gt;"",AC293&lt;&gt;"",AC293&lt;&gt;"N/A"),"CONFORME - Control Efectivo ISO 27001","OBSERVACIÓN - Revisar Controles")))</f>
        <v/>
      </c>
    </row>
    <row r="294">
      <c r="A294" s="99"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c r="AD294">
        <f>IF(AND(Y294="",Z294="",AA294="",AB294="",AC294=""),"",IF(OR(LEFT(AA294,2)="L0",LEFT(AA294,2)="L1",Y294="No Iniciado"),"CRÍTICO - Incumplimiento Normativo SEPS",IF(AND(Y294="Implementado",Z294&lt;&gt;"",OR(LEFT(AA294,2)="L4",LEFT(AA294,2)="L5"),AB294&lt;&gt;"",AC294&lt;&gt;"",AC294&lt;&gt;"N/A"),"CONFORME - Control Efectivo ISO 27001","OBSERVACIÓN - Revisar Controles")))</f>
        <v/>
      </c>
    </row>
    <row r="295">
      <c r="A295" s="99"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c r="AD295">
        <f>IF(AND(Y295="",Z295="",AA295="",AB295="",AC295=""),"",IF(OR(LEFT(AA295,2)="L0",LEFT(AA295,2)="L1",Y295="No Iniciado"),"CRÍTICO - Incumplimiento Normativo SEPS",IF(AND(Y295="Implementado",Z295&lt;&gt;"",OR(LEFT(AA295,2)="L4",LEFT(AA295,2)="L5"),AB295&lt;&gt;"",AC295&lt;&gt;"",AC295&lt;&gt;"N/A"),"CONFORME - Control Efectivo ISO 27001","OBSERVACIÓN - Revisar Controles")))</f>
        <v/>
      </c>
    </row>
    <row r="296">
      <c r="A296" s="99"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c r="AD296">
        <f>IF(AND(Y296="",Z296="",AA296="",AB296="",AC296=""),"",IF(OR(LEFT(AA296,2)="L0",LEFT(AA296,2)="L1",Y296="No Iniciado"),"CRÍTICO - Incumplimiento Normativo SEPS",IF(AND(Y296="Implementado",Z296&lt;&gt;"",OR(LEFT(AA296,2)="L4",LEFT(AA296,2)="L5"),AB296&lt;&gt;"",AC296&lt;&gt;"",AC296&lt;&gt;"N/A"),"CONFORME - Control Efectivo ISO 27001","OBSERVACIÓN - Revisar Controles")))</f>
        <v/>
      </c>
    </row>
    <row r="297">
      <c r="A297" s="99"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c r="AD297">
        <f>IF(AND(Y297="",Z297="",AA297="",AB297="",AC297=""),"",IF(OR(LEFT(AA297,2)="L0",LEFT(AA297,2)="L1",Y297="No Iniciado"),"CRÍTICO - Incumplimiento Normativo SEPS",IF(AND(Y297="Implementado",Z297&lt;&gt;"",OR(LEFT(AA297,2)="L4",LEFT(AA297,2)="L5"),AB297&lt;&gt;"",AC297&lt;&gt;"",AC297&lt;&gt;"N/A"),"CONFORME - Control Efectivo ISO 27001","OBSERVACIÓN - Revisar Controles")))</f>
        <v/>
      </c>
    </row>
    <row r="298">
      <c r="A298" s="99"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c r="AD298">
        <f>IF(AND(Y298="",Z298="",AA298="",AB298="",AC298=""),"",IF(OR(LEFT(AA298,2)="L0",LEFT(AA298,2)="L1",Y298="No Iniciado"),"CRÍTICO - Incumplimiento Normativo SEPS",IF(AND(Y298="Implementado",Z298&lt;&gt;"",OR(LEFT(AA298,2)="L4",LEFT(AA298,2)="L5"),AB298&lt;&gt;"",AC298&lt;&gt;"",AC298&lt;&gt;"N/A"),"CONFORME - Control Efectivo ISO 27001","OBSERVACIÓN - Revisar Controles")))</f>
        <v/>
      </c>
    </row>
    <row r="299">
      <c r="A299" s="99"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c r="AD299">
        <f>IF(AND(Y299="",Z299="",AA299="",AB299="",AC299=""),"",IF(OR(LEFT(AA299,2)="L0",LEFT(AA299,2)="L1",Y299="No Iniciado"),"CRÍTICO - Incumplimiento Normativo SEPS",IF(AND(Y299="Implementado",Z299&lt;&gt;"",OR(LEFT(AA299,2)="L4",LEFT(AA299,2)="L5"),AB299&lt;&gt;"",AC299&lt;&gt;"",AC299&lt;&gt;"N/A"),"CONFORME - Control Efectivo ISO 27001","OBSERVACIÓN - Revisar Controles")))</f>
        <v/>
      </c>
    </row>
    <row r="300">
      <c r="A300" s="99"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c r="AD300">
        <f>IF(AND(Y300="",Z300="",AA300="",AB300="",AC300=""),"",IF(OR(LEFT(AA300,2)="L0",LEFT(AA300,2)="L1",Y300="No Iniciado"),"CRÍTICO - Incumplimiento Normativo SEPS",IF(AND(Y300="Implementado",Z300&lt;&gt;"",OR(LEFT(AA300,2)="L4",LEFT(AA300,2)="L5"),AB300&lt;&gt;"",AC300&lt;&gt;"",AC300&lt;&gt;"N/A"),"CONFORME - Control Efectivo ISO 27001","OBSERVACIÓN - Revisar Controles")))</f>
        <v/>
      </c>
    </row>
    <row r="301">
      <c r="A301" s="99"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c r="AD301">
        <f>IF(AND(Y301="",Z301="",AA301="",AB301="",AC301=""),"",IF(OR(LEFT(AA301,2)="L0",LEFT(AA301,2)="L1",Y301="No Iniciado"),"CRÍTICO - Incumplimiento Normativo SEPS",IF(AND(Y301="Implementado",Z301&lt;&gt;"",OR(LEFT(AA301,2)="L4",LEFT(AA301,2)="L5"),AB301&lt;&gt;"",AC301&lt;&gt;"",AC301&lt;&gt;"N/A"),"CONFORME - Control Efectivo ISO 27001","OBSERVACIÓN - Revisar Controles")))</f>
        <v/>
      </c>
    </row>
    <row r="302">
      <c r="A302" s="99"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c r="AD302">
        <f>IF(AND(Y302="",Z302="",AA302="",AB302="",AC302=""),"",IF(OR(LEFT(AA302,2)="L0",LEFT(AA302,2)="L1",Y302="No Iniciado"),"CRÍTICO - Incumplimiento Normativo SEPS",IF(AND(Y302="Implementado",Z302&lt;&gt;"",OR(LEFT(AA302,2)="L4",LEFT(AA302,2)="L5"),AB302&lt;&gt;"",AC302&lt;&gt;"",AC302&lt;&gt;"N/A"),"CONFORME - Control Efectivo ISO 27001","OBSERVACIÓN - Revisar Controles")))</f>
        <v/>
      </c>
    </row>
    <row r="303">
      <c r="A303" s="99"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c r="AD303">
        <f>IF(AND(Y303="",Z303="",AA303="",AB303="",AC303=""),"",IF(OR(LEFT(AA303,2)="L0",LEFT(AA303,2)="L1",Y303="No Iniciado"),"CRÍTICO - Incumplimiento Normativo SEPS",IF(AND(Y303="Implementado",Z303&lt;&gt;"",OR(LEFT(AA303,2)="L4",LEFT(AA303,2)="L5"),AB303&lt;&gt;"",AC303&lt;&gt;"",AC303&lt;&gt;"N/A"),"CONFORME - Control Efectivo ISO 27001","OBSERVACIÓN - Revisar Controles")))</f>
        <v/>
      </c>
    </row>
    <row r="304">
      <c r="A304" s="99"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c r="AD304">
        <f>IF(AND(Y304="",Z304="",AA304="",AB304="",AC304=""),"",IF(OR(LEFT(AA304,2)="L0",LEFT(AA304,2)="L1",Y304="No Iniciado"),"CRÍTICO - Incumplimiento Normativo SEPS",IF(AND(Y304="Implementado",Z304&lt;&gt;"",OR(LEFT(AA304,2)="L4",LEFT(AA304,2)="L5"),AB304&lt;&gt;"",AC304&lt;&gt;"",AC304&lt;&gt;"N/A"),"CONFORME - Control Efectivo ISO 27001","OBSERVACIÓN - Revisar Controles")))</f>
        <v/>
      </c>
    </row>
    <row r="305">
      <c r="A305" s="99"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c r="AD305">
        <f>IF(AND(Y305="",Z305="",AA305="",AB305="",AC305=""),"",IF(OR(LEFT(AA305,2)="L0",LEFT(AA305,2)="L1",Y305="No Iniciado"),"CRÍTICO - Incumplimiento Normativo SEPS",IF(AND(Y305="Implementado",Z305&lt;&gt;"",OR(LEFT(AA305,2)="L4",LEFT(AA305,2)="L5"),AB305&lt;&gt;"",AC305&lt;&gt;"",AC305&lt;&gt;"N/A"),"CONFORME - Control Efectivo ISO 27001","OBSERVACIÓN - Revisar Controles")))</f>
        <v/>
      </c>
    </row>
    <row r="306">
      <c r="A306" s="99"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c r="AD306">
        <f>IF(AND(Y306="",Z306="",AA306="",AB306="",AC306=""),"",IF(OR(LEFT(AA306,2)="L0",LEFT(AA306,2)="L1",Y306="No Iniciado"),"CRÍTICO - Incumplimiento Normativo SEPS",IF(AND(Y306="Implementado",Z306&lt;&gt;"",OR(LEFT(AA306,2)="L4",LEFT(AA306,2)="L5"),AB306&lt;&gt;"",AC306&lt;&gt;"",AC306&lt;&gt;"N/A"),"CONFORME - Control Efectivo ISO 27001","OBSERVACIÓN - Revisar Controles")))</f>
        <v/>
      </c>
    </row>
    <row r="307">
      <c r="A307" s="99"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c r="AD307">
        <f>IF(AND(Y307="",Z307="",AA307="",AB307="",AC307=""),"",IF(OR(LEFT(AA307,2)="L0",LEFT(AA307,2)="L1",Y307="No Iniciado"),"CRÍTICO - Incumplimiento Normativo SEPS",IF(AND(Y307="Implementado",Z307&lt;&gt;"",OR(LEFT(AA307,2)="L4",LEFT(AA307,2)="L5"),AB307&lt;&gt;"",AC307&lt;&gt;"",AC307&lt;&gt;"N/A"),"CONFORME - Control Efectivo ISO 27001","OBSERVACIÓN - Revisar Controles")))</f>
        <v/>
      </c>
    </row>
    <row r="308">
      <c r="A308" s="99"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c r="AD308">
        <f>IF(AND(Y308="",Z308="",AA308="",AB308="",AC308=""),"",IF(OR(LEFT(AA308,2)="L0",LEFT(AA308,2)="L1",Y308="No Iniciado"),"CRÍTICO - Incumplimiento Normativo SEPS",IF(AND(Y308="Implementado",Z308&lt;&gt;"",OR(LEFT(AA308,2)="L4",LEFT(AA308,2)="L5"),AB308&lt;&gt;"",AC308&lt;&gt;"",AC308&lt;&gt;"N/A"),"CONFORME - Control Efectivo ISO 27001","OBSERVACIÓN - Revisar Controles")))</f>
        <v/>
      </c>
    </row>
    <row r="309">
      <c r="A309" s="99"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c r="AD309">
        <f>IF(AND(Y309="",Z309="",AA309="",AB309="",AC309=""),"",IF(OR(LEFT(AA309,2)="L0",LEFT(AA309,2)="L1",Y309="No Iniciado"),"CRÍTICO - Incumplimiento Normativo SEPS",IF(AND(Y309="Implementado",Z309&lt;&gt;"",OR(LEFT(AA309,2)="L4",LEFT(AA309,2)="L5"),AB309&lt;&gt;"",AC309&lt;&gt;"",AC309&lt;&gt;"N/A"),"CONFORME - Control Efectivo ISO 27001","OBSERVACIÓN - Revisar Controles")))</f>
        <v/>
      </c>
    </row>
    <row r="310">
      <c r="A310" s="99"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c r="AD310">
        <f>IF(AND(Y310="",Z310="",AA310="",AB310="",AC310=""),"",IF(OR(LEFT(AA310,2)="L0",LEFT(AA310,2)="L1",Y310="No Iniciado"),"CRÍTICO - Incumplimiento Normativo SEPS",IF(AND(Y310="Implementado",Z310&lt;&gt;"",OR(LEFT(AA310,2)="L4",LEFT(AA310,2)="L5"),AB310&lt;&gt;"",AC310&lt;&gt;"",AC310&lt;&gt;"N/A"),"CONFORME - Control Efectivo ISO 27001","OBSERVACIÓN - Revisar Controles")))</f>
        <v/>
      </c>
    </row>
    <row r="311">
      <c r="A311" s="99"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c r="AD311">
        <f>IF(AND(Y311="",Z311="",AA311="",AB311="",AC311=""),"",IF(OR(LEFT(AA311,2)="L0",LEFT(AA311,2)="L1",Y311="No Iniciado"),"CRÍTICO - Incumplimiento Normativo SEPS",IF(AND(Y311="Implementado",Z311&lt;&gt;"",OR(LEFT(AA311,2)="L4",LEFT(AA311,2)="L5"),AB311&lt;&gt;"",AC311&lt;&gt;"",AC311&lt;&gt;"N/A"),"CONFORME - Control Efectivo ISO 27001","OBSERVACIÓN - Revisar Controles")))</f>
        <v/>
      </c>
    </row>
    <row r="312">
      <c r="A312" s="99"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c r="AD312">
        <f>IF(AND(Y312="",Z312="",AA312="",AB312="",AC312=""),"",IF(OR(LEFT(AA312,2)="L0",LEFT(AA312,2)="L1",Y312="No Iniciado"),"CRÍTICO - Incumplimiento Normativo SEPS",IF(AND(Y312="Implementado",Z312&lt;&gt;"",OR(LEFT(AA312,2)="L4",LEFT(AA312,2)="L5"),AB312&lt;&gt;"",AC312&lt;&gt;"",AC312&lt;&gt;"N/A"),"CONFORME - Control Efectivo ISO 27001","OBSERVACIÓN - Revisar Controles")))</f>
        <v/>
      </c>
    </row>
    <row r="313">
      <c r="A313" s="99"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c r="AD313">
        <f>IF(AND(Y313="",Z313="",AA313="",AB313="",AC313=""),"",IF(OR(LEFT(AA313,2)="L0",LEFT(AA313,2)="L1",Y313="No Iniciado"),"CRÍTICO - Incumplimiento Normativo SEPS",IF(AND(Y313="Implementado",Z313&lt;&gt;"",OR(LEFT(AA313,2)="L4",LEFT(AA313,2)="L5"),AB313&lt;&gt;"",AC313&lt;&gt;"",AC313&lt;&gt;"N/A"),"CONFORME - Control Efectivo ISO 27001","OBSERVACIÓN - Revisar Controles")))</f>
        <v/>
      </c>
    </row>
    <row r="314">
      <c r="A314" s="99"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c r="AD314">
        <f>IF(AND(Y314="",Z314="",AA314="",AB314="",AC314=""),"",IF(OR(LEFT(AA314,2)="L0",LEFT(AA314,2)="L1",Y314="No Iniciado"),"CRÍTICO - Incumplimiento Normativo SEPS",IF(AND(Y314="Implementado",Z314&lt;&gt;"",OR(LEFT(AA314,2)="L4",LEFT(AA314,2)="L5"),AB314&lt;&gt;"",AC314&lt;&gt;"",AC314&lt;&gt;"N/A"),"CONFORME - Control Efectivo ISO 27001","OBSERVACIÓN - Revisar Controles")))</f>
        <v/>
      </c>
    </row>
    <row r="315">
      <c r="A315" s="99"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c r="AD315">
        <f>IF(AND(Y315="",Z315="",AA315="",AB315="",AC315=""),"",IF(OR(LEFT(AA315,2)="L0",LEFT(AA315,2)="L1",Y315="No Iniciado"),"CRÍTICO - Incumplimiento Normativo SEPS",IF(AND(Y315="Implementado",Z315&lt;&gt;"",OR(LEFT(AA315,2)="L4",LEFT(AA315,2)="L5"),AB315&lt;&gt;"",AC315&lt;&gt;"",AC315&lt;&gt;"N/A"),"CONFORME - Control Efectivo ISO 27001","OBSERVACIÓN - Revisar Controles")))</f>
        <v/>
      </c>
    </row>
    <row r="316">
      <c r="A316" s="99"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c r="AD316">
        <f>IF(AND(Y316="",Z316="",AA316="",AB316="",AC316=""),"",IF(OR(LEFT(AA316,2)="L0",LEFT(AA316,2)="L1",Y316="No Iniciado"),"CRÍTICO - Incumplimiento Normativo SEPS",IF(AND(Y316="Implementado",Z316&lt;&gt;"",OR(LEFT(AA316,2)="L4",LEFT(AA316,2)="L5"),AB316&lt;&gt;"",AC316&lt;&gt;"",AC316&lt;&gt;"N/A"),"CONFORME - Control Efectivo ISO 27001","OBSERVACIÓN - Revisar Controles")))</f>
        <v/>
      </c>
    </row>
    <row r="317">
      <c r="A317" s="99"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c r="AD317">
        <f>IF(AND(Y317="",Z317="",AA317="",AB317="",AC317=""),"",IF(OR(LEFT(AA317,2)="L0",LEFT(AA317,2)="L1",Y317="No Iniciado"),"CRÍTICO - Incumplimiento Normativo SEPS",IF(AND(Y317="Implementado",Z317&lt;&gt;"",OR(LEFT(AA317,2)="L4",LEFT(AA317,2)="L5"),AB317&lt;&gt;"",AC317&lt;&gt;"",AC317&lt;&gt;"N/A"),"CONFORME - Control Efectivo ISO 27001","OBSERVACIÓN - Revisar Controles")))</f>
        <v/>
      </c>
    </row>
    <row r="318">
      <c r="A318" s="99"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c r="AD318">
        <f>IF(AND(Y318="",Z318="",AA318="",AB318="",AC318=""),"",IF(OR(LEFT(AA318,2)="L0",LEFT(AA318,2)="L1",Y318="No Iniciado"),"CRÍTICO - Incumplimiento Normativo SEPS",IF(AND(Y318="Implementado",Z318&lt;&gt;"",OR(LEFT(AA318,2)="L4",LEFT(AA318,2)="L5"),AB318&lt;&gt;"",AC318&lt;&gt;"",AC318&lt;&gt;"N/A"),"CONFORME - Control Efectivo ISO 27001","OBSERVACIÓN - Revisar Controles")))</f>
        <v/>
      </c>
    </row>
    <row r="319">
      <c r="A319" s="99"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c r="AD319">
        <f>IF(AND(Y319="",Z319="",AA319="",AB319="",AC319=""),"",IF(OR(LEFT(AA319,2)="L0",LEFT(AA319,2)="L1",Y319="No Iniciado"),"CRÍTICO - Incumplimiento Normativo SEPS",IF(AND(Y319="Implementado",Z319&lt;&gt;"",OR(LEFT(AA319,2)="L4",LEFT(AA319,2)="L5"),AB319&lt;&gt;"",AC319&lt;&gt;"",AC319&lt;&gt;"N/A"),"CONFORME - Control Efectivo ISO 27001","OBSERVACIÓN - Revisar Controles")))</f>
        <v/>
      </c>
    </row>
    <row r="320">
      <c r="A320" s="99"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c r="AD320">
        <f>IF(AND(Y320="",Z320="",AA320="",AB320="",AC320=""),"",IF(OR(LEFT(AA320,2)="L0",LEFT(AA320,2)="L1",Y320="No Iniciado"),"CRÍTICO - Incumplimiento Normativo SEPS",IF(AND(Y320="Implementado",Z320&lt;&gt;"",OR(LEFT(AA320,2)="L4",LEFT(AA320,2)="L5"),AB320&lt;&gt;"",AC320&lt;&gt;"",AC320&lt;&gt;"N/A"),"CONFORME - Control Efectivo ISO 27001","OBSERVACIÓN - Revisar Controles")))</f>
        <v/>
      </c>
    </row>
    <row r="321">
      <c r="A321" s="99"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c r="AD321">
        <f>IF(AND(Y321="",Z321="",AA321="",AB321="",AC321=""),"",IF(OR(LEFT(AA321,2)="L0",LEFT(AA321,2)="L1",Y321="No Iniciado"),"CRÍTICO - Incumplimiento Normativo SEPS",IF(AND(Y321="Implementado",Z321&lt;&gt;"",OR(LEFT(AA321,2)="L4",LEFT(AA321,2)="L5"),AB321&lt;&gt;"",AC321&lt;&gt;"",AC321&lt;&gt;"N/A"),"CONFORME - Control Efectivo ISO 27001","OBSERVACIÓN - Revisar Controles")))</f>
        <v/>
      </c>
    </row>
    <row r="322">
      <c r="A322" s="99"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c r="AD322">
        <f>IF(AND(Y322="",Z322="",AA322="",AB322="",AC322=""),"",IF(OR(LEFT(AA322,2)="L0",LEFT(AA322,2)="L1",Y322="No Iniciado"),"CRÍTICO - Incumplimiento Normativo SEPS",IF(AND(Y322="Implementado",Z322&lt;&gt;"",OR(LEFT(AA322,2)="L4",LEFT(AA322,2)="L5"),AB322&lt;&gt;"",AC322&lt;&gt;"",AC322&lt;&gt;"N/A"),"CONFORME - Control Efectivo ISO 27001","OBSERVACIÓN - Revisar Controles")))</f>
        <v/>
      </c>
    </row>
    <row r="323">
      <c r="A323" s="99"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c r="AD323">
        <f>IF(AND(Y323="",Z323="",AA323="",AB323="",AC323=""),"",IF(OR(LEFT(AA323,2)="L0",LEFT(AA323,2)="L1",Y323="No Iniciado"),"CRÍTICO - Incumplimiento Normativo SEPS",IF(AND(Y323="Implementado",Z323&lt;&gt;"",OR(LEFT(AA323,2)="L4",LEFT(AA323,2)="L5"),AB323&lt;&gt;"",AC323&lt;&gt;"",AC323&lt;&gt;"N/A"),"CONFORME - Control Efectivo ISO 27001","OBSERVACIÓN - Revisar Controles")))</f>
        <v/>
      </c>
    </row>
    <row r="324">
      <c r="A324" s="99"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c r="AD324">
        <f>IF(AND(Y324="",Z324="",AA324="",AB324="",AC324=""),"",IF(OR(LEFT(AA324,2)="L0",LEFT(AA324,2)="L1",Y324="No Iniciado"),"CRÍTICO - Incumplimiento Normativo SEPS",IF(AND(Y324="Implementado",Z324&lt;&gt;"",OR(LEFT(AA324,2)="L4",LEFT(AA324,2)="L5"),AB324&lt;&gt;"",AC324&lt;&gt;"",AC324&lt;&gt;"N/A"),"CONFORME - Control Efectivo ISO 27001","OBSERVACIÓN - Revisar Controles")))</f>
        <v/>
      </c>
    </row>
    <row r="325">
      <c r="A325" s="99"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c r="AD325">
        <f>IF(AND(Y325="",Z325="",AA325="",AB325="",AC325=""),"",IF(OR(LEFT(AA325,2)="L0",LEFT(AA325,2)="L1",Y325="No Iniciado"),"CRÍTICO - Incumplimiento Normativo SEPS",IF(AND(Y325="Implementado",Z325&lt;&gt;"",OR(LEFT(AA325,2)="L4",LEFT(AA325,2)="L5"),AB325&lt;&gt;"",AC325&lt;&gt;"",AC325&lt;&gt;"N/A"),"CONFORME - Control Efectivo ISO 27001","OBSERVACIÓN - Revisar Controles")))</f>
        <v/>
      </c>
    </row>
    <row r="326">
      <c r="A326" s="99"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c r="AD326">
        <f>IF(AND(Y326="",Z326="",AA326="",AB326="",AC326=""),"",IF(OR(LEFT(AA326,2)="L0",LEFT(AA326,2)="L1",Y326="No Iniciado"),"CRÍTICO - Incumplimiento Normativo SEPS",IF(AND(Y326="Implementado",Z326&lt;&gt;"",OR(LEFT(AA326,2)="L4",LEFT(AA326,2)="L5"),AB326&lt;&gt;"",AC326&lt;&gt;"",AC326&lt;&gt;"N/A"),"CONFORME - Control Efectivo ISO 27001","OBSERVACIÓN - Revisar Controles")))</f>
        <v/>
      </c>
    </row>
    <row r="327">
      <c r="A327" s="99"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c r="AD327">
        <f>IF(AND(Y327="",Z327="",AA327="",AB327="",AC327=""),"",IF(OR(LEFT(AA327,2)="L0",LEFT(AA327,2)="L1",Y327="No Iniciado"),"CRÍTICO - Incumplimiento Normativo SEPS",IF(AND(Y327="Implementado",Z327&lt;&gt;"",OR(LEFT(AA327,2)="L4",LEFT(AA327,2)="L5"),AB327&lt;&gt;"",AC327&lt;&gt;"",AC327&lt;&gt;"N/A"),"CONFORME - Control Efectivo ISO 27001","OBSERVACIÓN - Revisar Controles")))</f>
        <v/>
      </c>
    </row>
    <row r="328" ht="20.45" customHeight="1" s="106">
      <c r="A328" s="99"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c r="AD328">
        <f>IF(AND(Y328="",Z328="",AA328="",AB328="",AC328=""),"",IF(OR(LEFT(AA328,2)="L0",LEFT(AA328,2)="L1",Y328="No Iniciado"),"CRÍTICO - Incumplimiento Normativo SEPS",IF(AND(Y328="Implementado",Z328&lt;&gt;"",OR(LEFT(AA328,2)="L4",LEFT(AA328,2)="L5"),AB328&lt;&gt;"",AC328&lt;&gt;"",AC328&lt;&gt;"N/A"),"CONFORME - Control Efectivo ISO 27001","OBSERVACIÓN - Revisar Controles")))</f>
        <v/>
      </c>
    </row>
    <row r="329">
      <c r="A329" s="99"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c r="AD329">
        <f>IF(AND(Y329="",Z329="",AA329="",AB329="",AC329=""),"",IF(OR(LEFT(AA329,2)="L0",LEFT(AA329,2)="L1",Y329="No Iniciado"),"CRÍTICO - Incumplimiento Normativo SEPS",IF(AND(Y329="Implementado",Z329&lt;&gt;"",OR(LEFT(AA329,2)="L4",LEFT(AA329,2)="L5"),AB329&lt;&gt;"",AC329&lt;&gt;"",AC329&lt;&gt;"N/A"),"CONFORME - Control Efectivo ISO 27001","OBSERVACIÓN - Revisar Controles")))</f>
        <v/>
      </c>
    </row>
    <row r="330" ht="20.45" customHeight="1" s="106">
      <c r="A330" s="99"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c r="AD330">
        <f>IF(AND(Y330="",Z330="",AA330="",AB330="",AC330=""),"",IF(OR(LEFT(AA330,2)="L0",LEFT(AA330,2)="L1",Y330="No Iniciado"),"CRÍTICO - Incumplimiento Normativo SEPS",IF(AND(Y330="Implementado",Z330&lt;&gt;"",OR(LEFT(AA330,2)="L4",LEFT(AA330,2)="L5"),AB330&lt;&gt;"",AC330&lt;&gt;"",AC330&lt;&gt;"N/A"),"CONFORME - Control Efectivo ISO 27001","OBSERVACIÓN - Revisar Controles")))</f>
        <v/>
      </c>
    </row>
    <row r="331">
      <c r="A331" s="99"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c r="AD331">
        <f>IF(AND(Y331="",Z331="",AA331="",AB331="",AC331=""),"",IF(OR(LEFT(AA331,2)="L0",LEFT(AA331,2)="L1",Y331="No Iniciado"),"CRÍTICO - Incumplimiento Normativo SEPS",IF(AND(Y331="Implementado",Z331&lt;&gt;"",OR(LEFT(AA331,2)="L4",LEFT(AA331,2)="L5"),AB331&lt;&gt;"",AC331&lt;&gt;"",AC331&lt;&gt;"N/A"),"CONFORME - Control Efectivo ISO 27001","OBSERVACIÓN - Revisar Controles")))</f>
        <v/>
      </c>
    </row>
    <row r="332">
      <c r="A332" s="99"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c r="AD332">
        <f>IF(AND(Y332="",Z332="",AA332="",AB332="",AC332=""),"",IF(OR(LEFT(AA332,2)="L0",LEFT(AA332,2)="L1",Y332="No Iniciado"),"CRÍTICO - Incumplimiento Normativo SEPS",IF(AND(Y332="Implementado",Z332&lt;&gt;"",OR(LEFT(AA332,2)="L4",LEFT(AA332,2)="L5"),AB332&lt;&gt;"",AC332&lt;&gt;"",AC332&lt;&gt;"N/A"),"CONFORME - Control Efectivo ISO 27001","OBSERVACIÓN - Revisar Controles")))</f>
        <v/>
      </c>
    </row>
    <row r="333">
      <c r="A333" s="99"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c r="AD333">
        <f>IF(AND(Y333="",Z333="",AA333="",AB333="",AC333=""),"",IF(OR(LEFT(AA333,2)="L0",LEFT(AA333,2)="L1",Y333="No Iniciado"),"CRÍTICO - Incumplimiento Normativo SEPS",IF(AND(Y333="Implementado",Z333&lt;&gt;"",OR(LEFT(AA333,2)="L4",LEFT(AA333,2)="L5"),AB333&lt;&gt;"",AC333&lt;&gt;"",AC333&lt;&gt;"N/A"),"CONFORME - Control Efectivo ISO 27001","OBSERVACIÓN - Revisar Controles")))</f>
        <v/>
      </c>
    </row>
    <row r="334">
      <c r="A334" s="99"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c r="AD334">
        <f>IF(AND(Y334="",Z334="",AA334="",AB334="",AC334=""),"",IF(OR(LEFT(AA334,2)="L0",LEFT(AA334,2)="L1",Y334="No Iniciado"),"CRÍTICO - Incumplimiento Normativo SEPS",IF(AND(Y334="Implementado",Z334&lt;&gt;"",OR(LEFT(AA334,2)="L4",LEFT(AA334,2)="L5"),AB334&lt;&gt;"",AC334&lt;&gt;"",AC334&lt;&gt;"N/A"),"CONFORME - Control Efectivo ISO 27001","OBSERVACIÓN - Revisar Controles")))</f>
        <v/>
      </c>
    </row>
    <row r="335" ht="20.45" customHeight="1" s="106">
      <c r="A335" s="99"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c r="AD335">
        <f>IF(AND(Y335="",Z335="",AA335="",AB335="",AC335=""),"",IF(OR(LEFT(AA335,2)="L0",LEFT(AA335,2)="L1",Y335="No Iniciado"),"CRÍTICO - Incumplimiento Normativo SEPS",IF(AND(Y335="Implementado",Z335&lt;&gt;"",OR(LEFT(AA335,2)="L4",LEFT(AA335,2)="L5"),AB335&lt;&gt;"",AC335&lt;&gt;"",AC335&lt;&gt;"N/A"),"CONFORME - Control Efectivo ISO 27001","OBSERVACIÓN - Revisar Controles")))</f>
        <v/>
      </c>
    </row>
    <row r="336">
      <c r="A336" s="99"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c r="AD336">
        <f>IF(AND(Y336="",Z336="",AA336="",AB336="",AC336=""),"",IF(OR(LEFT(AA336,2)="L0",LEFT(AA336,2)="L1",Y336="No Iniciado"),"CRÍTICO - Incumplimiento Normativo SEPS",IF(AND(Y336="Implementado",Z336&lt;&gt;"",OR(LEFT(AA336,2)="L4",LEFT(AA336,2)="L5"),AB336&lt;&gt;"",AC336&lt;&gt;"",AC336&lt;&gt;"N/A"),"CONFORME - Control Efectivo ISO 27001","OBSERVACIÓN - Revisar Controles")))</f>
        <v/>
      </c>
    </row>
    <row r="337">
      <c r="A337" s="99"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c r="AD337">
        <f>IF(AND(Y337="",Z337="",AA337="",AB337="",AC337=""),"",IF(OR(LEFT(AA337,2)="L0",LEFT(AA337,2)="L1",Y337="No Iniciado"),"CRÍTICO - Incumplimiento Normativo SEPS",IF(AND(Y337="Implementado",Z337&lt;&gt;"",OR(LEFT(AA337,2)="L4",LEFT(AA337,2)="L5"),AB337&lt;&gt;"",AC337&lt;&gt;"",AC337&lt;&gt;"N/A"),"CONFORME - Control Efectivo ISO 27001","OBSERVACIÓN - Revisar Controles")))</f>
        <v/>
      </c>
    </row>
    <row r="338" ht="20.45" customHeight="1" s="106">
      <c r="A338" s="99"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c r="AD338">
        <f>IF(AND(Y338="",Z338="",AA338="",AB338="",AC338=""),"",IF(OR(LEFT(AA338,2)="L0",LEFT(AA338,2)="L1",Y338="No Iniciado"),"CRÍTICO - Incumplimiento Normativo SEPS",IF(AND(Y338="Implementado",Z338&lt;&gt;"",OR(LEFT(AA338,2)="L4",LEFT(AA338,2)="L5"),AB338&lt;&gt;"",AC338&lt;&gt;"",AC338&lt;&gt;"N/A"),"CONFORME - Control Efectivo ISO 27001","OBSERVACIÓN - Revisar Controles")))</f>
        <v/>
      </c>
    </row>
    <row r="339">
      <c r="A339" s="99"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c r="AD339">
        <f>IF(AND(Y339="",Z339="",AA339="",AB339="",AC339=""),"",IF(OR(LEFT(AA339,2)="L0",LEFT(AA339,2)="L1",Y339="No Iniciado"),"CRÍTICO - Incumplimiento Normativo SEPS",IF(AND(Y339="Implementado",Z339&lt;&gt;"",OR(LEFT(AA339,2)="L4",LEFT(AA339,2)="L5"),AB339&lt;&gt;"",AC339&lt;&gt;"",AC339&lt;&gt;"N/A"),"CONFORME - Control Efectivo ISO 27001","OBSERVACIÓN - Revisar Controles")))</f>
        <v/>
      </c>
    </row>
    <row r="340">
      <c r="A340" s="99"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c r="AD340">
        <f>IF(AND(Y340="",Z340="",AA340="",AB340="",AC340=""),"",IF(OR(LEFT(AA340,2)="L0",LEFT(AA340,2)="L1",Y340="No Iniciado"),"CRÍTICO - Incumplimiento Normativo SEPS",IF(AND(Y340="Implementado",Z340&lt;&gt;"",OR(LEFT(AA340,2)="L4",LEFT(AA340,2)="L5"),AB340&lt;&gt;"",AC340&lt;&gt;"",AC340&lt;&gt;"N/A"),"CONFORME - Control Efectivo ISO 27001","OBSERVACIÓN - Revisar Controles")))</f>
        <v/>
      </c>
    </row>
    <row r="341" ht="20.45" customHeight="1" s="106">
      <c r="A341" s="99"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c r="AD341">
        <f>IF(AND(Y341="",Z341="",AA341="",AB341="",AC341=""),"",IF(OR(LEFT(AA341,2)="L0",LEFT(AA341,2)="L1",Y341="No Iniciado"),"CRÍTICO - Incumplimiento Normativo SEPS",IF(AND(Y341="Implementado",Z341&lt;&gt;"",OR(LEFT(AA341,2)="L4",LEFT(AA341,2)="L5"),AB341&lt;&gt;"",AC341&lt;&gt;"",AC341&lt;&gt;"N/A"),"CONFORME - Control Efectivo ISO 27001","OBSERVACIÓN - Revisar Controles")))</f>
        <v/>
      </c>
    </row>
    <row r="342" ht="20.45" customHeight="1" s="106">
      <c r="A342" s="99"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c r="AD342">
        <f>IF(AND(Y342="",Z342="",AA342="",AB342="",AC342=""),"",IF(OR(LEFT(AA342,2)="L0",LEFT(AA342,2)="L1",Y342="No Iniciado"),"CRÍTICO - Incumplimiento Normativo SEPS",IF(AND(Y342="Implementado",Z342&lt;&gt;"",OR(LEFT(AA342,2)="L4",LEFT(AA342,2)="L5"),AB342&lt;&gt;"",AC342&lt;&gt;"",AC342&lt;&gt;"N/A"),"CONFORME - Control Efectivo ISO 27001","OBSERVACIÓN - Revisar Controles")))</f>
        <v/>
      </c>
    </row>
    <row r="343">
      <c r="A343" s="99"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c r="AD343">
        <f>IF(AND(Y343="",Z343="",AA343="",AB343="",AC343=""),"",IF(OR(LEFT(AA343,2)="L0",LEFT(AA343,2)="L1",Y343="No Iniciado"),"CRÍTICO - Incumplimiento Normativo SEPS",IF(AND(Y343="Implementado",Z343&lt;&gt;"",OR(LEFT(AA343,2)="L4",LEFT(AA343,2)="L5"),AB343&lt;&gt;"",AC343&lt;&gt;"",AC343&lt;&gt;"N/A"),"CONFORME - Control Efectivo ISO 27001","OBSERVACIÓN - Revisar Controles")))</f>
        <v/>
      </c>
    </row>
    <row r="344" ht="20.45" customHeight="1" s="106">
      <c r="A344" s="99"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c r="AD344">
        <f>IF(AND(Y344="",Z344="",AA344="",AB344="",AC344=""),"",IF(OR(LEFT(AA344,2)="L0",LEFT(AA344,2)="L1",Y344="No Iniciado"),"CRÍTICO - Incumplimiento Normativo SEPS",IF(AND(Y344="Implementado",Z344&lt;&gt;"",OR(LEFT(AA344,2)="L4",LEFT(AA344,2)="L5"),AB344&lt;&gt;"",AC344&lt;&gt;"",AC344&lt;&gt;"N/A"),"CONFORME - Control Efectivo ISO 27001","OBSERVACIÓN - Revisar Controles")))</f>
        <v/>
      </c>
    </row>
    <row r="345">
      <c r="A345" s="99"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c r="AD345">
        <f>IF(AND(Y345="",Z345="",AA345="",AB345="",AC345=""),"",IF(OR(LEFT(AA345,2)="L0",LEFT(AA345,2)="L1",Y345="No Iniciado"),"CRÍTICO - Incumplimiento Normativo SEPS",IF(AND(Y345="Implementado",Z345&lt;&gt;"",OR(LEFT(AA345,2)="L4",LEFT(AA345,2)="L5"),AB345&lt;&gt;"",AC345&lt;&gt;"",AC345&lt;&gt;"N/A"),"CONFORME - Control Efectivo ISO 27001","OBSERVACIÓN - Revisar Controles")))</f>
        <v/>
      </c>
    </row>
    <row r="346">
      <c r="A346" s="99"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c r="AD346">
        <f>IF(AND(Y346="",Z346="",AA346="",AB346="",AC346=""),"",IF(OR(LEFT(AA346,2)="L0",LEFT(AA346,2)="L1",Y346="No Iniciado"),"CRÍTICO - Incumplimiento Normativo SEPS",IF(AND(Y346="Implementado",Z346&lt;&gt;"",OR(LEFT(AA346,2)="L4",LEFT(AA346,2)="L5"),AB346&lt;&gt;"",AC346&lt;&gt;"",AC346&lt;&gt;"N/A"),"CONFORME - Control Efectivo ISO 27001","OBSERVACIÓN - Revisar Controles")))</f>
        <v/>
      </c>
    </row>
    <row r="347">
      <c r="A347" s="99"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c r="AD347">
        <f>IF(AND(Y347="",Z347="",AA347="",AB347="",AC347=""),"",IF(OR(LEFT(AA347,2)="L0",LEFT(AA347,2)="L1",Y347="No Iniciado"),"CRÍTICO - Incumplimiento Normativo SEPS",IF(AND(Y347="Implementado",Z347&lt;&gt;"",OR(LEFT(AA347,2)="L4",LEFT(AA347,2)="L5"),AB347&lt;&gt;"",AC347&lt;&gt;"",AC347&lt;&gt;"N/A"),"CONFORME - Control Efectivo ISO 27001","OBSERVACIÓN - Revisar Controles")))</f>
        <v/>
      </c>
    </row>
    <row r="348">
      <c r="A348" s="99"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c r="AD348">
        <f>IF(AND(Y348="",Z348="",AA348="",AB348="",AC348=""),"",IF(OR(LEFT(AA348,2)="L0",LEFT(AA348,2)="L1",Y348="No Iniciado"),"CRÍTICO - Incumplimiento Normativo SEPS",IF(AND(Y348="Implementado",Z348&lt;&gt;"",OR(LEFT(AA348,2)="L4",LEFT(AA348,2)="L5"),AB348&lt;&gt;"",AC348&lt;&gt;"",AC348&lt;&gt;"N/A"),"CONFORME - Control Efectivo ISO 27001","OBSERVACIÓN - Revisar Controles")))</f>
        <v/>
      </c>
    </row>
    <row r="349">
      <c r="A349" s="99"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c r="AD349">
        <f>IF(AND(Y349="",Z349="",AA349="",AB349="",AC349=""),"",IF(OR(LEFT(AA349,2)="L0",LEFT(AA349,2)="L1",Y349="No Iniciado"),"CRÍTICO - Incumplimiento Normativo SEPS",IF(AND(Y349="Implementado",Z349&lt;&gt;"",OR(LEFT(AA349,2)="L4",LEFT(AA349,2)="L5"),AB349&lt;&gt;"",AC349&lt;&gt;"",AC349&lt;&gt;"N/A"),"CONFORME - Control Efectivo ISO 27001","OBSERVACIÓN - Revisar Controles")))</f>
        <v/>
      </c>
    </row>
    <row r="350">
      <c r="A350" s="99"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c r="AD350">
        <f>IF(AND(Y350="",Z350="",AA350="",AB350="",AC350=""),"",IF(OR(LEFT(AA350,2)="L0",LEFT(AA350,2)="L1",Y350="No Iniciado"),"CRÍTICO - Incumplimiento Normativo SEPS",IF(AND(Y350="Implementado",Z350&lt;&gt;"",OR(LEFT(AA350,2)="L4",LEFT(AA350,2)="L5"),AB350&lt;&gt;"",AC350&lt;&gt;"",AC350&lt;&gt;"N/A"),"CONFORME - Control Efectivo ISO 27001","OBSERVACIÓN - Revisar Controles")))</f>
        <v/>
      </c>
    </row>
    <row r="351">
      <c r="A351" s="99"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c r="AD351">
        <f>IF(AND(Y351="",Z351="",AA351="",AB351="",AC351=""),"",IF(OR(LEFT(AA351,2)="L0",LEFT(AA351,2)="L1",Y351="No Iniciado"),"CRÍTICO - Incumplimiento Normativo SEPS",IF(AND(Y351="Implementado",Z351&lt;&gt;"",OR(LEFT(AA351,2)="L4",LEFT(AA351,2)="L5"),AB351&lt;&gt;"",AC351&lt;&gt;"",AC351&lt;&gt;"N/A"),"CONFORME - Control Efectivo ISO 27001","OBSERVACIÓN - Revisar Controles")))</f>
        <v/>
      </c>
    </row>
    <row r="352">
      <c r="A352" s="99"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c r="AD352">
        <f>IF(AND(Y352="",Z352="",AA352="",AB352="",AC352=""),"",IF(OR(LEFT(AA352,2)="L0",LEFT(AA352,2)="L1",Y352="No Iniciado"),"CRÍTICO - Incumplimiento Normativo SEPS",IF(AND(Y352="Implementado",Z352&lt;&gt;"",OR(LEFT(AA352,2)="L4",LEFT(AA352,2)="L5"),AB352&lt;&gt;"",AC352&lt;&gt;"",AC352&lt;&gt;"N/A"),"CONFORME - Control Efectivo ISO 27001","OBSERVACIÓN - Revisar Controles")))</f>
        <v/>
      </c>
    </row>
    <row r="353">
      <c r="A353" s="99"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c r="AD353">
        <f>IF(AND(Y353="",Z353="",AA353="",AB353="",AC353=""),"",IF(OR(LEFT(AA353,2)="L0",LEFT(AA353,2)="L1",Y353="No Iniciado"),"CRÍTICO - Incumplimiento Normativo SEPS",IF(AND(Y353="Implementado",Z353&lt;&gt;"",OR(LEFT(AA353,2)="L4",LEFT(AA353,2)="L5"),AB353&lt;&gt;"",AC353&lt;&gt;"",AC353&lt;&gt;"N/A"),"CONFORME - Control Efectivo ISO 27001","OBSERVACIÓN - Revisar Controles")))</f>
        <v/>
      </c>
    </row>
    <row r="354">
      <c r="A354" s="99"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c r="AD354">
        <f>IF(AND(Y354="",Z354="",AA354="",AB354="",AC354=""),"",IF(OR(LEFT(AA354,2)="L0",LEFT(AA354,2)="L1",Y354="No Iniciado"),"CRÍTICO - Incumplimiento Normativo SEPS",IF(AND(Y354="Implementado",Z354&lt;&gt;"",OR(LEFT(AA354,2)="L4",LEFT(AA354,2)="L5"),AB354&lt;&gt;"",AC354&lt;&gt;"",AC354&lt;&gt;"N/A"),"CONFORME - Control Efectivo ISO 27001","OBSERVACIÓN - Revisar Controles")))</f>
        <v/>
      </c>
    </row>
    <row r="355">
      <c r="A355" s="99"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c r="AD355">
        <f>IF(AND(Y355="",Z355="",AA355="",AB355="",AC355=""),"",IF(OR(LEFT(AA355,2)="L0",LEFT(AA355,2)="L1",Y355="No Iniciado"),"CRÍTICO - Incumplimiento Normativo SEPS",IF(AND(Y355="Implementado",Z355&lt;&gt;"",OR(LEFT(AA355,2)="L4",LEFT(AA355,2)="L5"),AB355&lt;&gt;"",AC355&lt;&gt;"",AC355&lt;&gt;"N/A"),"CONFORME - Control Efectivo ISO 27001","OBSERVACIÓN - Revisar Controles")))</f>
        <v/>
      </c>
    </row>
    <row r="356">
      <c r="A356" s="99"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c r="AD356">
        <f>IF(AND(Y356="",Z356="",AA356="",AB356="",AC356=""),"",IF(OR(LEFT(AA356,2)="L0",LEFT(AA356,2)="L1",Y356="No Iniciado"),"CRÍTICO - Incumplimiento Normativo SEPS",IF(AND(Y356="Implementado",Z356&lt;&gt;"",OR(LEFT(AA356,2)="L4",LEFT(AA356,2)="L5"),AB356&lt;&gt;"",AC356&lt;&gt;"",AC356&lt;&gt;"N/A"),"CONFORME - Control Efectivo ISO 27001","OBSERVACIÓN - Revisar Controles")))</f>
        <v/>
      </c>
    </row>
    <row r="357">
      <c r="A357" s="99"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c r="AD357">
        <f>IF(AND(Y357="",Z357="",AA357="",AB357="",AC357=""),"",IF(OR(LEFT(AA357,2)="L0",LEFT(AA357,2)="L1",Y357="No Iniciado"),"CRÍTICO - Incumplimiento Normativo SEPS",IF(AND(Y357="Implementado",Z357&lt;&gt;"",OR(LEFT(AA357,2)="L4",LEFT(AA357,2)="L5"),AB357&lt;&gt;"",AC357&lt;&gt;"",AC357&lt;&gt;"N/A"),"CONFORME - Control Efectivo ISO 27001","OBSERVACIÓN - Revisar Controles")))</f>
        <v/>
      </c>
    </row>
    <row r="358">
      <c r="A358" s="99"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c r="AD358">
        <f>IF(AND(Y358="",Z358="",AA358="",AB358="",AC358=""),"",IF(OR(LEFT(AA358,2)="L0",LEFT(AA358,2)="L1",Y358="No Iniciado"),"CRÍTICO - Incumplimiento Normativo SEPS",IF(AND(Y358="Implementado",Z358&lt;&gt;"",OR(LEFT(AA358,2)="L4",LEFT(AA358,2)="L5"),AB358&lt;&gt;"",AC358&lt;&gt;"",AC358&lt;&gt;"N/A"),"CONFORME - Control Efectivo ISO 27001","OBSERVACIÓN - Revisar Controles")))</f>
        <v/>
      </c>
    </row>
    <row r="359">
      <c r="A359" s="99"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c r="AD359">
        <f>IF(AND(Y359="",Z359="",AA359="",AB359="",AC359=""),"",IF(OR(LEFT(AA359,2)="L0",LEFT(AA359,2)="L1",Y359="No Iniciado"),"CRÍTICO - Incumplimiento Normativo SEPS",IF(AND(Y359="Implementado",Z359&lt;&gt;"",OR(LEFT(AA359,2)="L4",LEFT(AA359,2)="L5"),AB359&lt;&gt;"",AC359&lt;&gt;"",AC359&lt;&gt;"N/A"),"CONFORME - Control Efectivo ISO 27001","OBSERVACIÓN - Revisar Controles")))</f>
        <v/>
      </c>
    </row>
    <row r="360">
      <c r="A360" s="99"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c r="AD360">
        <f>IF(AND(Y360="",Z360="",AA360="",AB360="",AC360=""),"",IF(OR(LEFT(AA360,2)="L0",LEFT(AA360,2)="L1",Y360="No Iniciado"),"CRÍTICO - Incumplimiento Normativo SEPS",IF(AND(Y360="Implementado",Z360&lt;&gt;"",OR(LEFT(AA360,2)="L4",LEFT(AA360,2)="L5"),AB360&lt;&gt;"",AC360&lt;&gt;"",AC360&lt;&gt;"N/A"),"CONFORME - Control Efectivo ISO 27001","OBSERVACIÓN - Revisar Controles")))</f>
        <v/>
      </c>
    </row>
    <row r="361">
      <c r="A361" s="99"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c r="AD361">
        <f>IF(AND(Y361="",Z361="",AA361="",AB361="",AC361=""),"",IF(OR(LEFT(AA361,2)="L0",LEFT(AA361,2)="L1",Y361="No Iniciado"),"CRÍTICO - Incumplimiento Normativo SEPS",IF(AND(Y361="Implementado",Z361&lt;&gt;"",OR(LEFT(AA361,2)="L4",LEFT(AA361,2)="L5"),AB361&lt;&gt;"",AC361&lt;&gt;"",AC361&lt;&gt;"N/A"),"CONFORME - Control Efectivo ISO 27001","OBSERVACIÓN - Revisar Controles")))</f>
        <v/>
      </c>
    </row>
    <row r="362">
      <c r="A362" s="99"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c r="AD362">
        <f>IF(AND(Y362="",Z362="",AA362="",AB362="",AC362=""),"",IF(OR(LEFT(AA362,2)="L0",LEFT(AA362,2)="L1",Y362="No Iniciado"),"CRÍTICO - Incumplimiento Normativo SEPS",IF(AND(Y362="Implementado",Z362&lt;&gt;"",OR(LEFT(AA362,2)="L4",LEFT(AA362,2)="L5"),AB362&lt;&gt;"",AC362&lt;&gt;"",AC362&lt;&gt;"N/A"),"CONFORME - Control Efectivo ISO 27001","OBSERVACIÓN - Revisar Controles")))</f>
        <v/>
      </c>
    </row>
    <row r="363">
      <c r="A363" s="99"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c r="AD363">
        <f>IF(AND(Y363="",Z363="",AA363="",AB363="",AC363=""),"",IF(OR(LEFT(AA363,2)="L0",LEFT(AA363,2)="L1",Y363="No Iniciado"),"CRÍTICO - Incumplimiento Normativo SEPS",IF(AND(Y363="Implementado",Z363&lt;&gt;"",OR(LEFT(AA363,2)="L4",LEFT(AA363,2)="L5"),AB363&lt;&gt;"",AC363&lt;&gt;"",AC363&lt;&gt;"N/A"),"CONFORME - Control Efectivo ISO 27001","OBSERVACIÓN - Revisar Controles")))</f>
        <v/>
      </c>
    </row>
    <row r="364">
      <c r="A364" s="99"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c r="AD364">
        <f>IF(AND(Y364="",Z364="",AA364="",AB364="",AC364=""),"",IF(OR(LEFT(AA364,2)="L0",LEFT(AA364,2)="L1",Y364="No Iniciado"),"CRÍTICO - Incumplimiento Normativo SEPS",IF(AND(Y364="Implementado",Z364&lt;&gt;"",OR(LEFT(AA364,2)="L4",LEFT(AA364,2)="L5"),AB364&lt;&gt;"",AC364&lt;&gt;"",AC364&lt;&gt;"N/A"),"CONFORME - Control Efectivo ISO 27001","OBSERVACIÓN - Revisar Controles")))</f>
        <v/>
      </c>
    </row>
    <row r="365">
      <c r="A365" s="99"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c r="AD365">
        <f>IF(AND(Y365="",Z365="",AA365="",AB365="",AC365=""),"",IF(OR(LEFT(AA365,2)="L0",LEFT(AA365,2)="L1",Y365="No Iniciado"),"CRÍTICO - Incumplimiento Normativo SEPS",IF(AND(Y365="Implementado",Z365&lt;&gt;"",OR(LEFT(AA365,2)="L4",LEFT(AA365,2)="L5"),AB365&lt;&gt;"",AC365&lt;&gt;"",AC365&lt;&gt;"N/A"),"CONFORME - Control Efectivo ISO 27001","OBSERVACIÓN - Revisar Controles")))</f>
        <v/>
      </c>
    </row>
    <row r="366">
      <c r="A366" s="99"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c r="AD366">
        <f>IF(AND(Y366="",Z366="",AA366="",AB366="",AC366=""),"",IF(OR(LEFT(AA366,2)="L0",LEFT(AA366,2)="L1",Y366="No Iniciado"),"CRÍTICO - Incumplimiento Normativo SEPS",IF(AND(Y366="Implementado",Z366&lt;&gt;"",OR(LEFT(AA366,2)="L4",LEFT(AA366,2)="L5"),AB366&lt;&gt;"",AC366&lt;&gt;"",AC366&lt;&gt;"N/A"),"CONFORME - Control Efectivo ISO 27001","OBSERVACIÓN - Revisar Controles")))</f>
        <v/>
      </c>
    </row>
    <row r="367">
      <c r="A367" s="99"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c r="AD367">
        <f>IF(AND(Y367="",Z367="",AA367="",AB367="",AC367=""),"",IF(OR(LEFT(AA367,2)="L0",LEFT(AA367,2)="L1",Y367="No Iniciado"),"CRÍTICO - Incumplimiento Normativo SEPS",IF(AND(Y367="Implementado",Z367&lt;&gt;"",OR(LEFT(AA367,2)="L4",LEFT(AA367,2)="L5"),AB367&lt;&gt;"",AC367&lt;&gt;"",AC367&lt;&gt;"N/A"),"CONFORME - Control Efectivo ISO 27001","OBSERVACIÓN - Revisar Controles")))</f>
        <v/>
      </c>
    </row>
    <row r="368">
      <c r="A368" s="99"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c r="AD368">
        <f>IF(AND(Y368="",Z368="",AA368="",AB368="",AC368=""),"",IF(OR(LEFT(AA368,2)="L0",LEFT(AA368,2)="L1",Y368="No Iniciado"),"CRÍTICO - Incumplimiento Normativo SEPS",IF(AND(Y368="Implementado",Z368&lt;&gt;"",OR(LEFT(AA368,2)="L4",LEFT(AA368,2)="L5"),AB368&lt;&gt;"",AC368&lt;&gt;"",AC368&lt;&gt;"N/A"),"CONFORME - Control Efectivo ISO 27001","OBSERVACIÓN - Revisar Controles")))</f>
        <v/>
      </c>
    </row>
    <row r="369">
      <c r="A369" s="99"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c r="AD369">
        <f>IF(AND(Y369="",Z369="",AA369="",AB369="",AC369=""),"",IF(OR(LEFT(AA369,2)="L0",LEFT(AA369,2)="L1",Y369="No Iniciado"),"CRÍTICO - Incumplimiento Normativo SEPS",IF(AND(Y369="Implementado",Z369&lt;&gt;"",OR(LEFT(AA369,2)="L4",LEFT(AA369,2)="L5"),AB369&lt;&gt;"",AC369&lt;&gt;"",AC369&lt;&gt;"N/A"),"CONFORME - Control Efectivo ISO 27001","OBSERVACIÓN - Revisar Controles")))</f>
        <v/>
      </c>
    </row>
    <row r="370">
      <c r="A370" s="99"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c r="AD370">
        <f>IF(AND(Y370="",Z370="",AA370="",AB370="",AC370=""),"",IF(OR(LEFT(AA370,2)="L0",LEFT(AA370,2)="L1",Y370="No Iniciado"),"CRÍTICO - Incumplimiento Normativo SEPS",IF(AND(Y370="Implementado",Z370&lt;&gt;"",OR(LEFT(AA370,2)="L4",LEFT(AA370,2)="L5"),AB370&lt;&gt;"",AC370&lt;&gt;"",AC370&lt;&gt;"N/A"),"CONFORME - Control Efectivo ISO 27001","OBSERVACIÓN - Revisar Controles")))</f>
        <v/>
      </c>
    </row>
    <row r="371">
      <c r="A371" s="99"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c r="AD371">
        <f>IF(AND(Y371="",Z371="",AA371="",AB371="",AC371=""),"",IF(OR(LEFT(AA371,2)="L0",LEFT(AA371,2)="L1",Y371="No Iniciado"),"CRÍTICO - Incumplimiento Normativo SEPS",IF(AND(Y371="Implementado",Z371&lt;&gt;"",OR(LEFT(AA371,2)="L4",LEFT(AA371,2)="L5"),AB371&lt;&gt;"",AC371&lt;&gt;"",AC371&lt;&gt;"N/A"),"CONFORME - Control Efectivo ISO 27001","OBSERVACIÓN - Revisar Controles")))</f>
        <v/>
      </c>
    </row>
    <row r="372">
      <c r="A372" s="99"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c r="AD372">
        <f>IF(AND(Y372="",Z372="",AA372="",AB372="",AC372=""),"",IF(OR(LEFT(AA372,2)="L0",LEFT(AA372,2)="L1",Y372="No Iniciado"),"CRÍTICO - Incumplimiento Normativo SEPS",IF(AND(Y372="Implementado",Z372&lt;&gt;"",OR(LEFT(AA372,2)="L4",LEFT(AA372,2)="L5"),AB372&lt;&gt;"",AC372&lt;&gt;"",AC372&lt;&gt;"N/A"),"CONFORME - Control Efectivo ISO 27001","OBSERVACIÓN - Revisar Controles")))</f>
        <v/>
      </c>
    </row>
    <row r="373">
      <c r="A373" s="99"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c r="AD373">
        <f>IF(AND(Y373="",Z373="",AA373="",AB373="",AC373=""),"",IF(OR(LEFT(AA373,2)="L0",LEFT(AA373,2)="L1",Y373="No Iniciado"),"CRÍTICO - Incumplimiento Normativo SEPS",IF(AND(Y373="Implementado",Z373&lt;&gt;"",OR(LEFT(AA373,2)="L4",LEFT(AA373,2)="L5"),AB373&lt;&gt;"",AC373&lt;&gt;"",AC373&lt;&gt;"N/A"),"CONFORME - Control Efectivo ISO 27001","OBSERVACIÓN - Revisar Controles")))</f>
        <v/>
      </c>
    </row>
    <row r="374">
      <c r="A374" s="99"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c r="AD374">
        <f>IF(AND(Y374="",Z374="",AA374="",AB374="",AC374=""),"",IF(OR(LEFT(AA374,2)="L0",LEFT(AA374,2)="L1",Y374="No Iniciado"),"CRÍTICO - Incumplimiento Normativo SEPS",IF(AND(Y374="Implementado",Z374&lt;&gt;"",OR(LEFT(AA374,2)="L4",LEFT(AA374,2)="L5"),AB374&lt;&gt;"",AC374&lt;&gt;"",AC374&lt;&gt;"N/A"),"CONFORME - Control Efectivo ISO 27001","OBSERVACIÓN - Revisar Controles")))</f>
        <v/>
      </c>
    </row>
    <row r="375">
      <c r="A375" s="99"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c r="AD375">
        <f>IF(AND(Y375="",Z375="",AA375="",AB375="",AC375=""),"",IF(OR(LEFT(AA375,2)="L0",LEFT(AA375,2)="L1",Y375="No Iniciado"),"CRÍTICO - Incumplimiento Normativo SEPS",IF(AND(Y375="Implementado",Z375&lt;&gt;"",OR(LEFT(AA375,2)="L4",LEFT(AA375,2)="L5"),AB375&lt;&gt;"",AC375&lt;&gt;"",AC375&lt;&gt;"N/A"),"CONFORME - Control Efectivo ISO 27001","OBSERVACIÓN - Revisar Controles")))</f>
        <v/>
      </c>
    </row>
    <row r="376">
      <c r="A376" s="99"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c r="AD376">
        <f>IF(AND(Y376="",Z376="",AA376="",AB376="",AC376=""),"",IF(OR(LEFT(AA376,2)="L0",LEFT(AA376,2)="L1",Y376="No Iniciado"),"CRÍTICO - Incumplimiento Normativo SEPS",IF(AND(Y376="Implementado",Z376&lt;&gt;"",OR(LEFT(AA376,2)="L4",LEFT(AA376,2)="L5"),AB376&lt;&gt;"",AC376&lt;&gt;"",AC376&lt;&gt;"N/A"),"CONFORME - Control Efectivo ISO 27001","OBSERVACIÓN - Revisar Controles")))</f>
        <v/>
      </c>
    </row>
    <row r="377">
      <c r="A377" s="99"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c r="AD377">
        <f>IF(AND(Y377="",Z377="",AA377="",AB377="",AC377=""),"",IF(OR(LEFT(AA377,2)="L0",LEFT(AA377,2)="L1",Y377="No Iniciado"),"CRÍTICO - Incumplimiento Normativo SEPS",IF(AND(Y377="Implementado",Z377&lt;&gt;"",OR(LEFT(AA377,2)="L4",LEFT(AA377,2)="L5"),AB377&lt;&gt;"",AC377&lt;&gt;"",AC377&lt;&gt;"N/A"),"CONFORME - Control Efectivo ISO 27001","OBSERVACIÓN - Revisar Controles")))</f>
        <v/>
      </c>
    </row>
    <row r="378">
      <c r="A378" s="99"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c r="AD378">
        <f>IF(AND(Y378="",Z378="",AA378="",AB378="",AC378=""),"",IF(OR(LEFT(AA378,2)="L0",LEFT(AA378,2)="L1",Y378="No Iniciado"),"CRÍTICO - Incumplimiento Normativo SEPS",IF(AND(Y378="Implementado",Z378&lt;&gt;"",OR(LEFT(AA378,2)="L4",LEFT(AA378,2)="L5"),AB378&lt;&gt;"",AC378&lt;&gt;"",AC378&lt;&gt;"N/A"),"CONFORME - Control Efectivo ISO 27001","OBSERVACIÓN - Revisar Controles")))</f>
        <v/>
      </c>
    </row>
    <row r="379">
      <c r="A379" s="99"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c r="AD379">
        <f>IF(AND(Y379="",Z379="",AA379="",AB379="",AC379=""),"",IF(OR(LEFT(AA379,2)="L0",LEFT(AA379,2)="L1",Y379="No Iniciado"),"CRÍTICO - Incumplimiento Normativo SEPS",IF(AND(Y379="Implementado",Z379&lt;&gt;"",OR(LEFT(AA379,2)="L4",LEFT(AA379,2)="L5"),AB379&lt;&gt;"",AC379&lt;&gt;"",AC379&lt;&gt;"N/A"),"CONFORME - Control Efectivo ISO 27001","OBSERVACIÓN - Revisar Controles")))</f>
        <v/>
      </c>
    </row>
    <row r="380">
      <c r="A380" s="99"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c r="AD380">
        <f>IF(AND(Y380="",Z380="",AA380="",AB380="",AC380=""),"",IF(OR(LEFT(AA380,2)="L0",LEFT(AA380,2)="L1",Y380="No Iniciado"),"CRÍTICO - Incumplimiento Normativo SEPS",IF(AND(Y380="Implementado",Z380&lt;&gt;"",OR(LEFT(AA380,2)="L4",LEFT(AA380,2)="L5"),AB380&lt;&gt;"",AC380&lt;&gt;"",AC380&lt;&gt;"N/A"),"CONFORME - Control Efectivo ISO 27001","OBSERVACIÓN - Revisar Controles")))</f>
        <v/>
      </c>
    </row>
    <row r="381">
      <c r="A381" s="99"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c r="AD381">
        <f>IF(AND(Y381="",Z381="",AA381="",AB381="",AC381=""),"",IF(OR(LEFT(AA381,2)="L0",LEFT(AA381,2)="L1",Y381="No Iniciado"),"CRÍTICO - Incumplimiento Normativo SEPS",IF(AND(Y381="Implementado",Z381&lt;&gt;"",OR(LEFT(AA381,2)="L4",LEFT(AA381,2)="L5"),AB381&lt;&gt;"",AC381&lt;&gt;"",AC381&lt;&gt;"N/A"),"CONFORME - Control Efectivo ISO 27001","OBSERVACIÓN - Revisar Controles")))</f>
        <v/>
      </c>
    </row>
    <row r="382">
      <c r="A382" s="99"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c r="AD382">
        <f>IF(AND(Y382="",Z382="",AA382="",AB382="",AC382=""),"",IF(OR(LEFT(AA382,2)="L0",LEFT(AA382,2)="L1",Y382="No Iniciado"),"CRÍTICO - Incumplimiento Normativo SEPS",IF(AND(Y382="Implementado",Z382&lt;&gt;"",OR(LEFT(AA382,2)="L4",LEFT(AA382,2)="L5"),AB382&lt;&gt;"",AC382&lt;&gt;"",AC382&lt;&gt;"N/A"),"CONFORME - Control Efectivo ISO 27001","OBSERVACIÓN - Revisar Controles")))</f>
        <v/>
      </c>
    </row>
    <row r="383">
      <c r="A383" s="99"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c r="AD383">
        <f>IF(AND(Y383="",Z383="",AA383="",AB383="",AC383=""),"",IF(OR(LEFT(AA383,2)="L0",LEFT(AA383,2)="L1",Y383="No Iniciado"),"CRÍTICO - Incumplimiento Normativo SEPS",IF(AND(Y383="Implementado",Z383&lt;&gt;"",OR(LEFT(AA383,2)="L4",LEFT(AA383,2)="L5"),AB383&lt;&gt;"",AC383&lt;&gt;"",AC383&lt;&gt;"N/A"),"CONFORME - Control Efectivo ISO 27001","OBSERVACIÓN - Revisar Controles")))</f>
        <v/>
      </c>
    </row>
    <row r="384">
      <c r="A384" s="99"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c r="AD384">
        <f>IF(AND(Y384="",Z384="",AA384="",AB384="",AC384=""),"",IF(OR(LEFT(AA384,2)="L0",LEFT(AA384,2)="L1",Y384="No Iniciado"),"CRÍTICO - Incumplimiento Normativo SEPS",IF(AND(Y384="Implementado",Z384&lt;&gt;"",OR(LEFT(AA384,2)="L4",LEFT(AA384,2)="L5"),AB384&lt;&gt;"",AC384&lt;&gt;"",AC384&lt;&gt;"N/A"),"CONFORME - Control Efectivo ISO 27001","OBSERVACIÓN - Revisar Controles")))</f>
        <v/>
      </c>
    </row>
    <row r="385">
      <c r="A385" s="99"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c r="AD385">
        <f>IF(AND(Y385="",Z385="",AA385="",AB385="",AC385=""),"",IF(OR(LEFT(AA385,2)="L0",LEFT(AA385,2)="L1",Y385="No Iniciado"),"CRÍTICO - Incumplimiento Normativo SEPS",IF(AND(Y385="Implementado",Z385&lt;&gt;"",OR(LEFT(AA385,2)="L4",LEFT(AA385,2)="L5"),AB385&lt;&gt;"",AC385&lt;&gt;"",AC385&lt;&gt;"N/A"),"CONFORME - Control Efectivo ISO 27001","OBSERVACIÓN - Revisar Controles")))</f>
        <v/>
      </c>
    </row>
    <row r="386">
      <c r="A386" s="99"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c r="AD386">
        <f>IF(AND(Y386="",Z386="",AA386="",AB386="",AC386=""),"",IF(OR(LEFT(AA386,2)="L0",LEFT(AA386,2)="L1",Y386="No Iniciado"),"CRÍTICO - Incumplimiento Normativo SEPS",IF(AND(Y386="Implementado",Z386&lt;&gt;"",OR(LEFT(AA386,2)="L4",LEFT(AA386,2)="L5"),AB386&lt;&gt;"",AC386&lt;&gt;"",AC386&lt;&gt;"N/A"),"CONFORME - Control Efectivo ISO 27001","OBSERVACIÓN - Revisar Controles")))</f>
        <v/>
      </c>
    </row>
    <row r="387">
      <c r="A387" s="99"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c r="AD387">
        <f>IF(AND(Y387="",Z387="",AA387="",AB387="",AC387=""),"",IF(OR(LEFT(AA387,2)="L0",LEFT(AA387,2)="L1",Y387="No Iniciado"),"CRÍTICO - Incumplimiento Normativo SEPS",IF(AND(Y387="Implementado",Z387&lt;&gt;"",OR(LEFT(AA387,2)="L4",LEFT(AA387,2)="L5"),AB387&lt;&gt;"",AC387&lt;&gt;"",AC387&lt;&gt;"N/A"),"CONFORME - Control Efectivo ISO 27001","OBSERVACIÓN - Revisar Controles")))</f>
        <v/>
      </c>
    </row>
    <row r="388">
      <c r="A388" s="99"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c r="AD388">
        <f>IF(AND(Y388="",Z388="",AA388="",AB388="",AC388=""),"",IF(OR(LEFT(AA388,2)="L0",LEFT(AA388,2)="L1",Y388="No Iniciado"),"CRÍTICO - Incumplimiento Normativo SEPS",IF(AND(Y388="Implementado",Z388&lt;&gt;"",OR(LEFT(AA388,2)="L4",LEFT(AA388,2)="L5"),AB388&lt;&gt;"",AC388&lt;&gt;"",AC388&lt;&gt;"N/A"),"CONFORME - Control Efectivo ISO 27001","OBSERVACIÓN - Revisar Controles")))</f>
        <v/>
      </c>
    </row>
    <row r="389">
      <c r="A389" s="99"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c r="AD389">
        <f>IF(AND(Y389="",Z389="",AA389="",AB389="",AC389=""),"",IF(OR(LEFT(AA389,2)="L0",LEFT(AA389,2)="L1",Y389="No Iniciado"),"CRÍTICO - Incumplimiento Normativo SEPS",IF(AND(Y389="Implementado",Z389&lt;&gt;"",OR(LEFT(AA389,2)="L4",LEFT(AA389,2)="L5"),AB389&lt;&gt;"",AC389&lt;&gt;"",AC389&lt;&gt;"N/A"),"CONFORME - Control Efectivo ISO 27001","OBSERVACIÓN - Revisar Controles")))</f>
        <v/>
      </c>
    </row>
    <row r="390">
      <c r="A390" s="99"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c r="AD390">
        <f>IF(AND(Y390="",Z390="",AA390="",AB390="",AC390=""),"",IF(OR(LEFT(AA390,2)="L0",LEFT(AA390,2)="L1",Y390="No Iniciado"),"CRÍTICO - Incumplimiento Normativo SEPS",IF(AND(Y390="Implementado",Z390&lt;&gt;"",OR(LEFT(AA390,2)="L4",LEFT(AA390,2)="L5"),AB390&lt;&gt;"",AC390&lt;&gt;"",AC390&lt;&gt;"N/A"),"CONFORME - Control Efectivo ISO 27001","OBSERVACIÓN - Revisar Controles")))</f>
        <v/>
      </c>
    </row>
    <row r="391">
      <c r="A391" s="99"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c r="AD391">
        <f>IF(AND(Y391="",Z391="",AA391="",AB391="",AC391=""),"",IF(OR(LEFT(AA391,2)="L0",LEFT(AA391,2)="L1",Y391="No Iniciado"),"CRÍTICO - Incumplimiento Normativo SEPS",IF(AND(Y391="Implementado",Z391&lt;&gt;"",OR(LEFT(AA391,2)="L4",LEFT(AA391,2)="L5"),AB391&lt;&gt;"",AC391&lt;&gt;"",AC391&lt;&gt;"N/A"),"CONFORME - Control Efectivo ISO 27001","OBSERVACIÓN - Revisar Controles")))</f>
        <v/>
      </c>
    </row>
    <row r="392">
      <c r="A392" s="99"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c r="AD392">
        <f>IF(AND(Y392="",Z392="",AA392="",AB392="",AC392=""),"",IF(OR(LEFT(AA392,2)="L0",LEFT(AA392,2)="L1",Y392="No Iniciado"),"CRÍTICO - Incumplimiento Normativo SEPS",IF(AND(Y392="Implementado",Z392&lt;&gt;"",OR(LEFT(AA392,2)="L4",LEFT(AA392,2)="L5"),AB392&lt;&gt;"",AC392&lt;&gt;"",AC392&lt;&gt;"N/A"),"CONFORME - Control Efectivo ISO 27001","OBSERVACIÓN - Revisar Controles")))</f>
        <v/>
      </c>
    </row>
    <row r="393">
      <c r="A393" s="99"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c r="AD393">
        <f>IF(AND(Y393="",Z393="",AA393="",AB393="",AC393=""),"",IF(OR(LEFT(AA393,2)="L0",LEFT(AA393,2)="L1",Y393="No Iniciado"),"CRÍTICO - Incumplimiento Normativo SEPS",IF(AND(Y393="Implementado",Z393&lt;&gt;"",OR(LEFT(AA393,2)="L4",LEFT(AA393,2)="L5"),AB393&lt;&gt;"",AC393&lt;&gt;"",AC393&lt;&gt;"N/A"),"CONFORME - Control Efectivo ISO 27001","OBSERVACIÓN - Revisar Controles")))</f>
        <v/>
      </c>
    </row>
    <row r="394">
      <c r="A394" s="99"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c r="AD394">
        <f>IF(AND(Y394="",Z394="",AA394="",AB394="",AC394=""),"",IF(OR(LEFT(AA394,2)="L0",LEFT(AA394,2)="L1",Y394="No Iniciado"),"CRÍTICO - Incumplimiento Normativo SEPS",IF(AND(Y394="Implementado",Z394&lt;&gt;"",OR(LEFT(AA394,2)="L4",LEFT(AA394,2)="L5"),AB394&lt;&gt;"",AC394&lt;&gt;"",AC394&lt;&gt;"N/A"),"CONFORME - Control Efectivo ISO 27001","OBSERVACIÓN - Revisar Controles")))</f>
        <v/>
      </c>
    </row>
    <row r="395">
      <c r="A395" s="99"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c r="AD395">
        <f>IF(AND(Y395="",Z395="",AA395="",AB395="",AC395=""),"",IF(OR(LEFT(AA395,2)="L0",LEFT(AA395,2)="L1",Y395="No Iniciado"),"CRÍTICO - Incumplimiento Normativo SEPS",IF(AND(Y395="Implementado",Z395&lt;&gt;"",OR(LEFT(AA395,2)="L4",LEFT(AA395,2)="L5"),AB395&lt;&gt;"",AC395&lt;&gt;"",AC395&lt;&gt;"N/A"),"CONFORME - Control Efectivo ISO 27001","OBSERVACIÓN - Revisar Controles")))</f>
        <v/>
      </c>
    </row>
    <row r="396">
      <c r="A396" s="99"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c r="AD396">
        <f>IF(AND(Y396="",Z396="",AA396="",AB396="",AC396=""),"",IF(OR(LEFT(AA396,2)="L0",LEFT(AA396,2)="L1",Y396="No Iniciado"),"CRÍTICO - Incumplimiento Normativo SEPS",IF(AND(Y396="Implementado",Z396&lt;&gt;"",OR(LEFT(AA396,2)="L4",LEFT(AA396,2)="L5"),AB396&lt;&gt;"",AC396&lt;&gt;"",AC396&lt;&gt;"N/A"),"CONFORME - Control Efectivo ISO 27001","OBSERVACIÓN - Revisar Controles")))</f>
        <v/>
      </c>
    </row>
    <row r="397">
      <c r="A397" s="99"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c r="AD397">
        <f>IF(AND(Y397="",Z397="",AA397="",AB397="",AC397=""),"",IF(OR(LEFT(AA397,2)="L0",LEFT(AA397,2)="L1",Y397="No Iniciado"),"CRÍTICO - Incumplimiento Normativo SEPS",IF(AND(Y397="Implementado",Z397&lt;&gt;"",OR(LEFT(AA397,2)="L4",LEFT(AA397,2)="L5"),AB397&lt;&gt;"",AC397&lt;&gt;"",AC397&lt;&gt;"N/A"),"CONFORME - Control Efectivo ISO 27001","OBSERVACIÓN - Revisar Controles")))</f>
        <v/>
      </c>
    </row>
    <row r="398">
      <c r="A398" s="99"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c r="AD398">
        <f>IF(AND(Y398="",Z398="",AA398="",AB398="",AC398=""),"",IF(OR(LEFT(AA398,2)="L0",LEFT(AA398,2)="L1",Y398="No Iniciado"),"CRÍTICO - Incumplimiento Normativo SEPS",IF(AND(Y398="Implementado",Z398&lt;&gt;"",OR(LEFT(AA398,2)="L4",LEFT(AA398,2)="L5"),AB398&lt;&gt;"",AC398&lt;&gt;"",AC398&lt;&gt;"N/A"),"CONFORME - Control Efectivo ISO 27001","OBSERVACIÓN - Revisar Controles")))</f>
        <v/>
      </c>
    </row>
    <row r="399">
      <c r="A399" s="99"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c r="AD399">
        <f>IF(AND(Y399="",Z399="",AA399="",AB399="",AC399=""),"",IF(OR(LEFT(AA399,2)="L0",LEFT(AA399,2)="L1",Y399="No Iniciado"),"CRÍTICO - Incumplimiento Normativo SEPS",IF(AND(Y399="Implementado",Z399&lt;&gt;"",OR(LEFT(AA399,2)="L4",LEFT(AA399,2)="L5"),AB399&lt;&gt;"",AC399&lt;&gt;"",AC399&lt;&gt;"N/A"),"CONFORME - Control Efectivo ISO 27001","OBSERVACIÓN - Revisar Controles")))</f>
        <v/>
      </c>
    </row>
    <row r="400">
      <c r="A400" s="99"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c r="AD400">
        <f>IF(AND(Y400="",Z400="",AA400="",AB400="",AC400=""),"",IF(OR(LEFT(AA400,2)="L0",LEFT(AA400,2)="L1",Y400="No Iniciado"),"CRÍTICO - Incumplimiento Normativo SEPS",IF(AND(Y400="Implementado",Z400&lt;&gt;"",OR(LEFT(AA400,2)="L4",LEFT(AA400,2)="L5"),AB400&lt;&gt;"",AC400&lt;&gt;"",AC400&lt;&gt;"N/A"),"CONFORME - Control Efectivo ISO 27001","OBSERVACIÓN - Revisar Controles")))</f>
        <v/>
      </c>
    </row>
    <row r="401">
      <c r="A401" s="99"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c r="AD401">
        <f>IF(AND(Y401="",Z401="",AA401="",AB401="",AC401=""),"",IF(OR(LEFT(AA401,2)="L0",LEFT(AA401,2)="L1",Y401="No Iniciado"),"CRÍTICO - Incumplimiento Normativo SEPS",IF(AND(Y401="Implementado",Z401&lt;&gt;"",OR(LEFT(AA401,2)="L4",LEFT(AA401,2)="L5"),AB401&lt;&gt;"",AC401&lt;&gt;"",AC401&lt;&gt;"N/A"),"CONFORME - Control Efectivo ISO 27001","OBSERVACIÓN - Revisar Controles")))</f>
        <v/>
      </c>
    </row>
    <row r="402">
      <c r="A402" s="99"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c r="AD402">
        <f>IF(AND(Y402="",Z402="",AA402="",AB402="",AC402=""),"",IF(OR(LEFT(AA402,2)="L0",LEFT(AA402,2)="L1",Y402="No Iniciado"),"CRÍTICO - Incumplimiento Normativo SEPS",IF(AND(Y402="Implementado",Z402&lt;&gt;"",OR(LEFT(AA402,2)="L4",LEFT(AA402,2)="L5"),AB402&lt;&gt;"",AC402&lt;&gt;"",AC402&lt;&gt;"N/A"),"CONFORME - Control Efectivo ISO 27001","OBSERVACIÓN - Revisar Controles")))</f>
        <v/>
      </c>
    </row>
    <row r="403">
      <c r="A403" s="99"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c r="AD403">
        <f>IF(AND(Y403="",Z403="",AA403="",AB403="",AC403=""),"",IF(OR(LEFT(AA403,2)="L0",LEFT(AA403,2)="L1",Y403="No Iniciado"),"CRÍTICO - Incumplimiento Normativo SEPS",IF(AND(Y403="Implementado",Z403&lt;&gt;"",OR(LEFT(AA403,2)="L4",LEFT(AA403,2)="L5"),AB403&lt;&gt;"",AC403&lt;&gt;"",AC403&lt;&gt;"N/A"),"CONFORME - Control Efectivo ISO 27001","OBSERVACIÓN - Revisar Controles")))</f>
        <v/>
      </c>
    </row>
    <row r="404">
      <c r="A404" s="99"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c r="AD404">
        <f>IF(AND(Y404="",Z404="",AA404="",AB404="",AC404=""),"",IF(OR(LEFT(AA404,2)="L0",LEFT(AA404,2)="L1",Y404="No Iniciado"),"CRÍTICO - Incumplimiento Normativo SEPS",IF(AND(Y404="Implementado",Z404&lt;&gt;"",OR(LEFT(AA404,2)="L4",LEFT(AA404,2)="L5"),AB404&lt;&gt;"",AC404&lt;&gt;"",AC404&lt;&gt;"N/A"),"CONFORME - Control Efectivo ISO 27001","OBSERVACIÓN - Revisar Controles")))</f>
        <v/>
      </c>
    </row>
    <row r="405">
      <c r="A405" s="99"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c r="AD405">
        <f>IF(AND(Y405="",Z405="",AA405="",AB405="",AC405=""),"",IF(OR(LEFT(AA405,2)="L0",LEFT(AA405,2)="L1",Y405="No Iniciado"),"CRÍTICO - Incumplimiento Normativo SEPS",IF(AND(Y405="Implementado",Z405&lt;&gt;"",OR(LEFT(AA405,2)="L4",LEFT(AA405,2)="L5"),AB405&lt;&gt;"",AC405&lt;&gt;"",AC405&lt;&gt;"N/A"),"CONFORME - Control Efectivo ISO 27001","OBSERVACIÓN - Revisar Controles")))</f>
        <v/>
      </c>
    </row>
    <row r="406">
      <c r="A406" s="99"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c r="AD406">
        <f>IF(AND(Y406="",Z406="",AA406="",AB406="",AC406=""),"",IF(OR(LEFT(AA406,2)="L0",LEFT(AA406,2)="L1",Y406="No Iniciado"),"CRÍTICO - Incumplimiento Normativo SEPS",IF(AND(Y406="Implementado",Z406&lt;&gt;"",OR(LEFT(AA406,2)="L4",LEFT(AA406,2)="L5"),AB406&lt;&gt;"",AC406&lt;&gt;"",AC406&lt;&gt;"N/A"),"CONFORME - Control Efectivo ISO 27001","OBSERVACIÓN - Revisar Controles")))</f>
        <v/>
      </c>
    </row>
    <row r="407">
      <c r="A407" s="99"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c r="AD407">
        <f>IF(AND(Y407="",Z407="",AA407="",AB407="",AC407=""),"",IF(OR(LEFT(AA407,2)="L0",LEFT(AA407,2)="L1",Y407="No Iniciado"),"CRÍTICO - Incumplimiento Normativo SEPS",IF(AND(Y407="Implementado",Z407&lt;&gt;"",OR(LEFT(AA407,2)="L4",LEFT(AA407,2)="L5"),AB407&lt;&gt;"",AC407&lt;&gt;"",AC407&lt;&gt;"N/A"),"CONFORME - Control Efectivo ISO 27001","OBSERVACIÓN - Revisar Controles")))</f>
        <v/>
      </c>
    </row>
    <row r="408">
      <c r="A408" s="99"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c r="AD408">
        <f>IF(AND(Y408="",Z408="",AA408="",AB408="",AC408=""),"",IF(OR(LEFT(AA408,2)="L0",LEFT(AA408,2)="L1",Y408="No Iniciado"),"CRÍTICO - Incumplimiento Normativo SEPS",IF(AND(Y408="Implementado",Z408&lt;&gt;"",OR(LEFT(AA408,2)="L4",LEFT(AA408,2)="L5"),AB408&lt;&gt;"",AC408&lt;&gt;"",AC408&lt;&gt;"N/A"),"CONFORME - Control Efectivo ISO 27001","OBSERVACIÓN - Revisar Controles")))</f>
        <v/>
      </c>
    </row>
    <row r="409">
      <c r="A409" s="99"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c r="AD409">
        <f>IF(AND(Y409="",Z409="",AA409="",AB409="",AC409=""),"",IF(OR(LEFT(AA409,2)="L0",LEFT(AA409,2)="L1",Y409="No Iniciado"),"CRÍTICO - Incumplimiento Normativo SEPS",IF(AND(Y409="Implementado",Z409&lt;&gt;"",OR(LEFT(AA409,2)="L4",LEFT(AA409,2)="L5"),AB409&lt;&gt;"",AC409&lt;&gt;"",AC409&lt;&gt;"N/A"),"CONFORME - Control Efectivo ISO 27001","OBSERVACIÓN - Revisar Controles")))</f>
        <v/>
      </c>
    </row>
    <row r="410">
      <c r="A410" s="99"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c r="AD410">
        <f>IF(AND(Y410="",Z410="",AA410="",AB410="",AC410=""),"",IF(OR(LEFT(AA410,2)="L0",LEFT(AA410,2)="L1",Y410="No Iniciado"),"CRÍTICO - Incumplimiento Normativo SEPS",IF(AND(Y410="Implementado",Z410&lt;&gt;"",OR(LEFT(AA410,2)="L4",LEFT(AA410,2)="L5"),AB410&lt;&gt;"",AC410&lt;&gt;"",AC410&lt;&gt;"N/A"),"CONFORME - Control Efectivo ISO 27001","OBSERVACIÓN - Revisar Controles")))</f>
        <v/>
      </c>
    </row>
    <row r="411">
      <c r="A411" s="99"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c r="AD411">
        <f>IF(AND(Y411="",Z411="",AA411="",AB411="",AC411=""),"",IF(OR(LEFT(AA411,2)="L0",LEFT(AA411,2)="L1",Y411="No Iniciado"),"CRÍTICO - Incumplimiento Normativo SEPS",IF(AND(Y411="Implementado",Z411&lt;&gt;"",OR(LEFT(AA411,2)="L4",LEFT(AA411,2)="L5"),AB411&lt;&gt;"",AC411&lt;&gt;"",AC411&lt;&gt;"N/A"),"CONFORME - Control Efectivo ISO 27001","OBSERVACIÓN - Revisar Controles")))</f>
        <v/>
      </c>
    </row>
    <row r="412">
      <c r="A412" s="99"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c r="AD412">
        <f>IF(AND(Y412="",Z412="",AA412="",AB412="",AC412=""),"",IF(OR(LEFT(AA412,2)="L0",LEFT(AA412,2)="L1",Y412="No Iniciado"),"CRÍTICO - Incumplimiento Normativo SEPS",IF(AND(Y412="Implementado",Z412&lt;&gt;"",OR(LEFT(AA412,2)="L4",LEFT(AA412,2)="L5"),AB412&lt;&gt;"",AC412&lt;&gt;"",AC412&lt;&gt;"N/A"),"CONFORME - Control Efectivo ISO 27001","OBSERVACIÓN - Revisar Controles")))</f>
        <v/>
      </c>
    </row>
    <row r="413">
      <c r="A413" s="99"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c r="AD413">
        <f>IF(AND(Y413="",Z413="",AA413="",AB413="",AC413=""),"",IF(OR(LEFT(AA413,2)="L0",LEFT(AA413,2)="L1",Y413="No Iniciado"),"CRÍTICO - Incumplimiento Normativo SEPS",IF(AND(Y413="Implementado",Z413&lt;&gt;"",OR(LEFT(AA413,2)="L4",LEFT(AA413,2)="L5"),AB413&lt;&gt;"",AC413&lt;&gt;"",AC413&lt;&gt;"N/A"),"CONFORME - Control Efectivo ISO 27001","OBSERVACIÓN - Revisar Controles")))</f>
        <v/>
      </c>
    </row>
    <row r="414">
      <c r="A414" s="99"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c r="AD414">
        <f>IF(AND(Y414="",Z414="",AA414="",AB414="",AC414=""),"",IF(OR(LEFT(AA414,2)="L0",LEFT(AA414,2)="L1",Y414="No Iniciado"),"CRÍTICO - Incumplimiento Normativo SEPS",IF(AND(Y414="Implementado",Z414&lt;&gt;"",OR(LEFT(AA414,2)="L4",LEFT(AA414,2)="L5"),AB414&lt;&gt;"",AC414&lt;&gt;"",AC414&lt;&gt;"N/A"),"CONFORME - Control Efectivo ISO 27001","OBSERVACIÓN - Revisar Controles")))</f>
        <v/>
      </c>
    </row>
    <row r="415">
      <c r="A415" s="99"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c r="AD415">
        <f>IF(AND(Y415="",Z415="",AA415="",AB415="",AC415=""),"",IF(OR(LEFT(AA415,2)="L0",LEFT(AA415,2)="L1",Y415="No Iniciado"),"CRÍTICO - Incumplimiento Normativo SEPS",IF(AND(Y415="Implementado",Z415&lt;&gt;"",OR(LEFT(AA415,2)="L4",LEFT(AA415,2)="L5"),AB415&lt;&gt;"",AC415&lt;&gt;"",AC415&lt;&gt;"N/A"),"CONFORME - Control Efectivo ISO 27001","OBSERVACIÓN - Revisar Controles")))</f>
        <v/>
      </c>
    </row>
    <row r="416">
      <c r="A416" s="99"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c r="AD416">
        <f>IF(AND(Y416="",Z416="",AA416="",AB416="",AC416=""),"",IF(OR(LEFT(AA416,2)="L0",LEFT(AA416,2)="L1",Y416="No Iniciado"),"CRÍTICO - Incumplimiento Normativo SEPS",IF(AND(Y416="Implementado",Z416&lt;&gt;"",OR(LEFT(AA416,2)="L4",LEFT(AA416,2)="L5"),AB416&lt;&gt;"",AC416&lt;&gt;"",AC416&lt;&gt;"N/A"),"CONFORME - Control Efectivo ISO 27001","OBSERVACIÓN - Revisar Controles")))</f>
        <v/>
      </c>
    </row>
    <row r="417">
      <c r="A417" s="99"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c r="AD417">
        <f>IF(AND(Y417="",Z417="",AA417="",AB417="",AC417=""),"",IF(OR(LEFT(AA417,2)="L0",LEFT(AA417,2)="L1",Y417="No Iniciado"),"CRÍTICO - Incumplimiento Normativo SEPS",IF(AND(Y417="Implementado",Z417&lt;&gt;"",OR(LEFT(AA417,2)="L4",LEFT(AA417,2)="L5"),AB417&lt;&gt;"",AC417&lt;&gt;"",AC417&lt;&gt;"N/A"),"CONFORME - Control Efectivo ISO 27001","OBSERVACIÓN - Revisar Controles")))</f>
        <v/>
      </c>
    </row>
    <row r="418">
      <c r="A418" s="99"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c r="AD418">
        <f>IF(AND(Y418="",Z418="",AA418="",AB418="",AC418=""),"",IF(OR(LEFT(AA418,2)="L0",LEFT(AA418,2)="L1",Y418="No Iniciado"),"CRÍTICO - Incumplimiento Normativo SEPS",IF(AND(Y418="Implementado",Z418&lt;&gt;"",OR(LEFT(AA418,2)="L4",LEFT(AA418,2)="L5"),AB418&lt;&gt;"",AC418&lt;&gt;"",AC418&lt;&gt;"N/A"),"CONFORME - Control Efectivo ISO 27001","OBSERVACIÓN - Revisar Controles")))</f>
        <v/>
      </c>
    </row>
    <row r="419">
      <c r="A419" s="99"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c r="AD419">
        <f>IF(AND(Y419="",Z419="",AA419="",AB419="",AC419=""),"",IF(OR(LEFT(AA419,2)="L0",LEFT(AA419,2)="L1",Y419="No Iniciado"),"CRÍTICO - Incumplimiento Normativo SEPS",IF(AND(Y419="Implementado",Z419&lt;&gt;"",OR(LEFT(AA419,2)="L4",LEFT(AA419,2)="L5"),AB419&lt;&gt;"",AC419&lt;&gt;"",AC419&lt;&gt;"N/A"),"CONFORME - Control Efectivo ISO 27001","OBSERVACIÓN - Revisar Controles")))</f>
        <v/>
      </c>
    </row>
    <row r="420">
      <c r="A420" s="99"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c r="AD420">
        <f>IF(AND(Y420="",Z420="",AA420="",AB420="",AC420=""),"",IF(OR(LEFT(AA420,2)="L0",LEFT(AA420,2)="L1",Y420="No Iniciado"),"CRÍTICO - Incumplimiento Normativo SEPS",IF(AND(Y420="Implementado",Z420&lt;&gt;"",OR(LEFT(AA420,2)="L4",LEFT(AA420,2)="L5"),AB420&lt;&gt;"",AC420&lt;&gt;"",AC420&lt;&gt;"N/A"),"CONFORME - Control Efectivo ISO 27001","OBSERVACIÓN - Revisar Controles")))</f>
        <v/>
      </c>
    </row>
    <row r="421">
      <c r="A421" s="99"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c r="AD421">
        <f>IF(AND(Y421="",Z421="",AA421="",AB421="",AC421=""),"",IF(OR(LEFT(AA421,2)="L0",LEFT(AA421,2)="L1",Y421="No Iniciado"),"CRÍTICO - Incumplimiento Normativo SEPS",IF(AND(Y421="Implementado",Z421&lt;&gt;"",OR(LEFT(AA421,2)="L4",LEFT(AA421,2)="L5"),AB421&lt;&gt;"",AC421&lt;&gt;"",AC421&lt;&gt;"N/A"),"CONFORME - Control Efectivo ISO 27001","OBSERVACIÓN - Revisar Controles")))</f>
        <v/>
      </c>
    </row>
    <row r="422">
      <c r="A422" s="99"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c r="AD422">
        <f>IF(AND(Y422="",Z422="",AA422="",AB422="",AC422=""),"",IF(OR(LEFT(AA422,2)="L0",LEFT(AA422,2)="L1",Y422="No Iniciado"),"CRÍTICO - Incumplimiento Normativo SEPS",IF(AND(Y422="Implementado",Z422&lt;&gt;"",OR(LEFT(AA422,2)="L4",LEFT(AA422,2)="L5"),AB422&lt;&gt;"",AC422&lt;&gt;"",AC422&lt;&gt;"N/A"),"CONFORME - Control Efectivo ISO 27001","OBSERVACIÓN - Revisar Controles")))</f>
        <v/>
      </c>
    </row>
    <row r="423">
      <c r="A423" s="99"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c r="AD423">
        <f>IF(AND(Y423="",Z423="",AA423="",AB423="",AC423=""),"",IF(OR(LEFT(AA423,2)="L0",LEFT(AA423,2)="L1",Y423="No Iniciado"),"CRÍTICO - Incumplimiento Normativo SEPS",IF(AND(Y423="Implementado",Z423&lt;&gt;"",OR(LEFT(AA423,2)="L4",LEFT(AA423,2)="L5"),AB423&lt;&gt;"",AC423&lt;&gt;"",AC423&lt;&gt;"N/A"),"CONFORME - Control Efectivo ISO 27001","OBSERVACIÓN - Revisar Controles")))</f>
        <v/>
      </c>
    </row>
    <row r="424">
      <c r="A424" s="99"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c r="AD424">
        <f>IF(AND(Y424="",Z424="",AA424="",AB424="",AC424=""),"",IF(OR(LEFT(AA424,2)="L0",LEFT(AA424,2)="L1",Y424="No Iniciado"),"CRÍTICO - Incumplimiento Normativo SEPS",IF(AND(Y424="Implementado",Z424&lt;&gt;"",OR(LEFT(AA424,2)="L4",LEFT(AA424,2)="L5"),AB424&lt;&gt;"",AC424&lt;&gt;"",AC424&lt;&gt;"N/A"),"CONFORME - Control Efectivo ISO 27001","OBSERVACIÓN - Revisar Controles")))</f>
        <v/>
      </c>
    </row>
    <row r="425">
      <c r="A425" s="99"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c r="AD425">
        <f>IF(AND(Y425="",Z425="",AA425="",AB425="",AC425=""),"",IF(OR(LEFT(AA425,2)="L0",LEFT(AA425,2)="L1",Y425="No Iniciado"),"CRÍTICO - Incumplimiento Normativo SEPS",IF(AND(Y425="Implementado",Z425&lt;&gt;"",OR(LEFT(AA425,2)="L4",LEFT(AA425,2)="L5"),AB425&lt;&gt;"",AC425&lt;&gt;"",AC425&lt;&gt;"N/A"),"CONFORME - Control Efectivo ISO 27001","OBSERVACIÓN - Revisar Controles")))</f>
        <v/>
      </c>
    </row>
    <row r="426">
      <c r="A426" s="99"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c r="AD426">
        <f>IF(AND(Y426="",Z426="",AA426="",AB426="",AC426=""),"",IF(OR(LEFT(AA426,2)="L0",LEFT(AA426,2)="L1",Y426="No Iniciado"),"CRÍTICO - Incumplimiento Normativo SEPS",IF(AND(Y426="Implementado",Z426&lt;&gt;"",OR(LEFT(AA426,2)="L4",LEFT(AA426,2)="L5"),AB426&lt;&gt;"",AC426&lt;&gt;"",AC426&lt;&gt;"N/A"),"CONFORME - Control Efectivo ISO 27001","OBSERVACIÓN - Revisar Controles")))</f>
        <v/>
      </c>
    </row>
    <row r="427">
      <c r="A427" s="99"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c r="AD427">
        <f>IF(AND(Y427="",Z427="",AA427="",AB427="",AC427=""),"",IF(OR(LEFT(AA427,2)="L0",LEFT(AA427,2)="L1",Y427="No Iniciado"),"CRÍTICO - Incumplimiento Normativo SEPS",IF(AND(Y427="Implementado",Z427&lt;&gt;"",OR(LEFT(AA427,2)="L4",LEFT(AA427,2)="L5"),AB427&lt;&gt;"",AC427&lt;&gt;"",AC427&lt;&gt;"N/A"),"CONFORME - Control Efectivo ISO 27001","OBSERVACIÓN - Revisar Controles")))</f>
        <v/>
      </c>
    </row>
    <row r="428">
      <c r="A428" s="99"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c r="AD428">
        <f>IF(AND(Y428="",Z428="",AA428="",AB428="",AC428=""),"",IF(OR(LEFT(AA428,2)="L0",LEFT(AA428,2)="L1",Y428="No Iniciado"),"CRÍTICO - Incumplimiento Normativo SEPS",IF(AND(Y428="Implementado",Z428&lt;&gt;"",OR(LEFT(AA428,2)="L4",LEFT(AA428,2)="L5"),AB428&lt;&gt;"",AC428&lt;&gt;"",AC428&lt;&gt;"N/A"),"CONFORME - Control Efectivo ISO 27001","OBSERVACIÓN - Revisar Controles")))</f>
        <v/>
      </c>
    </row>
    <row r="429">
      <c r="A429" s="99"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c r="AD429">
        <f>IF(AND(Y429="",Z429="",AA429="",AB429="",AC429=""),"",IF(OR(LEFT(AA429,2)="L0",LEFT(AA429,2)="L1",Y429="No Iniciado"),"CRÍTICO - Incumplimiento Normativo SEPS",IF(AND(Y429="Implementado",Z429&lt;&gt;"",OR(LEFT(AA429,2)="L4",LEFT(AA429,2)="L5"),AB429&lt;&gt;"",AC429&lt;&gt;"",AC429&lt;&gt;"N/A"),"CONFORME - Control Efectivo ISO 27001","OBSERVACIÓN - Revisar Controles")))</f>
        <v/>
      </c>
    </row>
    <row r="430">
      <c r="A430" s="99"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c r="AD430">
        <f>IF(AND(Y430="",Z430="",AA430="",AB430="",AC430=""),"",IF(OR(LEFT(AA430,2)="L0",LEFT(AA430,2)="L1",Y430="No Iniciado"),"CRÍTICO - Incumplimiento Normativo SEPS",IF(AND(Y430="Implementado",Z430&lt;&gt;"",OR(LEFT(AA430,2)="L4",LEFT(AA430,2)="L5"),AB430&lt;&gt;"",AC430&lt;&gt;"",AC430&lt;&gt;"N/A"),"CONFORME - Control Efectivo ISO 27001","OBSERVACIÓN - Revisar Controles")))</f>
        <v/>
      </c>
    </row>
    <row r="431">
      <c r="A431" s="99"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c r="AD431">
        <f>IF(AND(Y431="",Z431="",AA431="",AB431="",AC431=""),"",IF(OR(LEFT(AA431,2)="L0",LEFT(AA431,2)="L1",Y431="No Iniciado"),"CRÍTICO - Incumplimiento Normativo SEPS",IF(AND(Y431="Implementado",Z431&lt;&gt;"",OR(LEFT(AA431,2)="L4",LEFT(AA431,2)="L5"),AB431&lt;&gt;"",AC431&lt;&gt;"",AC431&lt;&gt;"N/A"),"CONFORME - Control Efectivo ISO 27001","OBSERVACIÓN - Revisar Controles")))</f>
        <v/>
      </c>
    </row>
    <row r="432">
      <c r="A432" s="99"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c r="AD432">
        <f>IF(AND(Y432="",Z432="",AA432="",AB432="",AC432=""),"",IF(OR(LEFT(AA432,2)="L0",LEFT(AA432,2)="L1",Y432="No Iniciado"),"CRÍTICO - Incumplimiento Normativo SEPS",IF(AND(Y432="Implementado",Z432&lt;&gt;"",OR(LEFT(AA432,2)="L4",LEFT(AA432,2)="L5"),AB432&lt;&gt;"",AC432&lt;&gt;"",AC432&lt;&gt;"N/A"),"CONFORME - Control Efectivo ISO 27001","OBSERVACIÓN - Revisar Controles")))</f>
        <v/>
      </c>
    </row>
    <row r="433">
      <c r="A433" s="99"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c r="AD433">
        <f>IF(AND(Y433="",Z433="",AA433="",AB433="",AC433=""),"",IF(OR(LEFT(AA433,2)="L0",LEFT(AA433,2)="L1",Y433="No Iniciado"),"CRÍTICO - Incumplimiento Normativo SEPS",IF(AND(Y433="Implementado",Z433&lt;&gt;"",OR(LEFT(AA433,2)="L4",LEFT(AA433,2)="L5"),AB433&lt;&gt;"",AC433&lt;&gt;"",AC433&lt;&gt;"N/A"),"CONFORME - Control Efectivo ISO 27001","OBSERVACIÓN - Revisar Controles")))</f>
        <v/>
      </c>
    </row>
    <row r="434">
      <c r="A434" s="99"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c r="AD434">
        <f>IF(AND(Y434="",Z434="",AA434="",AB434="",AC434=""),"",IF(OR(LEFT(AA434,2)="L0",LEFT(AA434,2)="L1",Y434="No Iniciado"),"CRÍTICO - Incumplimiento Normativo SEPS",IF(AND(Y434="Implementado",Z434&lt;&gt;"",OR(LEFT(AA434,2)="L4",LEFT(AA434,2)="L5"),AB434&lt;&gt;"",AC434&lt;&gt;"",AC434&lt;&gt;"N/A"),"CONFORME - Control Efectivo ISO 27001","OBSERVACIÓN - Revisar Controles")))</f>
        <v/>
      </c>
    </row>
    <row r="435">
      <c r="A435" s="99"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c r="AD435">
        <f>IF(AND(Y435="",Z435="",AA435="",AB435="",AC435=""),"",IF(OR(LEFT(AA435,2)="L0",LEFT(AA435,2)="L1",Y435="No Iniciado"),"CRÍTICO - Incumplimiento Normativo SEPS",IF(AND(Y435="Implementado",Z435&lt;&gt;"",OR(LEFT(AA435,2)="L4",LEFT(AA435,2)="L5"),AB435&lt;&gt;"",AC435&lt;&gt;"",AC435&lt;&gt;"N/A"),"CONFORME - Control Efectivo ISO 27001","OBSERVACIÓN - Revisar Controles")))</f>
        <v/>
      </c>
    </row>
    <row r="436">
      <c r="A436" s="99"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c r="AD436">
        <f>IF(AND(Y436="",Z436="",AA436="",AB436="",AC436=""),"",IF(OR(LEFT(AA436,2)="L0",LEFT(AA436,2)="L1",Y436="No Iniciado"),"CRÍTICO - Incumplimiento Normativo SEPS",IF(AND(Y436="Implementado",Z436&lt;&gt;"",OR(LEFT(AA436,2)="L4",LEFT(AA436,2)="L5"),AB436&lt;&gt;"",AC436&lt;&gt;"",AC436&lt;&gt;"N/A"),"CONFORME - Control Efectivo ISO 27001","OBSERVACIÓN - Revisar Controles")))</f>
        <v/>
      </c>
    </row>
    <row r="437" ht="30.6" customHeight="1" s="106">
      <c r="A437" s="99"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c r="AD437">
        <f>IF(AND(Y437="",Z437="",AA437="",AB437="",AC437=""),"",IF(OR(LEFT(AA437,2)="L0",LEFT(AA437,2)="L1",Y437="No Iniciado"),"CRÍTICO - Incumplimiento Normativo SEPS",IF(AND(Y437="Implementado",Z437&lt;&gt;"",OR(LEFT(AA437,2)="L4",LEFT(AA437,2)="L5"),AB437&lt;&gt;"",AC437&lt;&gt;"",AC437&lt;&gt;"N/A"),"CONFORME - Control Efectivo ISO 27001","OBSERVACIÓN - Revisar Controles")))</f>
        <v/>
      </c>
    </row>
    <row r="438">
      <c r="A438" s="99"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c r="AD438">
        <f>IF(AND(Y438="",Z438="",AA438="",AB438="",AC438=""),"",IF(OR(LEFT(AA438,2)="L0",LEFT(AA438,2)="L1",Y438="No Iniciado"),"CRÍTICO - Incumplimiento Normativo SEPS",IF(AND(Y438="Implementado",Z438&lt;&gt;"",OR(LEFT(AA438,2)="L4",LEFT(AA438,2)="L5"),AB438&lt;&gt;"",AC438&lt;&gt;"",AC438&lt;&gt;"N/A"),"CONFORME - Control Efectivo ISO 27001","OBSERVACIÓN - Revisar Controles")))</f>
        <v/>
      </c>
    </row>
    <row r="439">
      <c r="A439" s="99"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c r="AD439">
        <f>IF(AND(Y439="",Z439="",AA439="",AB439="",AC439=""),"",IF(OR(LEFT(AA439,2)="L0",LEFT(AA439,2)="L1",Y439="No Iniciado"),"CRÍTICO - Incumplimiento Normativo SEPS",IF(AND(Y439="Implementado",Z439&lt;&gt;"",OR(LEFT(AA439,2)="L4",LEFT(AA439,2)="L5"),AB439&lt;&gt;"",AC439&lt;&gt;"",AC439&lt;&gt;"N/A"),"CONFORME - Control Efectivo ISO 27001","OBSERVACIÓN - Revisar Controles")))</f>
        <v/>
      </c>
    </row>
    <row r="440">
      <c r="A440" s="99"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c r="AD440">
        <f>IF(AND(Y440="",Z440="",AA440="",AB440="",AC440=""),"",IF(OR(LEFT(AA440,2)="L0",LEFT(AA440,2)="L1",Y440="No Iniciado"),"CRÍTICO - Incumplimiento Normativo SEPS",IF(AND(Y440="Implementado",Z440&lt;&gt;"",OR(LEFT(AA440,2)="L4",LEFT(AA440,2)="L5"),AB440&lt;&gt;"",AC440&lt;&gt;"",AC440&lt;&gt;"N/A"),"CONFORME - Control Efectivo ISO 27001","OBSERVACIÓN - Revisar Controles")))</f>
        <v/>
      </c>
    </row>
    <row r="441">
      <c r="A441" s="99"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c r="AD441">
        <f>IF(AND(Y441="",Z441="",AA441="",AB441="",AC441=""),"",IF(OR(LEFT(AA441,2)="L0",LEFT(AA441,2)="L1",Y441="No Iniciado"),"CRÍTICO - Incumplimiento Normativo SEPS",IF(AND(Y441="Implementado",Z441&lt;&gt;"",OR(LEFT(AA441,2)="L4",LEFT(AA441,2)="L5"),AB441&lt;&gt;"",AC441&lt;&gt;"",AC441&lt;&gt;"N/A"),"CONFORME - Control Efectivo ISO 27001","OBSERVACIÓN - Revisar Controles")))</f>
        <v/>
      </c>
    </row>
    <row r="442">
      <c r="A442" s="99"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c r="AD442">
        <f>IF(AND(Y442="",Z442="",AA442="",AB442="",AC442=""),"",IF(OR(LEFT(AA442,2)="L0",LEFT(AA442,2)="L1",Y442="No Iniciado"),"CRÍTICO - Incumplimiento Normativo SEPS",IF(AND(Y442="Implementado",Z442&lt;&gt;"",OR(LEFT(AA442,2)="L4",LEFT(AA442,2)="L5"),AB442&lt;&gt;"",AC442&lt;&gt;"",AC442&lt;&gt;"N/A"),"CONFORME - Control Efectivo ISO 27001","OBSERVACIÓN - Revisar Controles")))</f>
        <v/>
      </c>
    </row>
    <row r="443">
      <c r="A443" s="99"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c r="AD443">
        <f>IF(AND(Y443="",Z443="",AA443="",AB443="",AC443=""),"",IF(OR(LEFT(AA443,2)="L0",LEFT(AA443,2)="L1",Y443="No Iniciado"),"CRÍTICO - Incumplimiento Normativo SEPS",IF(AND(Y443="Implementado",Z443&lt;&gt;"",OR(LEFT(AA443,2)="L4",LEFT(AA443,2)="L5"),AB443&lt;&gt;"",AC443&lt;&gt;"",AC443&lt;&gt;"N/A"),"CONFORME - Control Efectivo ISO 27001","OBSERVACIÓN - Revisar Controles")))</f>
        <v/>
      </c>
    </row>
    <row r="444">
      <c r="A444" s="99"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c r="AD444">
        <f>IF(AND(Y444="",Z444="",AA444="",AB444="",AC444=""),"",IF(OR(LEFT(AA444,2)="L0",LEFT(AA444,2)="L1",Y444="No Iniciado"),"CRÍTICO - Incumplimiento Normativo SEPS",IF(AND(Y444="Implementado",Z444&lt;&gt;"",OR(LEFT(AA444,2)="L4",LEFT(AA444,2)="L5"),AB444&lt;&gt;"",AC444&lt;&gt;"",AC444&lt;&gt;"N/A"),"CONFORME - Control Efectivo ISO 27001","OBSERVACIÓN - Revisar Controles")))</f>
        <v/>
      </c>
    </row>
    <row r="445">
      <c r="A445" s="99"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c r="AD445">
        <f>IF(AND(Y445="",Z445="",AA445="",AB445="",AC445=""),"",IF(OR(LEFT(AA445,2)="L0",LEFT(AA445,2)="L1",Y445="No Iniciado"),"CRÍTICO - Incumplimiento Normativo SEPS",IF(AND(Y445="Implementado",Z445&lt;&gt;"",OR(LEFT(AA445,2)="L4",LEFT(AA445,2)="L5"),AB445&lt;&gt;"",AC445&lt;&gt;"",AC445&lt;&gt;"N/A"),"CONFORME - Control Efectivo ISO 27001","OBSERVACIÓN - Revisar Controles")))</f>
        <v/>
      </c>
    </row>
    <row r="446" ht="30.6" customHeight="1" s="106">
      <c r="A446" s="99"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c r="AD446">
        <f>IF(AND(Y446="",Z446="",AA446="",AB446="",AC446=""),"",IF(OR(LEFT(AA446,2)="L0",LEFT(AA446,2)="L1",Y446="No Iniciado"),"CRÍTICO - Incumplimiento Normativo SEPS",IF(AND(Y446="Implementado",Z446&lt;&gt;"",OR(LEFT(AA446,2)="L4",LEFT(AA446,2)="L5"),AB446&lt;&gt;"",AC446&lt;&gt;"",AC446&lt;&gt;"N/A"),"CONFORME - Control Efectivo ISO 27001","OBSERVACIÓN - Revisar Controles")))</f>
        <v/>
      </c>
    </row>
    <row r="447">
      <c r="A447" s="99"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c r="AD447">
        <f>IF(AND(Y447="",Z447="",AA447="",AB447="",AC447=""),"",IF(OR(LEFT(AA447,2)="L0",LEFT(AA447,2)="L1",Y447="No Iniciado"),"CRÍTICO - Incumplimiento Normativo SEPS",IF(AND(Y447="Implementado",Z447&lt;&gt;"",OR(LEFT(AA447,2)="L4",LEFT(AA447,2)="L5"),AB447&lt;&gt;"",AC447&lt;&gt;"",AC447&lt;&gt;"N/A"),"CONFORME - Control Efectivo ISO 27001","OBSERVACIÓN - Revisar Controles")))</f>
        <v/>
      </c>
    </row>
    <row r="448">
      <c r="A448" s="99"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c r="AD448">
        <f>IF(AND(Y448="",Z448="",AA448="",AB448="",AC448=""),"",IF(OR(LEFT(AA448,2)="L0",LEFT(AA448,2)="L1",Y448="No Iniciado"),"CRÍTICO - Incumplimiento Normativo SEPS",IF(AND(Y448="Implementado",Z448&lt;&gt;"",OR(LEFT(AA448,2)="L4",LEFT(AA448,2)="L5"),AB448&lt;&gt;"",AC448&lt;&gt;"",AC448&lt;&gt;"N/A"),"CONFORME - Control Efectivo ISO 27001","OBSERVACIÓN - Revisar Controles")))</f>
        <v/>
      </c>
    </row>
    <row r="449">
      <c r="A449" s="99"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c r="AD449">
        <f>IF(AND(Y449="",Z449="",AA449="",AB449="",AC449=""),"",IF(OR(LEFT(AA449,2)="L0",LEFT(AA449,2)="L1",Y449="No Iniciado"),"CRÍTICO - Incumplimiento Normativo SEPS",IF(AND(Y449="Implementado",Z449&lt;&gt;"",OR(LEFT(AA449,2)="L4",LEFT(AA449,2)="L5"),AB449&lt;&gt;"",AC449&lt;&gt;"",AC449&lt;&gt;"N/A"),"CONFORME - Control Efectivo ISO 27001","OBSERVACIÓN - Revisar Controles")))</f>
        <v/>
      </c>
    </row>
    <row r="450">
      <c r="A450" s="99"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c r="AD450">
        <f>IF(AND(Y450="",Z450="",AA450="",AB450="",AC450=""),"",IF(OR(LEFT(AA450,2)="L0",LEFT(AA450,2)="L1",Y450="No Iniciado"),"CRÍTICO - Incumplimiento Normativo SEPS",IF(AND(Y450="Implementado",Z450&lt;&gt;"",OR(LEFT(AA450,2)="L4",LEFT(AA450,2)="L5"),AB450&lt;&gt;"",AC450&lt;&gt;"",AC450&lt;&gt;"N/A"),"CONFORME - Control Efectivo ISO 27001","OBSERVACIÓN - Revisar Controles")))</f>
        <v/>
      </c>
    </row>
    <row r="451">
      <c r="A451" s="99"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c r="AD451">
        <f>IF(AND(Y451="",Z451="",AA451="",AB451="",AC451=""),"",IF(OR(LEFT(AA451,2)="L0",LEFT(AA451,2)="L1",Y451="No Iniciado"),"CRÍTICO - Incumplimiento Normativo SEPS",IF(AND(Y451="Implementado",Z451&lt;&gt;"",OR(LEFT(AA451,2)="L4",LEFT(AA451,2)="L5"),AB451&lt;&gt;"",AC451&lt;&gt;"",AC451&lt;&gt;"N/A"),"CONFORME - Control Efectivo ISO 27001","OBSERVACIÓN - Revisar Controles")))</f>
        <v/>
      </c>
    </row>
    <row r="452">
      <c r="A452" s="99"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c r="AD452">
        <f>IF(AND(Y452="",Z452="",AA452="",AB452="",AC452=""),"",IF(OR(LEFT(AA452,2)="L0",LEFT(AA452,2)="L1",Y452="No Iniciado"),"CRÍTICO - Incumplimiento Normativo SEPS",IF(AND(Y452="Implementado",Z452&lt;&gt;"",OR(LEFT(AA452,2)="L4",LEFT(AA452,2)="L5"),AB452&lt;&gt;"",AC452&lt;&gt;"",AC452&lt;&gt;"N/A"),"CONFORME - Control Efectivo ISO 27001","OBSERVACIÓN - Revisar Controles")))</f>
        <v/>
      </c>
    </row>
    <row r="453">
      <c r="A453" s="99"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c r="AD453">
        <f>IF(AND(Y453="",Z453="",AA453="",AB453="",AC453=""),"",IF(OR(LEFT(AA453,2)="L0",LEFT(AA453,2)="L1",Y453="No Iniciado"),"CRÍTICO - Incumplimiento Normativo SEPS",IF(AND(Y453="Implementado",Z453&lt;&gt;"",OR(LEFT(AA453,2)="L4",LEFT(AA453,2)="L5"),AB453&lt;&gt;"",AC453&lt;&gt;"",AC453&lt;&gt;"N/A"),"CONFORME - Control Efectivo ISO 27001","OBSERVACIÓN - Revisar Controles")))</f>
        <v/>
      </c>
    </row>
    <row r="454" ht="12" customHeight="1" s="106">
      <c r="A454" s="99"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c r="AD454">
        <f>IF(AND(Y454="",Z454="",AA454="",AB454="",AC454=""),"",IF(OR(LEFT(AA454,2)="L0",LEFT(AA454,2)="L1",Y454="No Iniciado"),"CRÍTICO - Incumplimiento Normativo SEPS",IF(AND(Y454="Implementado",Z454&lt;&gt;"",OR(LEFT(AA454,2)="L4",LEFT(AA454,2)="L5"),AB454&lt;&gt;"",AC454&lt;&gt;"",AC454&lt;&gt;"N/A"),"CONFORME - Control Efectivo ISO 27001","OBSERVACIÓN - Revisar Controles")))</f>
        <v/>
      </c>
    </row>
    <row r="455">
      <c r="A455" s="99"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c r="AD455">
        <f>IF(AND(Y455="",Z455="",AA455="",AB455="",AC455=""),"",IF(OR(LEFT(AA455,2)="L0",LEFT(AA455,2)="L1",Y455="No Iniciado"),"CRÍTICO - Incumplimiento Normativo SEPS",IF(AND(Y455="Implementado",Z455&lt;&gt;"",OR(LEFT(AA455,2)="L4",LEFT(AA455,2)="L5"),AB455&lt;&gt;"",AC455&lt;&gt;"",AC455&lt;&gt;"N/A"),"CONFORME - Control Efectivo ISO 27001","OBSERVACIÓN - Revisar Controles")))</f>
        <v/>
      </c>
    </row>
    <row r="456">
      <c r="A456" s="99"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c r="AD456">
        <f>IF(AND(Y456="",Z456="",AA456="",AB456="",AC456=""),"",IF(OR(LEFT(AA456,2)="L0",LEFT(AA456,2)="L1",Y456="No Iniciado"),"CRÍTICO - Incumplimiento Normativo SEPS",IF(AND(Y456="Implementado",Z456&lt;&gt;"",OR(LEFT(AA456,2)="L4",LEFT(AA456,2)="L5"),AB456&lt;&gt;"",AC456&lt;&gt;"",AC456&lt;&gt;"N/A"),"CONFORME - Control Efectivo ISO 27001","OBSERVACIÓN - Revisar Controles")))</f>
        <v/>
      </c>
    </row>
    <row r="457">
      <c r="A457" s="99"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c r="AD457">
        <f>IF(AND(Y457="",Z457="",AA457="",AB457="",AC457=""),"",IF(OR(LEFT(AA457,2)="L0",LEFT(AA457,2)="L1",Y457="No Iniciado"),"CRÍTICO - Incumplimiento Normativo SEPS",IF(AND(Y457="Implementado",Z457&lt;&gt;"",OR(LEFT(AA457,2)="L4",LEFT(AA457,2)="L5"),AB457&lt;&gt;"",AC457&lt;&gt;"",AC457&lt;&gt;"N/A"),"CONFORME - Control Efectivo ISO 27001","OBSERVACIÓN - Revisar Controles")))</f>
        <v/>
      </c>
    </row>
    <row r="458">
      <c r="A458" s="99"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c r="AD458">
        <f>IF(AND(Y458="",Z458="",AA458="",AB458="",AC458=""),"",IF(OR(LEFT(AA458,2)="L0",LEFT(AA458,2)="L1",Y458="No Iniciado"),"CRÍTICO - Incumplimiento Normativo SEPS",IF(AND(Y458="Implementado",Z458&lt;&gt;"",OR(LEFT(AA458,2)="L4",LEFT(AA458,2)="L5"),AB458&lt;&gt;"",AC458&lt;&gt;"",AC458&lt;&gt;"N/A"),"CONFORME - Control Efectivo ISO 27001","OBSERVACIÓN - Revisar Controles")))</f>
        <v/>
      </c>
    </row>
    <row r="459">
      <c r="A459" s="99"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c r="AD459">
        <f>IF(AND(Y459="",Z459="",AA459="",AB459="",AC459=""),"",IF(OR(LEFT(AA459,2)="L0",LEFT(AA459,2)="L1",Y459="No Iniciado"),"CRÍTICO - Incumplimiento Normativo SEPS",IF(AND(Y459="Implementado",Z459&lt;&gt;"",OR(LEFT(AA459,2)="L4",LEFT(AA459,2)="L5"),AB459&lt;&gt;"",AC459&lt;&gt;"",AC459&lt;&gt;"N/A"),"CONFORME - Control Efectivo ISO 27001","OBSERVACIÓN - Revisar Controles")))</f>
        <v/>
      </c>
    </row>
    <row r="460">
      <c r="A460" s="99"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c r="AD460">
        <f>IF(AND(Y460="",Z460="",AA460="",AB460="",AC460=""),"",IF(OR(LEFT(AA460,2)="L0",LEFT(AA460,2)="L1",Y460="No Iniciado"),"CRÍTICO - Incumplimiento Normativo SEPS",IF(AND(Y460="Implementado",Z460&lt;&gt;"",OR(LEFT(AA460,2)="L4",LEFT(AA460,2)="L5"),AB460&lt;&gt;"",AC460&lt;&gt;"",AC460&lt;&gt;"N/A"),"CONFORME - Control Efectivo ISO 27001","OBSERVACIÓN - Revisar Controles")))</f>
        <v/>
      </c>
    </row>
    <row r="461">
      <c r="A461" s="99"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c r="AD461">
        <f>IF(AND(Y461="",Z461="",AA461="",AB461="",AC461=""),"",IF(OR(LEFT(AA461,2)="L0",LEFT(AA461,2)="L1",Y461="No Iniciado"),"CRÍTICO - Incumplimiento Normativo SEPS",IF(AND(Y461="Implementado",Z461&lt;&gt;"",OR(LEFT(AA461,2)="L4",LEFT(AA461,2)="L5"),AB461&lt;&gt;"",AC461&lt;&gt;"",AC461&lt;&gt;"N/A"),"CONFORME - Control Efectivo ISO 27001","OBSERVACIÓN - Revisar Controles")))</f>
        <v/>
      </c>
    </row>
    <row r="462">
      <c r="A462" s="99"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c r="AD462">
        <f>IF(AND(Y462="",Z462="",AA462="",AB462="",AC462=""),"",IF(OR(LEFT(AA462,2)="L0",LEFT(AA462,2)="L1",Y462="No Iniciado"),"CRÍTICO - Incumplimiento Normativo SEPS",IF(AND(Y462="Implementado",Z462&lt;&gt;"",OR(LEFT(AA462,2)="L4",LEFT(AA462,2)="L5"),AB462&lt;&gt;"",AC462&lt;&gt;"",AC462&lt;&gt;"N/A"),"CONFORME - Control Efectivo ISO 27001","OBSERVACIÓN - Revisar Controles")))</f>
        <v/>
      </c>
    </row>
    <row r="463">
      <c r="A463" s="99"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c r="AD463">
        <f>IF(AND(Y463="",Z463="",AA463="",AB463="",AC463=""),"",IF(OR(LEFT(AA463,2)="L0",LEFT(AA463,2)="L1",Y463="No Iniciado"),"CRÍTICO - Incumplimiento Normativo SEPS",IF(AND(Y463="Implementado",Z463&lt;&gt;"",OR(LEFT(AA463,2)="L4",LEFT(AA463,2)="L5"),AB463&lt;&gt;"",AC463&lt;&gt;"",AC463&lt;&gt;"N/A"),"CONFORME - Control Efectivo ISO 27001","OBSERVACIÓN - Revisar Controles")))</f>
        <v/>
      </c>
    </row>
    <row r="464">
      <c r="A464" s="99"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c r="AD464">
        <f>IF(AND(Y464="",Z464="",AA464="",AB464="",AC464=""),"",IF(OR(LEFT(AA464,2)="L0",LEFT(AA464,2)="L1",Y464="No Iniciado"),"CRÍTICO - Incumplimiento Normativo SEPS",IF(AND(Y464="Implementado",Z464&lt;&gt;"",OR(LEFT(AA464,2)="L4",LEFT(AA464,2)="L5"),AB464&lt;&gt;"",AC464&lt;&gt;"",AC464&lt;&gt;"N/A"),"CONFORME - Control Efectivo ISO 27001","OBSERVACIÓN - Revisar Controles")))</f>
        <v/>
      </c>
    </row>
    <row r="465" ht="30.6" customHeight="1" s="106">
      <c r="A465" s="99"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c r="AD465">
        <f>IF(AND(Y465="",Z465="",AA465="",AB465="",AC465=""),"",IF(OR(LEFT(AA465,2)="L0",LEFT(AA465,2)="L1",Y465="No Iniciado"),"CRÍTICO - Incumplimiento Normativo SEPS",IF(AND(Y465="Implementado",Z465&lt;&gt;"",OR(LEFT(AA465,2)="L4",LEFT(AA465,2)="L5"),AB465&lt;&gt;"",AC465&lt;&gt;"",AC465&lt;&gt;"N/A"),"CONFORME - Control Efectivo ISO 27001","OBSERVACIÓN - Revisar Controles")))</f>
        <v/>
      </c>
    </row>
    <row r="466">
      <c r="A466" s="99"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c r="AD466">
        <f>IF(AND(Y466="",Z466="",AA466="",AB466="",AC466=""),"",IF(OR(LEFT(AA466,2)="L0",LEFT(AA466,2)="L1",Y466="No Iniciado"),"CRÍTICO - Incumplimiento Normativo SEPS",IF(AND(Y466="Implementado",Z466&lt;&gt;"",OR(LEFT(AA466,2)="L4",LEFT(AA466,2)="L5"),AB466&lt;&gt;"",AC466&lt;&gt;"",AC466&lt;&gt;"N/A"),"CONFORME - Control Efectivo ISO 27001","OBSERVACIÓN - Revisar Controles")))</f>
        <v/>
      </c>
    </row>
    <row r="467">
      <c r="A467" s="99"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c r="AD467">
        <f>IF(AND(Y467="",Z467="",AA467="",AB467="",AC467=""),"",IF(OR(LEFT(AA467,2)="L0",LEFT(AA467,2)="L1",Y467="No Iniciado"),"CRÍTICO - Incumplimiento Normativo SEPS",IF(AND(Y467="Implementado",Z467&lt;&gt;"",OR(LEFT(AA467,2)="L4",LEFT(AA467,2)="L5"),AB467&lt;&gt;"",AC467&lt;&gt;"",AC467&lt;&gt;"N/A"),"CONFORME - Control Efectivo ISO 27001","OBSERVACIÓN - Revisar Controles")))</f>
        <v/>
      </c>
    </row>
    <row r="468">
      <c r="A468" s="99"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c r="AD468">
        <f>IF(AND(Y468="",Z468="",AA468="",AB468="",AC468=""),"",IF(OR(LEFT(AA468,2)="L0",LEFT(AA468,2)="L1",Y468="No Iniciado"),"CRÍTICO - Incumplimiento Normativo SEPS",IF(AND(Y468="Implementado",Z468&lt;&gt;"",OR(LEFT(AA468,2)="L4",LEFT(AA468,2)="L5"),AB468&lt;&gt;"",AC468&lt;&gt;"",AC468&lt;&gt;"N/A"),"CONFORME - Control Efectivo ISO 27001","OBSERVACIÓN - Revisar Controles")))</f>
        <v/>
      </c>
    </row>
    <row r="469">
      <c r="A469" s="99"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c r="AD469">
        <f>IF(AND(Y469="",Z469="",AA469="",AB469="",AC469=""),"",IF(OR(LEFT(AA469,2)="L0",LEFT(AA469,2)="L1",Y469="No Iniciado"),"CRÍTICO - Incumplimiento Normativo SEPS",IF(AND(Y469="Implementado",Z469&lt;&gt;"",OR(LEFT(AA469,2)="L4",LEFT(AA469,2)="L5"),AB469&lt;&gt;"",AC469&lt;&gt;"",AC469&lt;&gt;"N/A"),"CONFORME - Control Efectivo ISO 27001","OBSERVACIÓN - Revisar Controles")))</f>
        <v/>
      </c>
    </row>
    <row r="470">
      <c r="A470" s="99"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c r="AD470">
        <f>IF(AND(Y470="",Z470="",AA470="",AB470="",AC470=""),"",IF(OR(LEFT(AA470,2)="L0",LEFT(AA470,2)="L1",Y470="No Iniciado"),"CRÍTICO - Incumplimiento Normativo SEPS",IF(AND(Y470="Implementado",Z470&lt;&gt;"",OR(LEFT(AA470,2)="L4",LEFT(AA470,2)="L5"),AB470&lt;&gt;"",AC470&lt;&gt;"",AC470&lt;&gt;"N/A"),"CONFORME - Control Efectivo ISO 27001","OBSERVACIÓN - Revisar Controles")))</f>
        <v/>
      </c>
    </row>
    <row r="471">
      <c r="A471" s="99"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c r="AD471">
        <f>IF(AND(Y471="",Z471="",AA471="",AB471="",AC471=""),"",IF(OR(LEFT(AA471,2)="L0",LEFT(AA471,2)="L1",Y471="No Iniciado"),"CRÍTICO - Incumplimiento Normativo SEPS",IF(AND(Y471="Implementado",Z471&lt;&gt;"",OR(LEFT(AA471,2)="L4",LEFT(AA471,2)="L5"),AB471&lt;&gt;"",AC471&lt;&gt;"",AC471&lt;&gt;"N/A"),"CONFORME - Control Efectivo ISO 27001","OBSERVACIÓN - Revisar Controles")))</f>
        <v/>
      </c>
    </row>
    <row r="472">
      <c r="A472" s="99"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c r="AD472">
        <f>IF(AND(Y472="",Z472="",AA472="",AB472="",AC472=""),"",IF(OR(LEFT(AA472,2)="L0",LEFT(AA472,2)="L1",Y472="No Iniciado"),"CRÍTICO - Incumplimiento Normativo SEPS",IF(AND(Y472="Implementado",Z472&lt;&gt;"",OR(LEFT(AA472,2)="L4",LEFT(AA472,2)="L5"),AB472&lt;&gt;"",AC472&lt;&gt;"",AC472&lt;&gt;"N/A"),"CONFORME - Control Efectivo ISO 27001","OBSERVACIÓN - Revisar Controles")))</f>
        <v/>
      </c>
    </row>
    <row r="473">
      <c r="A473" s="99"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c r="AD473">
        <f>IF(AND(Y473="",Z473="",AA473="",AB473="",AC473=""),"",IF(OR(LEFT(AA473,2)="L0",LEFT(AA473,2)="L1",Y473="No Iniciado"),"CRÍTICO - Incumplimiento Normativo SEPS",IF(AND(Y473="Implementado",Z473&lt;&gt;"",OR(LEFT(AA473,2)="L4",LEFT(AA473,2)="L5"),AB473&lt;&gt;"",AC473&lt;&gt;"",AC473&lt;&gt;"N/A"),"CONFORME - Control Efectivo ISO 27001","OBSERVACIÓN - Revisar Controles")))</f>
        <v/>
      </c>
    </row>
    <row r="474">
      <c r="A474" s="99"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c r="AD474">
        <f>IF(AND(Y474="",Z474="",AA474="",AB474="",AC474=""),"",IF(OR(LEFT(AA474,2)="L0",LEFT(AA474,2)="L1",Y474="No Iniciado"),"CRÍTICO - Incumplimiento Normativo SEPS",IF(AND(Y474="Implementado",Z474&lt;&gt;"",OR(LEFT(AA474,2)="L4",LEFT(AA474,2)="L5"),AB474&lt;&gt;"",AC474&lt;&gt;"",AC474&lt;&gt;"N/A"),"CONFORME - Control Efectivo ISO 27001","OBSERVACIÓN - Revisar Controles")))</f>
        <v/>
      </c>
    </row>
    <row r="475">
      <c r="A475" s="99"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c r="AD475">
        <f>IF(AND(Y475="",Z475="",AA475="",AB475="",AC475=""),"",IF(OR(LEFT(AA475,2)="L0",LEFT(AA475,2)="L1",Y475="No Iniciado"),"CRÍTICO - Incumplimiento Normativo SEPS",IF(AND(Y475="Implementado",Z475&lt;&gt;"",OR(LEFT(AA475,2)="L4",LEFT(AA475,2)="L5"),AB475&lt;&gt;"",AC475&lt;&gt;"",AC475&lt;&gt;"N/A"),"CONFORME - Control Efectivo ISO 27001","OBSERVACIÓN - Revisar Controles")))</f>
        <v/>
      </c>
    </row>
    <row r="476">
      <c r="A476" s="99"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c r="AD476">
        <f>IF(AND(Y476="",Z476="",AA476="",AB476="",AC476=""),"",IF(OR(LEFT(AA476,2)="L0",LEFT(AA476,2)="L1",Y476="No Iniciado"),"CRÍTICO - Incumplimiento Normativo SEPS",IF(AND(Y476="Implementado",Z476&lt;&gt;"",OR(LEFT(AA476,2)="L4",LEFT(AA476,2)="L5"),AB476&lt;&gt;"",AC476&lt;&gt;"",AC476&lt;&gt;"N/A"),"CONFORME - Control Efectivo ISO 27001","OBSERVACIÓN - Revisar Controles")))</f>
        <v/>
      </c>
    </row>
    <row r="477">
      <c r="A477" s="99"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c r="AD477">
        <f>IF(AND(Y477="",Z477="",AA477="",AB477="",AC477=""),"",IF(OR(LEFT(AA477,2)="L0",LEFT(AA477,2)="L1",Y477="No Iniciado"),"CRÍTICO - Incumplimiento Normativo SEPS",IF(AND(Y477="Implementado",Z477&lt;&gt;"",OR(LEFT(AA477,2)="L4",LEFT(AA477,2)="L5"),AB477&lt;&gt;"",AC477&lt;&gt;"",AC477&lt;&gt;"N/A"),"CONFORME - Control Efectivo ISO 27001","OBSERVACIÓN - Revisar Controles")))</f>
        <v/>
      </c>
    </row>
    <row r="478">
      <c r="A478" s="99"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c r="AD478">
        <f>IF(AND(Y478="",Z478="",AA478="",AB478="",AC478=""),"",IF(OR(LEFT(AA478,2)="L0",LEFT(AA478,2)="L1",Y478="No Iniciado"),"CRÍTICO - Incumplimiento Normativo SEPS",IF(AND(Y478="Implementado",Z478&lt;&gt;"",OR(LEFT(AA478,2)="L4",LEFT(AA478,2)="L5"),AB478&lt;&gt;"",AC478&lt;&gt;"",AC478&lt;&gt;"N/A"),"CONFORME - Control Efectivo ISO 27001","OBSERVACIÓN - Revisar Controles")))</f>
        <v/>
      </c>
    </row>
    <row r="479">
      <c r="A479" s="99"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c r="AD479">
        <f>IF(AND(Y479="",Z479="",AA479="",AB479="",AC479=""),"",IF(OR(LEFT(AA479,2)="L0",LEFT(AA479,2)="L1",Y479="No Iniciado"),"CRÍTICO - Incumplimiento Normativo SEPS",IF(AND(Y479="Implementado",Z479&lt;&gt;"",OR(LEFT(AA479,2)="L4",LEFT(AA479,2)="L5"),AB479&lt;&gt;"",AC479&lt;&gt;"",AC479&lt;&gt;"N/A"),"CONFORME - Control Efectivo ISO 27001","OBSERVACIÓN - Revisar Controles")))</f>
        <v/>
      </c>
    </row>
    <row r="480">
      <c r="A480" s="99"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c r="AD480">
        <f>IF(AND(Y480="",Z480="",AA480="",AB480="",AC480=""),"",IF(OR(LEFT(AA480,2)="L0",LEFT(AA480,2)="L1",Y480="No Iniciado"),"CRÍTICO - Incumplimiento Normativo SEPS",IF(AND(Y480="Implementado",Z480&lt;&gt;"",OR(LEFT(AA480,2)="L4",LEFT(AA480,2)="L5"),AB480&lt;&gt;"",AC480&lt;&gt;"",AC480&lt;&gt;"N/A"),"CONFORME - Control Efectivo ISO 27001","OBSERVACIÓN - Revisar Controles")))</f>
        <v/>
      </c>
    </row>
    <row r="481">
      <c r="A481" s="99"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c r="AD481">
        <f>IF(AND(Y481="",Z481="",AA481="",AB481="",AC481=""),"",IF(OR(LEFT(AA481,2)="L0",LEFT(AA481,2)="L1",Y481="No Iniciado"),"CRÍTICO - Incumplimiento Normativo SEPS",IF(AND(Y481="Implementado",Z481&lt;&gt;"",OR(LEFT(AA481,2)="L4",LEFT(AA481,2)="L5"),AB481&lt;&gt;"",AC481&lt;&gt;"",AC481&lt;&gt;"N/A"),"CONFORME - Control Efectivo ISO 27001","OBSERVACIÓN - Revisar Controles")))</f>
        <v/>
      </c>
    </row>
    <row r="482">
      <c r="A482" s="99"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c r="AD482">
        <f>IF(AND(Y482="",Z482="",AA482="",AB482="",AC482=""),"",IF(OR(LEFT(AA482,2)="L0",LEFT(AA482,2)="L1",Y482="No Iniciado"),"CRÍTICO - Incumplimiento Normativo SEPS",IF(AND(Y482="Implementado",Z482&lt;&gt;"",OR(LEFT(AA482,2)="L4",LEFT(AA482,2)="L5"),AB482&lt;&gt;"",AC482&lt;&gt;"",AC482&lt;&gt;"N/A"),"CONFORME - Control Efectivo ISO 27001","OBSERVACIÓN - Revisar Controles")))</f>
        <v/>
      </c>
    </row>
    <row r="483">
      <c r="A483" s="99"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c r="AD483">
        <f>IF(AND(Y483="",Z483="",AA483="",AB483="",AC483=""),"",IF(OR(LEFT(AA483,2)="L0",LEFT(AA483,2)="L1",Y483="No Iniciado"),"CRÍTICO - Incumplimiento Normativo SEPS",IF(AND(Y483="Implementado",Z483&lt;&gt;"",OR(LEFT(AA483,2)="L4",LEFT(AA483,2)="L5"),AB483&lt;&gt;"",AC483&lt;&gt;"",AC483&lt;&gt;"N/A"),"CONFORME - Control Efectivo ISO 27001","OBSERVACIÓN - Revisar Controles")))</f>
        <v/>
      </c>
    </row>
    <row r="484">
      <c r="A484" s="99"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c r="AD484">
        <f>IF(AND(Y484="",Z484="",AA484="",AB484="",AC484=""),"",IF(OR(LEFT(AA484,2)="L0",LEFT(AA484,2)="L1",Y484="No Iniciado"),"CRÍTICO - Incumplimiento Normativo SEPS",IF(AND(Y484="Implementado",Z484&lt;&gt;"",OR(LEFT(AA484,2)="L4",LEFT(AA484,2)="L5"),AB484&lt;&gt;"",AC484&lt;&gt;"",AC484&lt;&gt;"N/A"),"CONFORME - Control Efectivo ISO 27001","OBSERVACIÓN - Revisar Controles")))</f>
        <v/>
      </c>
    </row>
    <row r="485">
      <c r="A485" s="99"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c r="AD485">
        <f>IF(AND(Y485="",Z485="",AA485="",AB485="",AC485=""),"",IF(OR(LEFT(AA485,2)="L0",LEFT(AA485,2)="L1",Y485="No Iniciado"),"CRÍTICO - Incumplimiento Normativo SEPS",IF(AND(Y485="Implementado",Z485&lt;&gt;"",OR(LEFT(AA485,2)="L4",LEFT(AA485,2)="L5"),AB485&lt;&gt;"",AC485&lt;&gt;"",AC485&lt;&gt;"N/A"),"CONFORME - Control Efectivo ISO 27001","OBSERVACIÓN - Revisar Controles")))</f>
        <v/>
      </c>
    </row>
    <row r="486">
      <c r="A486" s="99"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c r="AD486">
        <f>IF(AND(Y486="",Z486="",AA486="",AB486="",AC486=""),"",IF(OR(LEFT(AA486,2)="L0",LEFT(AA486,2)="L1",Y486="No Iniciado"),"CRÍTICO - Incumplimiento Normativo SEPS",IF(AND(Y486="Implementado",Z486&lt;&gt;"",OR(LEFT(AA486,2)="L4",LEFT(AA486,2)="L5"),AB486&lt;&gt;"",AC486&lt;&gt;"",AC486&lt;&gt;"N/A"),"CONFORME - Control Efectivo ISO 27001","OBSERVACIÓN - Revisar Controles")))</f>
        <v/>
      </c>
    </row>
    <row r="487">
      <c r="A487" s="99"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c r="AD487">
        <f>IF(AND(Y487="",Z487="",AA487="",AB487="",AC487=""),"",IF(OR(LEFT(AA487,2)="L0",LEFT(AA487,2)="L1",Y487="No Iniciado"),"CRÍTICO - Incumplimiento Normativo SEPS",IF(AND(Y487="Implementado",Z487&lt;&gt;"",OR(LEFT(AA487,2)="L4",LEFT(AA487,2)="L5"),AB487&lt;&gt;"",AC487&lt;&gt;"",AC487&lt;&gt;"N/A"),"CONFORME - Control Efectivo ISO 27001","OBSERVACIÓN - Revisar Controles")))</f>
        <v/>
      </c>
    </row>
    <row r="488">
      <c r="A488" s="99"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c r="AD488">
        <f>IF(AND(Y488="",Z488="",AA488="",AB488="",AC488=""),"",IF(OR(LEFT(AA488,2)="L0",LEFT(AA488,2)="L1",Y488="No Iniciado"),"CRÍTICO - Incumplimiento Normativo SEPS",IF(AND(Y488="Implementado",Z488&lt;&gt;"",OR(LEFT(AA488,2)="L4",LEFT(AA488,2)="L5"),AB488&lt;&gt;"",AC488&lt;&gt;"",AC488&lt;&gt;"N/A"),"CONFORME - Control Efectivo ISO 27001","OBSERVACIÓN - Revisar Controles")))</f>
        <v/>
      </c>
    </row>
    <row r="489">
      <c r="A489" s="99"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c r="AD489">
        <f>IF(AND(Y489="",Z489="",AA489="",AB489="",AC489=""),"",IF(OR(LEFT(AA489,2)="L0",LEFT(AA489,2)="L1",Y489="No Iniciado"),"CRÍTICO - Incumplimiento Normativo SEPS",IF(AND(Y489="Implementado",Z489&lt;&gt;"",OR(LEFT(AA489,2)="L4",LEFT(AA489,2)="L5"),AB489&lt;&gt;"",AC489&lt;&gt;"",AC489&lt;&gt;"N/A"),"CONFORME - Control Efectivo ISO 27001","OBSERVACIÓN - Revisar Controles")))</f>
        <v/>
      </c>
    </row>
    <row r="490">
      <c r="A490" s="99"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c r="AD490">
        <f>IF(AND(Y490="",Z490="",AA490="",AB490="",AC490=""),"",IF(OR(LEFT(AA490,2)="L0",LEFT(AA490,2)="L1",Y490="No Iniciado"),"CRÍTICO - Incumplimiento Normativo SEPS",IF(AND(Y490="Implementado",Z490&lt;&gt;"",OR(LEFT(AA490,2)="L4",LEFT(AA490,2)="L5"),AB490&lt;&gt;"",AC490&lt;&gt;"",AC490&lt;&gt;"N/A"),"CONFORME - Control Efectivo ISO 27001","OBSERVACIÓN - Revisar Controles")))</f>
        <v/>
      </c>
    </row>
    <row r="491">
      <c r="A491" s="99"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c r="AD491">
        <f>IF(AND(Y491="",Z491="",AA491="",AB491="",AC491=""),"",IF(OR(LEFT(AA491,2)="L0",LEFT(AA491,2)="L1",Y491="No Iniciado"),"CRÍTICO - Incumplimiento Normativo SEPS",IF(AND(Y491="Implementado",Z491&lt;&gt;"",OR(LEFT(AA491,2)="L4",LEFT(AA491,2)="L5"),AB491&lt;&gt;"",AC491&lt;&gt;"",AC491&lt;&gt;"N/A"),"CONFORME - Control Efectivo ISO 27001","OBSERVACIÓN - Revisar Controles")))</f>
        <v/>
      </c>
    </row>
    <row r="492">
      <c r="A492" s="99"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c r="AD492">
        <f>IF(AND(Y492="",Z492="",AA492="",AB492="",AC492=""),"",IF(OR(LEFT(AA492,2)="L0",LEFT(AA492,2)="L1",Y492="No Iniciado"),"CRÍTICO - Incumplimiento Normativo SEPS",IF(AND(Y492="Implementado",Z492&lt;&gt;"",OR(LEFT(AA492,2)="L4",LEFT(AA492,2)="L5"),AB492&lt;&gt;"",AC492&lt;&gt;"",AC492&lt;&gt;"N/A"),"CONFORME - Control Efectivo ISO 27001","OBSERVACIÓN - Revisar Controles")))</f>
        <v/>
      </c>
    </row>
    <row r="493">
      <c r="A493" s="99"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c r="AD493">
        <f>IF(AND(Y493="",Z493="",AA493="",AB493="",AC493=""),"",IF(OR(LEFT(AA493,2)="L0",LEFT(AA493,2)="L1",Y493="No Iniciado"),"CRÍTICO - Incumplimiento Normativo SEPS",IF(AND(Y493="Implementado",Z493&lt;&gt;"",OR(LEFT(AA493,2)="L4",LEFT(AA493,2)="L5"),AB493&lt;&gt;"",AC493&lt;&gt;"",AC493&lt;&gt;"N/A"),"CONFORME - Control Efectivo ISO 27001","OBSERVACIÓN - Revisar Controles")))</f>
        <v/>
      </c>
    </row>
    <row r="494">
      <c r="A494" s="99"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c r="AD494">
        <f>IF(AND(Y494="",Z494="",AA494="",AB494="",AC494=""),"",IF(OR(LEFT(AA494,2)="L0",LEFT(AA494,2)="L1",Y494="No Iniciado"),"CRÍTICO - Incumplimiento Normativo SEPS",IF(AND(Y494="Implementado",Z494&lt;&gt;"",OR(LEFT(AA494,2)="L4",LEFT(AA494,2)="L5"),AB494&lt;&gt;"",AC494&lt;&gt;"",AC494&lt;&gt;"N/A"),"CONFORME - Control Efectivo ISO 27001","OBSERVACIÓN - Revisar Controles")))</f>
        <v/>
      </c>
    </row>
    <row r="495">
      <c r="A495" s="99"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c r="AD495">
        <f>IF(AND(Y495="",Z495="",AA495="",AB495="",AC495=""),"",IF(OR(LEFT(AA495,2)="L0",LEFT(AA495,2)="L1",Y495="No Iniciado"),"CRÍTICO - Incumplimiento Normativo SEPS",IF(AND(Y495="Implementado",Z495&lt;&gt;"",OR(LEFT(AA495,2)="L4",LEFT(AA495,2)="L5"),AB495&lt;&gt;"",AC495&lt;&gt;"",AC495&lt;&gt;"N/A"),"CONFORME - Control Efectivo ISO 27001","OBSERVACIÓN - Revisar Controles")))</f>
        <v/>
      </c>
    </row>
    <row r="496">
      <c r="A496" s="99"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c r="AD496">
        <f>IF(AND(Y496="",Z496="",AA496="",AB496="",AC496=""),"",IF(OR(LEFT(AA496,2)="L0",LEFT(AA496,2)="L1",Y496="No Iniciado"),"CRÍTICO - Incumplimiento Normativo SEPS",IF(AND(Y496="Implementado",Z496&lt;&gt;"",OR(LEFT(AA496,2)="L4",LEFT(AA496,2)="L5"),AB496&lt;&gt;"",AC496&lt;&gt;"",AC496&lt;&gt;"N/A"),"CONFORME - Control Efectivo ISO 27001","OBSERVACIÓN - Revisar Controles")))</f>
        <v/>
      </c>
    </row>
    <row r="497">
      <c r="A497" s="99"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c r="AD497">
        <f>IF(AND(Y497="",Z497="",AA497="",AB497="",AC497=""),"",IF(OR(LEFT(AA497,2)="L0",LEFT(AA497,2)="L1",Y497="No Iniciado"),"CRÍTICO - Incumplimiento Normativo SEPS",IF(AND(Y497="Implementado",Z497&lt;&gt;"",OR(LEFT(AA497,2)="L4",LEFT(AA497,2)="L5"),AB497&lt;&gt;"",AC497&lt;&gt;"",AC497&lt;&gt;"N/A"),"CONFORME - Control Efectivo ISO 27001","OBSERVACIÓN - Revisar Controles")))</f>
        <v/>
      </c>
    </row>
    <row r="498">
      <c r="A498" s="99"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c r="AD498">
        <f>IF(AND(Y498="",Z498="",AA498="",AB498="",AC498=""),"",IF(OR(LEFT(AA498,2)="L0",LEFT(AA498,2)="L1",Y498="No Iniciado"),"CRÍTICO - Incumplimiento Normativo SEPS",IF(AND(Y498="Implementado",Z498&lt;&gt;"",OR(LEFT(AA498,2)="L4",LEFT(AA498,2)="L5"),AB498&lt;&gt;"",AC498&lt;&gt;"",AC498&lt;&gt;"N/A"),"CONFORME - Control Efectivo ISO 27001","OBSERVACIÓN - Revisar Controles")))</f>
        <v/>
      </c>
    </row>
    <row r="499">
      <c r="A499" s="99"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c r="AD499">
        <f>IF(AND(Y499="",Z499="",AA499="",AB499="",AC499=""),"",IF(OR(LEFT(AA499,2)="L0",LEFT(AA499,2)="L1",Y499="No Iniciado"),"CRÍTICO - Incumplimiento Normativo SEPS",IF(AND(Y499="Implementado",Z499&lt;&gt;"",OR(LEFT(AA499,2)="L4",LEFT(AA499,2)="L5"),AB499&lt;&gt;"",AC499&lt;&gt;"",AC499&lt;&gt;"N/A"),"CONFORME - Control Efectivo ISO 27001","OBSERVACIÓN - Revisar Controles")))</f>
        <v/>
      </c>
    </row>
    <row r="500">
      <c r="A500" s="99"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c r="AD500">
        <f>IF(AND(Y500="",Z500="",AA500="",AB500="",AC500=""),"",IF(OR(LEFT(AA500,2)="L0",LEFT(AA500,2)="L1",Y500="No Iniciado"),"CRÍTICO - Incumplimiento Normativo SEPS",IF(AND(Y500="Implementado",Z500&lt;&gt;"",OR(LEFT(AA500,2)="L4",LEFT(AA500,2)="L5"),AB500&lt;&gt;"",AC500&lt;&gt;"",AC500&lt;&gt;"N/A"),"CONFORME - Control Efectivo ISO 27001","OBSERVACIÓN - Revisar Controles")))</f>
        <v/>
      </c>
    </row>
    <row r="501">
      <c r="A501" s="99"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c r="AD501">
        <f>IF(AND(Y501="",Z501="",AA501="",AB501="",AC501=""),"",IF(OR(LEFT(AA501,2)="L0",LEFT(AA501,2)="L1",Y501="No Iniciado"),"CRÍTICO - Incumplimiento Normativo SEPS",IF(AND(Y501="Implementado",Z501&lt;&gt;"",OR(LEFT(AA501,2)="L4",LEFT(AA501,2)="L5"),AB501&lt;&gt;"",AC501&lt;&gt;"",AC501&lt;&gt;"N/A"),"CONFORME - Control Efectivo ISO 27001","OBSERVACIÓN - Revisar Controles")))</f>
        <v/>
      </c>
    </row>
    <row r="502">
      <c r="A502" s="99"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c r="AD502">
        <f>IF(AND(Y502="",Z502="",AA502="",AB502="",AC502=""),"",IF(OR(LEFT(AA502,2)="L0",LEFT(AA502,2)="L1",Y502="No Iniciado"),"CRÍTICO - Incumplimiento Normativo SEPS",IF(AND(Y502="Implementado",Z502&lt;&gt;"",OR(LEFT(AA502,2)="L4",LEFT(AA502,2)="L5"),AB502&lt;&gt;"",AC502&lt;&gt;"",AC502&lt;&gt;"N/A"),"CONFORME - Control Efectivo ISO 27001","OBSERVACIÓN - Revisar Controles")))</f>
        <v/>
      </c>
    </row>
    <row r="503">
      <c r="A503" s="99"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c r="AD503">
        <f>IF(AND(Y503="",Z503="",AA503="",AB503="",AC503=""),"",IF(OR(LEFT(AA503,2)="L0",LEFT(AA503,2)="L1",Y503="No Iniciado"),"CRÍTICO - Incumplimiento Normativo SEPS",IF(AND(Y503="Implementado",Z503&lt;&gt;"",OR(LEFT(AA503,2)="L4",LEFT(AA503,2)="L5"),AB503&lt;&gt;"",AC503&lt;&gt;"",AC503&lt;&gt;"N/A"),"CONFORME - Control Efectivo ISO 27001","OBSERVACIÓN - Revisar Controles")))</f>
        <v/>
      </c>
    </row>
    <row r="504">
      <c r="A504" s="99"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c r="AD504">
        <f>IF(AND(Y504="",Z504="",AA504="",AB504="",AC504=""),"",IF(OR(LEFT(AA504,2)="L0",LEFT(AA504,2)="L1",Y504="No Iniciado"),"CRÍTICO - Incumplimiento Normativo SEPS",IF(AND(Y504="Implementado",Z504&lt;&gt;"",OR(LEFT(AA504,2)="L4",LEFT(AA504,2)="L5"),AB504&lt;&gt;"",AC504&lt;&gt;"",AC504&lt;&gt;"N/A"),"CONFORME - Control Efectivo ISO 27001","OBSERVACIÓN - Revisar Controles")))</f>
        <v/>
      </c>
    </row>
    <row r="505">
      <c r="A505" s="99"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c r="AD505">
        <f>IF(AND(Y505="",Z505="",AA505="",AB505="",AC505=""),"",IF(OR(LEFT(AA505,2)="L0",LEFT(AA505,2)="L1",Y505="No Iniciado"),"CRÍTICO - Incumplimiento Normativo SEPS",IF(AND(Y505="Implementado",Z505&lt;&gt;"",OR(LEFT(AA505,2)="L4",LEFT(AA505,2)="L5"),AB505&lt;&gt;"",AC505&lt;&gt;"",AC505&lt;&gt;"N/A"),"CONFORME - Control Efectivo ISO 27001","OBSERVACIÓN - Revisar Controles")))</f>
        <v/>
      </c>
    </row>
    <row r="506">
      <c r="A506" s="99"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c r="AD506">
        <f>IF(AND(Y506="",Z506="",AA506="",AB506="",AC506=""),"",IF(OR(LEFT(AA506,2)="L0",LEFT(AA506,2)="L1",Y506="No Iniciado"),"CRÍTICO - Incumplimiento Normativo SEPS",IF(AND(Y506="Implementado",Z506&lt;&gt;"",OR(LEFT(AA506,2)="L4",LEFT(AA506,2)="L5"),AB506&lt;&gt;"",AC506&lt;&gt;"",AC506&lt;&gt;"N/A"),"CONFORME - Control Efectivo ISO 27001","OBSERVACIÓN - Revisar Controles")))</f>
        <v/>
      </c>
    </row>
    <row r="507">
      <c r="A507" s="99"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c r="AD507">
        <f>IF(AND(Y507="",Z507="",AA507="",AB507="",AC507=""),"",IF(OR(LEFT(AA507,2)="L0",LEFT(AA507,2)="L1",Y507="No Iniciado"),"CRÍTICO - Incumplimiento Normativo SEPS",IF(AND(Y507="Implementado",Z507&lt;&gt;"",OR(LEFT(AA507,2)="L4",LEFT(AA507,2)="L5"),AB507&lt;&gt;"",AC507&lt;&gt;"",AC507&lt;&gt;"N/A"),"CONFORME - Control Efectivo ISO 27001","OBSERVACIÓN - Revisar Controles")))</f>
        <v/>
      </c>
    </row>
    <row r="508">
      <c r="A508" s="99"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c r="AD508">
        <f>IF(AND(Y508="",Z508="",AA508="",AB508="",AC508=""),"",IF(OR(LEFT(AA508,2)="L0",LEFT(AA508,2)="L1",Y508="No Iniciado"),"CRÍTICO - Incumplimiento Normativo SEPS",IF(AND(Y508="Implementado",Z508&lt;&gt;"",OR(LEFT(AA508,2)="L4",LEFT(AA508,2)="L5"),AB508&lt;&gt;"",AC508&lt;&gt;"",AC508&lt;&gt;"N/A"),"CONFORME - Control Efectivo ISO 27001","OBSERVACIÓN - Revisar Controles")))</f>
        <v/>
      </c>
    </row>
    <row r="509">
      <c r="A509" s="99"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c r="AD509">
        <f>IF(AND(Y509="",Z509="",AA509="",AB509="",AC509=""),"",IF(OR(LEFT(AA509,2)="L0",LEFT(AA509,2)="L1",Y509="No Iniciado"),"CRÍTICO - Incumplimiento Normativo SEPS",IF(AND(Y509="Implementado",Z509&lt;&gt;"",OR(LEFT(AA509,2)="L4",LEFT(AA509,2)="L5"),AB509&lt;&gt;"",AC509&lt;&gt;"",AC509&lt;&gt;"N/A"),"CONFORME - Control Efectivo ISO 27001","OBSERVACIÓN - Revisar Controles")))</f>
        <v/>
      </c>
    </row>
    <row r="510">
      <c r="A510" s="99"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c r="AD510">
        <f>IF(AND(Y510="",Z510="",AA510="",AB510="",AC510=""),"",IF(OR(LEFT(AA510,2)="L0",LEFT(AA510,2)="L1",Y510="No Iniciado"),"CRÍTICO - Incumplimiento Normativo SEPS",IF(AND(Y510="Implementado",Z510&lt;&gt;"",OR(LEFT(AA510,2)="L4",LEFT(AA510,2)="L5"),AB510&lt;&gt;"",AC510&lt;&gt;"",AC510&lt;&gt;"N/A"),"CONFORME - Control Efectivo ISO 27001","OBSERVACIÓN - Revisar Controles")))</f>
        <v/>
      </c>
    </row>
    <row r="511">
      <c r="A511" s="99"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c r="AD511">
        <f>IF(AND(Y511="",Z511="",AA511="",AB511="",AC511=""),"",IF(OR(LEFT(AA511,2)="L0",LEFT(AA511,2)="L1",Y511="No Iniciado"),"CRÍTICO - Incumplimiento Normativo SEPS",IF(AND(Y511="Implementado",Z511&lt;&gt;"",OR(LEFT(AA511,2)="L4",LEFT(AA511,2)="L5"),AB511&lt;&gt;"",AC511&lt;&gt;"",AC511&lt;&gt;"N/A"),"CONFORME - Control Efectivo ISO 27001","OBSERVACIÓN - Revisar Controles")))</f>
        <v/>
      </c>
    </row>
    <row r="512">
      <c r="A512" s="99"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c r="AD512">
        <f>IF(AND(Y512="",Z512="",AA512="",AB512="",AC512=""),"",IF(OR(LEFT(AA512,2)="L0",LEFT(AA512,2)="L1",Y512="No Iniciado"),"CRÍTICO - Incumplimiento Normativo SEPS",IF(AND(Y512="Implementado",Z512&lt;&gt;"",OR(LEFT(AA512,2)="L4",LEFT(AA512,2)="L5"),AB512&lt;&gt;"",AC512&lt;&gt;"",AC512&lt;&gt;"N/A"),"CONFORME - Control Efectivo ISO 27001","OBSERVACIÓN - Revisar Controles")))</f>
        <v/>
      </c>
    </row>
    <row r="513">
      <c r="A513" s="99"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c r="AD513">
        <f>IF(AND(Y513="",Z513="",AA513="",AB513="",AC513=""),"",IF(OR(LEFT(AA513,2)="L0",LEFT(AA513,2)="L1",Y513="No Iniciado"),"CRÍTICO - Incumplimiento Normativo SEPS",IF(AND(Y513="Implementado",Z513&lt;&gt;"",OR(LEFT(AA513,2)="L4",LEFT(AA513,2)="L5"),AB513&lt;&gt;"",AC513&lt;&gt;"",AC513&lt;&gt;"N/A"),"CONFORME - Control Efectivo ISO 27001","OBSERVACIÓN - Revisar Controles")))</f>
        <v/>
      </c>
    </row>
    <row r="514">
      <c r="A514" s="99"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c r="AD514">
        <f>IF(AND(Y514="",Z514="",AA514="",AB514="",AC514=""),"",IF(OR(LEFT(AA514,2)="L0",LEFT(AA514,2)="L1",Y514="No Iniciado"),"CRÍTICO - Incumplimiento Normativo SEPS",IF(AND(Y514="Implementado",Z514&lt;&gt;"",OR(LEFT(AA514,2)="L4",LEFT(AA514,2)="L5"),AB514&lt;&gt;"",AC514&lt;&gt;"",AC514&lt;&gt;"N/A"),"CONFORME - Control Efectivo ISO 27001","OBSERVACIÓN - Revisar Controles")))</f>
        <v/>
      </c>
    </row>
    <row r="515">
      <c r="A515" s="99"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c r="AD515">
        <f>IF(AND(Y515="",Z515="",AA515="",AB515="",AC515=""),"",IF(OR(LEFT(AA515,2)="L0",LEFT(AA515,2)="L1",Y515="No Iniciado"),"CRÍTICO - Incumplimiento Normativo SEPS",IF(AND(Y515="Implementado",Z515&lt;&gt;"",OR(LEFT(AA515,2)="L4",LEFT(AA515,2)="L5"),AB515&lt;&gt;"",AC515&lt;&gt;"",AC515&lt;&gt;"N/A"),"CONFORME - Control Efectivo ISO 27001","OBSERVACIÓN - Revisar Controles")))</f>
        <v/>
      </c>
    </row>
    <row r="516">
      <c r="A516" s="99"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c r="AD516">
        <f>IF(AND(Y516="",Z516="",AA516="",AB516="",AC516=""),"",IF(OR(LEFT(AA516,2)="L0",LEFT(AA516,2)="L1",Y516="No Iniciado"),"CRÍTICO - Incumplimiento Normativo SEPS",IF(AND(Y516="Implementado",Z516&lt;&gt;"",OR(LEFT(AA516,2)="L4",LEFT(AA516,2)="L5"),AB516&lt;&gt;"",AC516&lt;&gt;"",AC516&lt;&gt;"N/A"),"CONFORME - Control Efectivo ISO 27001","OBSERVACIÓN - Revisar Controles")))</f>
        <v/>
      </c>
    </row>
    <row r="517">
      <c r="A517" s="99"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c r="AD517">
        <f>IF(AND(Y517="",Z517="",AA517="",AB517="",AC517=""),"",IF(OR(LEFT(AA517,2)="L0",LEFT(AA517,2)="L1",Y517="No Iniciado"),"CRÍTICO - Incumplimiento Normativo SEPS",IF(AND(Y517="Implementado",Z517&lt;&gt;"",OR(LEFT(AA517,2)="L4",LEFT(AA517,2)="L5"),AB517&lt;&gt;"",AC517&lt;&gt;"",AC517&lt;&gt;"N/A"),"CONFORME - Control Efectivo ISO 27001","OBSERVACIÓN - Revisar Controles")))</f>
        <v/>
      </c>
    </row>
    <row r="518">
      <c r="A518" s="99"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c r="AD518">
        <f>IF(AND(Y518="",Z518="",AA518="",AB518="",AC518=""),"",IF(OR(LEFT(AA518,2)="L0",LEFT(AA518,2)="L1",Y518="No Iniciado"),"CRÍTICO - Incumplimiento Normativo SEPS",IF(AND(Y518="Implementado",Z518&lt;&gt;"",OR(LEFT(AA518,2)="L4",LEFT(AA518,2)="L5"),AB518&lt;&gt;"",AC518&lt;&gt;"",AC518&lt;&gt;"N/A"),"CONFORME - Control Efectivo ISO 27001","OBSERVACIÓN - Revisar Controles")))</f>
        <v/>
      </c>
    </row>
    <row r="519">
      <c r="A519" s="99"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c r="AD519">
        <f>IF(AND(Y519="",Z519="",AA519="",AB519="",AC519=""),"",IF(OR(LEFT(AA519,2)="L0",LEFT(AA519,2)="L1",Y519="No Iniciado"),"CRÍTICO - Incumplimiento Normativo SEPS",IF(AND(Y519="Implementado",Z519&lt;&gt;"",OR(LEFT(AA519,2)="L4",LEFT(AA519,2)="L5"),AB519&lt;&gt;"",AC519&lt;&gt;"",AC519&lt;&gt;"N/A"),"CONFORME - Control Efectivo ISO 27001","OBSERVACIÓN - Revisar Controles")))</f>
        <v/>
      </c>
    </row>
    <row r="520">
      <c r="A520" s="99"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c r="AD520">
        <f>IF(AND(Y520="",Z520="",AA520="",AB520="",AC520=""),"",IF(OR(LEFT(AA520,2)="L0",LEFT(AA520,2)="L1",Y520="No Iniciado"),"CRÍTICO - Incumplimiento Normativo SEPS",IF(AND(Y520="Implementado",Z520&lt;&gt;"",OR(LEFT(AA520,2)="L4",LEFT(AA520,2)="L5"),AB520&lt;&gt;"",AC520&lt;&gt;"",AC520&lt;&gt;"N/A"),"CONFORME - Control Efectivo ISO 27001","OBSERVACIÓN - Revisar Controles")))</f>
        <v/>
      </c>
    </row>
    <row r="521">
      <c r="A521" s="99"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c r="AD521">
        <f>IF(AND(Y521="",Z521="",AA521="",AB521="",AC521=""),"",IF(OR(LEFT(AA521,2)="L0",LEFT(AA521,2)="L1",Y521="No Iniciado"),"CRÍTICO - Incumplimiento Normativo SEPS",IF(AND(Y521="Implementado",Z521&lt;&gt;"",OR(LEFT(AA521,2)="L4",LEFT(AA521,2)="L5"),AB521&lt;&gt;"",AC521&lt;&gt;"",AC521&lt;&gt;"N/A"),"CONFORME - Control Efectivo ISO 27001","OBSERVACIÓN - Revisar Controles")))</f>
        <v/>
      </c>
    </row>
    <row r="522">
      <c r="A522" s="99"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c r="AD522">
        <f>IF(AND(Y522="",Z522="",AA522="",AB522="",AC522=""),"",IF(OR(LEFT(AA522,2)="L0",LEFT(AA522,2)="L1",Y522="No Iniciado"),"CRÍTICO - Incumplimiento Normativo SEPS",IF(AND(Y522="Implementado",Z522&lt;&gt;"",OR(LEFT(AA522,2)="L4",LEFT(AA522,2)="L5"),AB522&lt;&gt;"",AC522&lt;&gt;"",AC522&lt;&gt;"N/A"),"CONFORME - Control Efectivo ISO 27001","OBSERVACIÓN - Revisar Controles")))</f>
        <v/>
      </c>
    </row>
    <row r="523">
      <c r="A523" s="99"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c r="AD523">
        <f>IF(AND(Y523="",Z523="",AA523="",AB523="",AC523=""),"",IF(OR(LEFT(AA523,2)="L0",LEFT(AA523,2)="L1",Y523="No Iniciado"),"CRÍTICO - Incumplimiento Normativo SEPS",IF(AND(Y523="Implementado",Z523&lt;&gt;"",OR(LEFT(AA523,2)="L4",LEFT(AA523,2)="L5"),AB523&lt;&gt;"",AC523&lt;&gt;"",AC523&lt;&gt;"N/A"),"CONFORME - Control Efectivo ISO 27001","OBSERVACIÓN - Revisar Controles")))</f>
        <v/>
      </c>
    </row>
    <row r="524">
      <c r="A524" s="99"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c r="AD524">
        <f>IF(AND(Y524="",Z524="",AA524="",AB524="",AC524=""),"",IF(OR(LEFT(AA524,2)="L0",LEFT(AA524,2)="L1",Y524="No Iniciado"),"CRÍTICO - Incumplimiento Normativo SEPS",IF(AND(Y524="Implementado",Z524&lt;&gt;"",OR(LEFT(AA524,2)="L4",LEFT(AA524,2)="L5"),AB524&lt;&gt;"",AC524&lt;&gt;"",AC524&lt;&gt;"N/A"),"CONFORME - Control Efectivo ISO 27001","OBSERVACIÓN - Revisar Controles")))</f>
        <v/>
      </c>
    </row>
    <row r="525">
      <c r="A525" s="99"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c r="AD525">
        <f>IF(AND(Y525="",Z525="",AA525="",AB525="",AC525=""),"",IF(OR(LEFT(AA525,2)="L0",LEFT(AA525,2)="L1",Y525="No Iniciado"),"CRÍTICO - Incumplimiento Normativo SEPS",IF(AND(Y525="Implementado",Z525&lt;&gt;"",OR(LEFT(AA525,2)="L4",LEFT(AA525,2)="L5"),AB525&lt;&gt;"",AC525&lt;&gt;"",AC525&lt;&gt;"N/A"),"CONFORME - Control Efectivo ISO 27001","OBSERVACIÓN - Revisar Controles")))</f>
        <v/>
      </c>
    </row>
    <row r="526">
      <c r="A526" s="99"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c r="AD526">
        <f>IF(AND(Y526="",Z526="",AA526="",AB526="",AC526=""),"",IF(OR(LEFT(AA526,2)="L0",LEFT(AA526,2)="L1",Y526="No Iniciado"),"CRÍTICO - Incumplimiento Normativo SEPS",IF(AND(Y526="Implementado",Z526&lt;&gt;"",OR(LEFT(AA526,2)="L4",LEFT(AA526,2)="L5"),AB526&lt;&gt;"",AC526&lt;&gt;"",AC526&lt;&gt;"N/A"),"CONFORME - Control Efectivo ISO 27001","OBSERVACIÓN - Revisar Controles")))</f>
        <v/>
      </c>
    </row>
    <row r="527">
      <c r="A527" s="99"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c r="AD527">
        <f>IF(AND(Y527="",Z527="",AA527="",AB527="",AC527=""),"",IF(OR(LEFT(AA527,2)="L0",LEFT(AA527,2)="L1",Y527="No Iniciado"),"CRÍTICO - Incumplimiento Normativo SEPS",IF(AND(Y527="Implementado",Z527&lt;&gt;"",OR(LEFT(AA527,2)="L4",LEFT(AA527,2)="L5"),AB527&lt;&gt;"",AC527&lt;&gt;"",AC527&lt;&gt;"N/A"),"CONFORME - Control Efectivo ISO 27001","OBSERVACIÓN - Revisar Controles")))</f>
        <v/>
      </c>
    </row>
    <row r="528">
      <c r="A528" s="99"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c r="AD528">
        <f>IF(AND(Y528="",Z528="",AA528="",AB528="",AC528=""),"",IF(OR(LEFT(AA528,2)="L0",LEFT(AA528,2)="L1",Y528="No Iniciado"),"CRÍTICO - Incumplimiento Normativo SEPS",IF(AND(Y528="Implementado",Z528&lt;&gt;"",OR(LEFT(AA528,2)="L4",LEFT(AA528,2)="L5"),AB528&lt;&gt;"",AC528&lt;&gt;"",AC528&lt;&gt;"N/A"),"CONFORME - Control Efectivo ISO 27001","OBSERVACIÓN - Revisar Controles")))</f>
        <v/>
      </c>
    </row>
    <row r="529">
      <c r="A529" s="99"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c r="AD529">
        <f>IF(AND(Y529="",Z529="",AA529="",AB529="",AC529=""),"",IF(OR(LEFT(AA529,2)="L0",LEFT(AA529,2)="L1",Y529="No Iniciado"),"CRÍTICO - Incumplimiento Normativo SEPS",IF(AND(Y529="Implementado",Z529&lt;&gt;"",OR(LEFT(AA529,2)="L4",LEFT(AA529,2)="L5"),AB529&lt;&gt;"",AC529&lt;&gt;"",AC529&lt;&gt;"N/A"),"CONFORME - Control Efectivo ISO 27001","OBSERVACIÓN - Revisar Controles")))</f>
        <v/>
      </c>
    </row>
    <row r="530">
      <c r="A530" s="99"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c r="AD530">
        <f>IF(AND(Y530="",Z530="",AA530="",AB530="",AC530=""),"",IF(OR(LEFT(AA530,2)="L0",LEFT(AA530,2)="L1",Y530="No Iniciado"),"CRÍTICO - Incumplimiento Normativo SEPS",IF(AND(Y530="Implementado",Z530&lt;&gt;"",OR(LEFT(AA530,2)="L4",LEFT(AA530,2)="L5"),AB530&lt;&gt;"",AC530&lt;&gt;"",AC530&lt;&gt;"N/A"),"CONFORME - Control Efectivo ISO 27001","OBSERVACIÓN - Revisar Controles")))</f>
        <v/>
      </c>
    </row>
    <row r="531">
      <c r="A531" s="99"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c r="AD531">
        <f>IF(AND(Y531="",Z531="",AA531="",AB531="",AC531=""),"",IF(OR(LEFT(AA531,2)="L0",LEFT(AA531,2)="L1",Y531="No Iniciado"),"CRÍTICO - Incumplimiento Normativo SEPS",IF(AND(Y531="Implementado",Z531&lt;&gt;"",OR(LEFT(AA531,2)="L4",LEFT(AA531,2)="L5"),AB531&lt;&gt;"",AC531&lt;&gt;"",AC531&lt;&gt;"N/A"),"CONFORME - Control Efectivo ISO 27001","OBSERVACIÓN - Revisar Controles")))</f>
        <v/>
      </c>
    </row>
    <row r="532">
      <c r="A532" s="99"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c r="AD532">
        <f>IF(AND(Y532="",Z532="",AA532="",AB532="",AC532=""),"",IF(OR(LEFT(AA532,2)="L0",LEFT(AA532,2)="L1",Y532="No Iniciado"),"CRÍTICO - Incumplimiento Normativo SEPS",IF(AND(Y532="Implementado",Z532&lt;&gt;"",OR(LEFT(AA532,2)="L4",LEFT(AA532,2)="L5"),AB532&lt;&gt;"",AC532&lt;&gt;"",AC532&lt;&gt;"N/A"),"CONFORME - Control Efectivo ISO 27001","OBSERVACIÓN - Revisar Controles")))</f>
        <v/>
      </c>
    </row>
    <row r="533">
      <c r="A533" s="99"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c r="AD533">
        <f>IF(AND(Y533="",Z533="",AA533="",AB533="",AC533=""),"",IF(OR(LEFT(AA533,2)="L0",LEFT(AA533,2)="L1",Y533="No Iniciado"),"CRÍTICO - Incumplimiento Normativo SEPS",IF(AND(Y533="Implementado",Z533&lt;&gt;"",OR(LEFT(AA533,2)="L4",LEFT(AA533,2)="L5"),AB533&lt;&gt;"",AC533&lt;&gt;"",AC533&lt;&gt;"N/A"),"CONFORME - Control Efectivo ISO 27001","OBSERVACIÓN - Revisar Controles")))</f>
        <v/>
      </c>
    </row>
    <row r="534">
      <c r="A534" s="99"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c r="AD534">
        <f>IF(AND(Y534="",Z534="",AA534="",AB534="",AC534=""),"",IF(OR(LEFT(AA534,2)="L0",LEFT(AA534,2)="L1",Y534="No Iniciado"),"CRÍTICO - Incumplimiento Normativo SEPS",IF(AND(Y534="Implementado",Z534&lt;&gt;"",OR(LEFT(AA534,2)="L4",LEFT(AA534,2)="L5"),AB534&lt;&gt;"",AC534&lt;&gt;"",AC534&lt;&gt;"N/A"),"CONFORME - Control Efectivo ISO 27001","OBSERVACIÓN - Revisar Controles")))</f>
        <v/>
      </c>
    </row>
    <row r="535">
      <c r="A535" s="99"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c r="AD535">
        <f>IF(AND(Y535="",Z535="",AA535="",AB535="",AC535=""),"",IF(OR(LEFT(AA535,2)="L0",LEFT(AA535,2)="L1",Y535="No Iniciado"),"CRÍTICO - Incumplimiento Normativo SEPS",IF(AND(Y535="Implementado",Z535&lt;&gt;"",OR(LEFT(AA535,2)="L4",LEFT(AA535,2)="L5"),AB535&lt;&gt;"",AC535&lt;&gt;"",AC535&lt;&gt;"N/A"),"CONFORME - Control Efectivo ISO 27001","OBSERVACIÓN - Revisar Controles")))</f>
        <v/>
      </c>
    </row>
    <row r="536">
      <c r="A536" s="99"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c r="AD536">
        <f>IF(AND(Y536="",Z536="",AA536="",AB536="",AC536=""),"",IF(OR(LEFT(AA536,2)="L0",LEFT(AA536,2)="L1",Y536="No Iniciado"),"CRÍTICO - Incumplimiento Normativo SEPS",IF(AND(Y536="Implementado",Z536&lt;&gt;"",OR(LEFT(AA536,2)="L4",LEFT(AA536,2)="L5"),AB536&lt;&gt;"",AC536&lt;&gt;"",AC536&lt;&gt;"N/A"),"CONFORME - Control Efectivo ISO 27001","OBSERVACIÓN - Revisar Controles")))</f>
        <v/>
      </c>
    </row>
    <row r="537">
      <c r="A537" s="99"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c r="AD537">
        <f>IF(AND(Y537="",Z537="",AA537="",AB537="",AC537=""),"",IF(OR(LEFT(AA537,2)="L0",LEFT(AA537,2)="L1",Y537="No Iniciado"),"CRÍTICO - Incumplimiento Normativo SEPS",IF(AND(Y537="Implementado",Z537&lt;&gt;"",OR(LEFT(AA537,2)="L4",LEFT(AA537,2)="L5"),AB537&lt;&gt;"",AC537&lt;&gt;"",AC537&lt;&gt;"N/A"),"CONFORME - Control Efectivo ISO 27001","OBSERVACIÓN - Revisar Controles")))</f>
        <v/>
      </c>
    </row>
    <row r="538">
      <c r="A538" s="99"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c r="AD538">
        <f>IF(AND(Y538="",Z538="",AA538="",AB538="",AC538=""),"",IF(OR(LEFT(AA538,2)="L0",LEFT(AA538,2)="L1",Y538="No Iniciado"),"CRÍTICO - Incumplimiento Normativo SEPS",IF(AND(Y538="Implementado",Z538&lt;&gt;"",OR(LEFT(AA538,2)="L4",LEFT(AA538,2)="L5"),AB538&lt;&gt;"",AC538&lt;&gt;"",AC538&lt;&gt;"N/A"),"CONFORME - Control Efectivo ISO 27001","OBSERVACIÓN - Revisar Controles")))</f>
        <v/>
      </c>
    </row>
    <row r="539" ht="20.45" customHeight="1" s="106">
      <c r="A539" s="99"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c r="AD539">
        <f>IF(AND(Y539="",Z539="",AA539="",AB539="",AC539=""),"",IF(OR(LEFT(AA539,2)="L0",LEFT(AA539,2)="L1",Y539="No Iniciado"),"CRÍTICO - Incumplimiento Normativo SEPS",IF(AND(Y539="Implementado",Z539&lt;&gt;"",OR(LEFT(AA539,2)="L4",LEFT(AA539,2)="L5"),AB539&lt;&gt;"",AC539&lt;&gt;"",AC539&lt;&gt;"N/A"),"CONFORME - Control Efectivo ISO 27001","OBSERVACIÓN - Revisar Controles")))</f>
        <v/>
      </c>
    </row>
    <row r="540">
      <c r="A540" s="99"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c r="AD540">
        <f>IF(AND(Y540="",Z540="",AA540="",AB540="",AC540=""),"",IF(OR(LEFT(AA540,2)="L0",LEFT(AA540,2)="L1",Y540="No Iniciado"),"CRÍTICO - Incumplimiento Normativo SEPS",IF(AND(Y540="Implementado",Z540&lt;&gt;"",OR(LEFT(AA540,2)="L4",LEFT(AA540,2)="L5"),AB540&lt;&gt;"",AC540&lt;&gt;"",AC540&lt;&gt;"N/A"),"CONFORME - Control Efectivo ISO 27001","OBSERVACIÓN - Revisar Controles")))</f>
        <v/>
      </c>
    </row>
    <row r="541">
      <c r="A541" s="99"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c r="AD541">
        <f>IF(AND(Y541="",Z541="",AA541="",AB541="",AC541=""),"",IF(OR(LEFT(AA541,2)="L0",LEFT(AA541,2)="L1",Y541="No Iniciado"),"CRÍTICO - Incumplimiento Normativo SEPS",IF(AND(Y541="Implementado",Z541&lt;&gt;"",OR(LEFT(AA541,2)="L4",LEFT(AA541,2)="L5"),AB541&lt;&gt;"",AC541&lt;&gt;"",AC541&lt;&gt;"N/A"),"CONFORME - Control Efectivo ISO 27001","OBSERVACIÓN - Revisar Controles")))</f>
        <v/>
      </c>
    </row>
    <row r="542">
      <c r="A542" s="99"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c r="AD542">
        <f>IF(AND(Y542="",Z542="",AA542="",AB542="",AC542=""),"",IF(OR(LEFT(AA542,2)="L0",LEFT(AA542,2)="L1",Y542="No Iniciado"),"CRÍTICO - Incumplimiento Normativo SEPS",IF(AND(Y542="Implementado",Z542&lt;&gt;"",OR(LEFT(AA542,2)="L4",LEFT(AA542,2)="L5"),AB542&lt;&gt;"",AC542&lt;&gt;"",AC542&lt;&gt;"N/A"),"CONFORME - Control Efectivo ISO 27001","OBSERVACIÓN - Revisar Controles")))</f>
        <v/>
      </c>
    </row>
    <row r="543" ht="30.6" customHeight="1" s="106">
      <c r="A543" s="99"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c r="AD543">
        <f>IF(AND(Y543="",Z543="",AA543="",AB543="",AC543=""),"",IF(OR(LEFT(AA543,2)="L0",LEFT(AA543,2)="L1",Y543="No Iniciado"),"CRÍTICO - Incumplimiento Normativo SEPS",IF(AND(Y543="Implementado",Z543&lt;&gt;"",OR(LEFT(AA543,2)="L4",LEFT(AA543,2)="L5"),AB543&lt;&gt;"",AC543&lt;&gt;"",AC543&lt;&gt;"N/A"),"CONFORME - Control Efectivo ISO 27001","OBSERVACIÓN - Revisar Controles")))</f>
        <v/>
      </c>
    </row>
    <row r="544">
      <c r="A544" s="99"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c r="AD544">
        <f>IF(AND(Y544="",Z544="",AA544="",AB544="",AC544=""),"",IF(OR(LEFT(AA544,2)="L0",LEFT(AA544,2)="L1",Y544="No Iniciado"),"CRÍTICO - Incumplimiento Normativo SEPS",IF(AND(Y544="Implementado",Z544&lt;&gt;"",OR(LEFT(AA544,2)="L4",LEFT(AA544,2)="L5"),AB544&lt;&gt;"",AC544&lt;&gt;"",AC544&lt;&gt;"N/A"),"CONFORME - Control Efectivo ISO 27001","OBSERVACIÓN - Revisar Controles")))</f>
        <v/>
      </c>
    </row>
    <row r="545">
      <c r="A545" s="99"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c r="AD545">
        <f>IF(AND(Y545="",Z545="",AA545="",AB545="",AC545=""),"",IF(OR(LEFT(AA545,2)="L0",LEFT(AA545,2)="L1",Y545="No Iniciado"),"CRÍTICO - Incumplimiento Normativo SEPS",IF(AND(Y545="Implementado",Z545&lt;&gt;"",OR(LEFT(AA545,2)="L4",LEFT(AA545,2)="L5"),AB545&lt;&gt;"",AC545&lt;&gt;"",AC545&lt;&gt;"N/A"),"CONFORME - Control Efectivo ISO 27001","OBSERVACIÓN - Revisar Controles")))</f>
        <v/>
      </c>
    </row>
    <row r="546" ht="41.1" customHeight="1" s="106">
      <c r="A546" s="99"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c r="AD546">
        <f>IF(AND(Y546="",Z546="",AA546="",AB546="",AC546=""),"",IF(OR(LEFT(AA546,2)="L0",LEFT(AA546,2)="L1",Y546="No Iniciado"),"CRÍTICO - Incumplimiento Normativo SEPS",IF(AND(Y546="Implementado",Z546&lt;&gt;"",OR(LEFT(AA546,2)="L4",LEFT(AA546,2)="L5"),AB546&lt;&gt;"",AC546&lt;&gt;"",AC546&lt;&gt;"N/A"),"CONFORME - Control Efectivo ISO 27001","OBSERVACIÓN - Revisar Controles")))</f>
        <v/>
      </c>
    </row>
    <row r="547" ht="20.45" customHeight="1" s="106">
      <c r="A547" s="99"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c r="AD547">
        <f>IF(AND(Y547="",Z547="",AA547="",AB547="",AC547=""),"",IF(OR(LEFT(AA547,2)="L0",LEFT(AA547,2)="L1",Y547="No Iniciado"),"CRÍTICO - Incumplimiento Normativo SEPS",IF(AND(Y547="Implementado",Z547&lt;&gt;"",OR(LEFT(AA547,2)="L4",LEFT(AA547,2)="L5"),AB547&lt;&gt;"",AC547&lt;&gt;"",AC547&lt;&gt;"N/A"),"CONFORME - Control Efectivo ISO 27001","OBSERVACIÓN - Revisar Controles")))</f>
        <v/>
      </c>
    </row>
    <row r="548">
      <c r="A548" s="99"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c r="AD548">
        <f>IF(AND(Y548="",Z548="",AA548="",AB548="",AC548=""),"",IF(OR(LEFT(AA548,2)="L0",LEFT(AA548,2)="L1",Y548="No Iniciado"),"CRÍTICO - Incumplimiento Normativo SEPS",IF(AND(Y548="Implementado",Z548&lt;&gt;"",OR(LEFT(AA548,2)="L4",LEFT(AA548,2)="L5"),AB548&lt;&gt;"",AC548&lt;&gt;"",AC548&lt;&gt;"N/A"),"CONFORME - Control Efectivo ISO 27001","OBSERVACIÓN - Revisar Controles")))</f>
        <v/>
      </c>
    </row>
    <row r="549">
      <c r="A549" s="99"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c r="AD549">
        <f>IF(AND(Y549="",Z549="",AA549="",AB549="",AC549=""),"",IF(OR(LEFT(AA549,2)="L0",LEFT(AA549,2)="L1",Y549="No Iniciado"),"CRÍTICO - Incumplimiento Normativo SEPS",IF(AND(Y549="Implementado",Z549&lt;&gt;"",OR(LEFT(AA549,2)="L4",LEFT(AA549,2)="L5"),AB549&lt;&gt;"",AC549&lt;&gt;"",AC549&lt;&gt;"N/A"),"CONFORME - Control Efectivo ISO 27001","OBSERVACIÓN - Revisar Controles")))</f>
        <v/>
      </c>
    </row>
    <row r="550" ht="12" customHeight="1" s="106">
      <c r="A550" s="99"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c r="AD550">
        <f>IF(AND(Y550="",Z550="",AA550="",AB550="",AC550=""),"",IF(OR(LEFT(AA550,2)="L0",LEFT(AA550,2)="L1",Y550="No Iniciado"),"CRÍTICO - Incumplimiento Normativo SEPS",IF(AND(Y550="Implementado",Z550&lt;&gt;"",OR(LEFT(AA550,2)="L4",LEFT(AA550,2)="L5"),AB550&lt;&gt;"",AC550&lt;&gt;"",AC550&lt;&gt;"N/A"),"CONFORME - Control Efectivo ISO 27001","OBSERVACIÓN - Revisar Controles")))</f>
        <v/>
      </c>
    </row>
    <row r="551">
      <c r="A551" s="99"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c r="AD551">
        <f>IF(AND(Y551="",Z551="",AA551="",AB551="",AC551=""),"",IF(OR(LEFT(AA551,2)="L0",LEFT(AA551,2)="L1",Y551="No Iniciado"),"CRÍTICO - Incumplimiento Normativo SEPS",IF(AND(Y551="Implementado",Z551&lt;&gt;"",OR(LEFT(AA551,2)="L4",LEFT(AA551,2)="L5"),AB551&lt;&gt;"",AC551&lt;&gt;"",AC551&lt;&gt;"N/A"),"CONFORME - Control Efectivo ISO 27001","OBSERVACIÓN - Revisar Controles")))</f>
        <v/>
      </c>
    </row>
    <row r="552">
      <c r="A552" s="99"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c r="AD552">
        <f>IF(AND(Y552="",Z552="",AA552="",AB552="",AC552=""),"",IF(OR(LEFT(AA552,2)="L0",LEFT(AA552,2)="L1",Y552="No Iniciado"),"CRÍTICO - Incumplimiento Normativo SEPS",IF(AND(Y552="Implementado",Z552&lt;&gt;"",OR(LEFT(AA552,2)="L4",LEFT(AA552,2)="L5"),AB552&lt;&gt;"",AC552&lt;&gt;"",AC552&lt;&gt;"N/A"),"CONFORME - Control Efectivo ISO 27001","OBSERVACIÓN - Revisar Controles")))</f>
        <v/>
      </c>
    </row>
    <row r="553">
      <c r="A553" s="99"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c r="AD553">
        <f>IF(AND(Y553="",Z553="",AA553="",AB553="",AC553=""),"",IF(OR(LEFT(AA553,2)="L0",LEFT(AA553,2)="L1",Y553="No Iniciado"),"CRÍTICO - Incumplimiento Normativo SEPS",IF(AND(Y553="Implementado",Z553&lt;&gt;"",OR(LEFT(AA553,2)="L4",LEFT(AA553,2)="L5"),AB553&lt;&gt;"",AC553&lt;&gt;"",AC553&lt;&gt;"N/A"),"CONFORME - Control Efectivo ISO 27001","OBSERVACIÓN - Revisar Controles")))</f>
        <v/>
      </c>
    </row>
    <row r="554">
      <c r="A554" s="99"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c r="AD554">
        <f>IF(AND(Y554="",Z554="",AA554="",AB554="",AC554=""),"",IF(OR(LEFT(AA554,2)="L0",LEFT(AA554,2)="L1",Y554="No Iniciado"),"CRÍTICO - Incumplimiento Normativo SEPS",IF(AND(Y554="Implementado",Z554&lt;&gt;"",OR(LEFT(AA554,2)="L4",LEFT(AA554,2)="L5"),AB554&lt;&gt;"",AC554&lt;&gt;"",AC554&lt;&gt;"N/A"),"CONFORME - Control Efectivo ISO 27001","OBSERVACIÓN - Revisar Controles")))</f>
        <v/>
      </c>
    </row>
    <row r="555">
      <c r="A555" s="99"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c r="AD555">
        <f>IF(AND(Y555="",Z555="",AA555="",AB555="",AC555=""),"",IF(OR(LEFT(AA555,2)="L0",LEFT(AA555,2)="L1",Y555="No Iniciado"),"CRÍTICO - Incumplimiento Normativo SEPS",IF(AND(Y555="Implementado",Z555&lt;&gt;"",OR(LEFT(AA555,2)="L4",LEFT(AA555,2)="L5"),AB555&lt;&gt;"",AC555&lt;&gt;"",AC555&lt;&gt;"N/A"),"CONFORME - Control Efectivo ISO 27001","OBSERVACIÓN - Revisar Controles")))</f>
        <v/>
      </c>
    </row>
    <row r="556">
      <c r="A556" s="99"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c r="AD556">
        <f>IF(AND(Y556="",Z556="",AA556="",AB556="",AC556=""),"",IF(OR(LEFT(AA556,2)="L0",LEFT(AA556,2)="L1",Y556="No Iniciado"),"CRÍTICO - Incumplimiento Normativo SEPS",IF(AND(Y556="Implementado",Z556&lt;&gt;"",OR(LEFT(AA556,2)="L4",LEFT(AA556,2)="L5"),AB556&lt;&gt;"",AC556&lt;&gt;"",AC556&lt;&gt;"N/A"),"CONFORME - Control Efectivo ISO 27001","OBSERVACIÓN - Revisar Controles")))</f>
        <v/>
      </c>
    </row>
    <row r="557">
      <c r="A557" s="99"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c r="AD557">
        <f>IF(AND(Y557="",Z557="",AA557="",AB557="",AC557=""),"",IF(OR(LEFT(AA557,2)="L0",LEFT(AA557,2)="L1",Y557="No Iniciado"),"CRÍTICO - Incumplimiento Normativo SEPS",IF(AND(Y557="Implementado",Z557&lt;&gt;"",OR(LEFT(AA557,2)="L4",LEFT(AA557,2)="L5"),AB557&lt;&gt;"",AC557&lt;&gt;"",AC557&lt;&gt;"N/A"),"CONFORME - Control Efectivo ISO 27001","OBSERVACIÓN - Revisar Controles")))</f>
        <v/>
      </c>
    </row>
    <row r="558" ht="20.45" customHeight="1" s="106">
      <c r="A558" s="99"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c r="AD558">
        <f>IF(AND(Y558="",Z558="",AA558="",AB558="",AC558=""),"",IF(OR(LEFT(AA558,2)="L0",LEFT(AA558,2)="L1",Y558="No Iniciado"),"CRÍTICO - Incumplimiento Normativo SEPS",IF(AND(Y558="Implementado",Z558&lt;&gt;"",OR(LEFT(AA558,2)="L4",LEFT(AA558,2)="L5"),AB558&lt;&gt;"",AC558&lt;&gt;"",AC558&lt;&gt;"N/A"),"CONFORME - Control Efectivo ISO 27001","OBSERVACIÓN - Revisar Controles")))</f>
        <v/>
      </c>
    </row>
    <row r="559">
      <c r="A559" s="99"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c r="AD559">
        <f>IF(AND(Y559="",Z559="",AA559="",AB559="",AC559=""),"",IF(OR(LEFT(AA559,2)="L0",LEFT(AA559,2)="L1",Y559="No Iniciado"),"CRÍTICO - Incumplimiento Normativo SEPS",IF(AND(Y559="Implementado",Z559&lt;&gt;"",OR(LEFT(AA559,2)="L4",LEFT(AA559,2)="L5"),AB559&lt;&gt;"",AC559&lt;&gt;"",AC559&lt;&gt;"N/A"),"CONFORME - Control Efectivo ISO 27001","OBSERVACIÓN - Revisar Controles")))</f>
        <v/>
      </c>
    </row>
    <row r="560">
      <c r="A560" s="99"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c r="AD560">
        <f>IF(AND(Y560="",Z560="",AA560="",AB560="",AC560=""),"",IF(OR(LEFT(AA560,2)="L0",LEFT(AA560,2)="L1",Y560="No Iniciado"),"CRÍTICO - Incumplimiento Normativo SEPS",IF(AND(Y560="Implementado",Z560&lt;&gt;"",OR(LEFT(AA560,2)="L4",LEFT(AA560,2)="L5"),AB560&lt;&gt;"",AC560&lt;&gt;"",AC560&lt;&gt;"N/A"),"CONFORME - Control Efectivo ISO 27001","OBSERVACIÓN - Revisar Controles")))</f>
        <v/>
      </c>
    </row>
    <row r="561">
      <c r="A561" s="99"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c r="AD561">
        <f>IF(AND(Y561="",Z561="",AA561="",AB561="",AC561=""),"",IF(OR(LEFT(AA561,2)="L0",LEFT(AA561,2)="L1",Y561="No Iniciado"),"CRÍTICO - Incumplimiento Normativo SEPS",IF(AND(Y561="Implementado",Z561&lt;&gt;"",OR(LEFT(AA561,2)="L4",LEFT(AA561,2)="L5"),AB561&lt;&gt;"",AC561&lt;&gt;"",AC561&lt;&gt;"N/A"),"CONFORME - Control Efectivo ISO 27001","OBSERVACIÓN - Revisar Controles")))</f>
        <v/>
      </c>
    </row>
    <row r="562">
      <c r="A562" s="99"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c r="AD562">
        <f>IF(AND(Y562="",Z562="",AA562="",AB562="",AC562=""),"",IF(OR(LEFT(AA562,2)="L0",LEFT(AA562,2)="L1",Y562="No Iniciado"),"CRÍTICO - Incumplimiento Normativo SEPS",IF(AND(Y562="Implementado",Z562&lt;&gt;"",OR(LEFT(AA562,2)="L4",LEFT(AA562,2)="L5"),AB562&lt;&gt;"",AC562&lt;&gt;"",AC562&lt;&gt;"N/A"),"CONFORME - Control Efectivo ISO 27001","OBSERVACIÓN - Revisar Controles")))</f>
        <v/>
      </c>
    </row>
    <row r="563">
      <c r="A563" s="99"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c r="AD563">
        <f>IF(AND(Y563="",Z563="",AA563="",AB563="",AC563=""),"",IF(OR(LEFT(AA563,2)="L0",LEFT(AA563,2)="L1",Y563="No Iniciado"),"CRÍTICO - Incumplimiento Normativo SEPS",IF(AND(Y563="Implementado",Z563&lt;&gt;"",OR(LEFT(AA563,2)="L4",LEFT(AA563,2)="L5"),AB563&lt;&gt;"",AC563&lt;&gt;"",AC563&lt;&gt;"N/A"),"CONFORME - Control Efectivo ISO 27001","OBSERVACIÓN - Revisar Controles")))</f>
        <v/>
      </c>
    </row>
    <row r="564">
      <c r="A564" s="99"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c r="AD564">
        <f>IF(AND(Y564="",Z564="",AA564="",AB564="",AC564=""),"",IF(OR(LEFT(AA564,2)="L0",LEFT(AA564,2)="L1",Y564="No Iniciado"),"CRÍTICO - Incumplimiento Normativo SEPS",IF(AND(Y564="Implementado",Z564&lt;&gt;"",OR(LEFT(AA564,2)="L4",LEFT(AA564,2)="L5"),AB564&lt;&gt;"",AC564&lt;&gt;"",AC564&lt;&gt;"N/A"),"CONFORME - Control Efectivo ISO 27001","OBSERVACIÓN - Revisar Controles")))</f>
        <v/>
      </c>
    </row>
    <row r="565">
      <c r="A565" s="99"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c r="AD565">
        <f>IF(AND(Y565="",Z565="",AA565="",AB565="",AC565=""),"",IF(OR(LEFT(AA565,2)="L0",LEFT(AA565,2)="L1",Y565="No Iniciado"),"CRÍTICO - Incumplimiento Normativo SEPS",IF(AND(Y565="Implementado",Z565&lt;&gt;"",OR(LEFT(AA565,2)="L4",LEFT(AA565,2)="L5"),AB565&lt;&gt;"",AC565&lt;&gt;"",AC565&lt;&gt;"N/A"),"CONFORME - Control Efectivo ISO 27001","OBSERVACIÓN - Revisar Controles")))</f>
        <v/>
      </c>
    </row>
    <row r="566">
      <c r="A566" s="99"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c r="AD566">
        <f>IF(AND(Y566="",Z566="",AA566="",AB566="",AC566=""),"",IF(OR(LEFT(AA566,2)="L0",LEFT(AA566,2)="L1",Y566="No Iniciado"),"CRÍTICO - Incumplimiento Normativo SEPS",IF(AND(Y566="Implementado",Z566&lt;&gt;"",OR(LEFT(AA566,2)="L4",LEFT(AA566,2)="L5"),AB566&lt;&gt;"",AC566&lt;&gt;"",AC566&lt;&gt;"N/A"),"CONFORME - Control Efectivo ISO 27001","OBSERVACIÓN - Revisar Controles")))</f>
        <v/>
      </c>
    </row>
    <row r="567">
      <c r="A567" s="99"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c r="AD567">
        <f>IF(AND(Y567="",Z567="",AA567="",AB567="",AC567=""),"",IF(OR(LEFT(AA567,2)="L0",LEFT(AA567,2)="L1",Y567="No Iniciado"),"CRÍTICO - Incumplimiento Normativo SEPS",IF(AND(Y567="Implementado",Z567&lt;&gt;"",OR(LEFT(AA567,2)="L4",LEFT(AA567,2)="L5"),AB567&lt;&gt;"",AC567&lt;&gt;"",AC567&lt;&gt;"N/A"),"CONFORME - Control Efectivo ISO 27001","OBSERVACIÓN - Revisar Controles")))</f>
        <v/>
      </c>
    </row>
    <row r="568">
      <c r="A568" s="99"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c r="AD568">
        <f>IF(AND(Y568="",Z568="",AA568="",AB568="",AC568=""),"",IF(OR(LEFT(AA568,2)="L0",LEFT(AA568,2)="L1",Y568="No Iniciado"),"CRÍTICO - Incumplimiento Normativo SEPS",IF(AND(Y568="Implementado",Z568&lt;&gt;"",OR(LEFT(AA568,2)="L4",LEFT(AA568,2)="L5"),AB568&lt;&gt;"",AC568&lt;&gt;"",AC568&lt;&gt;"N/A"),"CONFORME - Control Efectivo ISO 27001","OBSERVACIÓN - Revisar Controles")))</f>
        <v/>
      </c>
    </row>
    <row r="569">
      <c r="A569" s="99"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c r="AD569">
        <f>IF(AND(Y569="",Z569="",AA569="",AB569="",AC569=""),"",IF(OR(LEFT(AA569,2)="L0",LEFT(AA569,2)="L1",Y569="No Iniciado"),"CRÍTICO - Incumplimiento Normativo SEPS",IF(AND(Y569="Implementado",Z569&lt;&gt;"",OR(LEFT(AA569,2)="L4",LEFT(AA569,2)="L5"),AB569&lt;&gt;"",AC569&lt;&gt;"",AC569&lt;&gt;"N/A"),"CONFORME - Control Efectivo ISO 27001","OBSERVACIÓN - Revisar Controles")))</f>
        <v/>
      </c>
    </row>
    <row r="570">
      <c r="A570" s="99"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c r="AD570">
        <f>IF(AND(Y570="",Z570="",AA570="",AB570="",AC570=""),"",IF(OR(LEFT(AA570,2)="L0",LEFT(AA570,2)="L1",Y570="No Iniciado"),"CRÍTICO - Incumplimiento Normativo SEPS",IF(AND(Y570="Implementado",Z570&lt;&gt;"",OR(LEFT(AA570,2)="L4",LEFT(AA570,2)="L5"),AB570&lt;&gt;"",AC570&lt;&gt;"",AC570&lt;&gt;"N/A"),"CONFORME - Control Efectivo ISO 27001","OBSERVACIÓN - Revisar Controles")))</f>
        <v/>
      </c>
    </row>
    <row r="571">
      <c r="A571" s="99"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c r="AD571">
        <f>IF(AND(Y571="",Z571="",AA571="",AB571="",AC571=""),"",IF(OR(LEFT(AA571,2)="L0",LEFT(AA571,2)="L1",Y571="No Iniciado"),"CRÍTICO - Incumplimiento Normativo SEPS",IF(AND(Y571="Implementado",Z571&lt;&gt;"",OR(LEFT(AA571,2)="L4",LEFT(AA571,2)="L5"),AB571&lt;&gt;"",AC571&lt;&gt;"",AC571&lt;&gt;"N/A"),"CONFORME - Control Efectivo ISO 27001","OBSERVACIÓN - Revisar Controles")))</f>
        <v/>
      </c>
    </row>
    <row r="572">
      <c r="A572" s="99"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c r="AD572">
        <f>IF(AND(Y572="",Z572="",AA572="",AB572="",AC572=""),"",IF(OR(LEFT(AA572,2)="L0",LEFT(AA572,2)="L1",Y572="No Iniciado"),"CRÍTICO - Incumplimiento Normativo SEPS",IF(AND(Y572="Implementado",Z572&lt;&gt;"",OR(LEFT(AA572,2)="L4",LEFT(AA572,2)="L5"),AB572&lt;&gt;"",AC572&lt;&gt;"",AC572&lt;&gt;"N/A"),"CONFORME - Control Efectivo ISO 27001","OBSERVACIÓN - Revisar Controles")))</f>
        <v/>
      </c>
    </row>
    <row r="573">
      <c r="A573" s="99"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c r="AD573">
        <f>IF(AND(Y573="",Z573="",AA573="",AB573="",AC573=""),"",IF(OR(LEFT(AA573,2)="L0",LEFT(AA573,2)="L1",Y573="No Iniciado"),"CRÍTICO - Incumplimiento Normativo SEPS",IF(AND(Y573="Implementado",Z573&lt;&gt;"",OR(LEFT(AA573,2)="L4",LEFT(AA573,2)="L5"),AB573&lt;&gt;"",AC573&lt;&gt;"",AC573&lt;&gt;"N/A"),"CONFORME - Control Efectivo ISO 27001","OBSERVACIÓN - Revisar Controles")))</f>
        <v/>
      </c>
    </row>
    <row r="574">
      <c r="A574" s="99"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c r="AD574">
        <f>IF(AND(Y574="",Z574="",AA574="",AB574="",AC574=""),"",IF(OR(LEFT(AA574,2)="L0",LEFT(AA574,2)="L1",Y574="No Iniciado"),"CRÍTICO - Incumplimiento Normativo SEPS",IF(AND(Y574="Implementado",Z574&lt;&gt;"",OR(LEFT(AA574,2)="L4",LEFT(AA574,2)="L5"),AB574&lt;&gt;"",AC574&lt;&gt;"",AC574&lt;&gt;"N/A"),"CONFORME - Control Efectivo ISO 27001","OBSERVACIÓN - Revisar Controles")))</f>
        <v/>
      </c>
    </row>
    <row r="575">
      <c r="A575" s="99"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c r="AD575">
        <f>IF(AND(Y575="",Z575="",AA575="",AB575="",AC575=""),"",IF(OR(LEFT(AA575,2)="L0",LEFT(AA575,2)="L1",Y575="No Iniciado"),"CRÍTICO - Incumplimiento Normativo SEPS",IF(AND(Y575="Implementado",Z575&lt;&gt;"",OR(LEFT(AA575,2)="L4",LEFT(AA575,2)="L5"),AB575&lt;&gt;"",AC575&lt;&gt;"",AC575&lt;&gt;"N/A"),"CONFORME - Control Efectivo ISO 27001","OBSERVACIÓN - Revisar Controles")))</f>
        <v/>
      </c>
    </row>
    <row r="576">
      <c r="A576" s="99"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c r="AD576">
        <f>IF(AND(Y576="",Z576="",AA576="",AB576="",AC576=""),"",IF(OR(LEFT(AA576,2)="L0",LEFT(AA576,2)="L1",Y576="No Iniciado"),"CRÍTICO - Incumplimiento Normativo SEPS",IF(AND(Y576="Implementado",Z576&lt;&gt;"",OR(LEFT(AA576,2)="L4",LEFT(AA576,2)="L5"),AB576&lt;&gt;"",AC576&lt;&gt;"",AC576&lt;&gt;"N/A"),"CONFORME - Control Efectivo ISO 27001","OBSERVACIÓN - Revisar Controles")))</f>
        <v/>
      </c>
    </row>
    <row r="577">
      <c r="A577" s="99"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c r="AD577">
        <f>IF(AND(Y577="",Z577="",AA577="",AB577="",AC577=""),"",IF(OR(LEFT(AA577,2)="L0",LEFT(AA577,2)="L1",Y577="No Iniciado"),"CRÍTICO - Incumplimiento Normativo SEPS",IF(AND(Y577="Implementado",Z577&lt;&gt;"",OR(LEFT(AA577,2)="L4",LEFT(AA577,2)="L5"),AB577&lt;&gt;"",AC577&lt;&gt;"",AC577&lt;&gt;"N/A"),"CONFORME - Control Efectivo ISO 27001","OBSERVACIÓN - Revisar Controles")))</f>
        <v/>
      </c>
    </row>
    <row r="578">
      <c r="A578" s="99"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c r="AD578">
        <f>IF(AND(Y578="",Z578="",AA578="",AB578="",AC578=""),"",IF(OR(LEFT(AA578,2)="L0",LEFT(AA578,2)="L1",Y578="No Iniciado"),"CRÍTICO - Incumplimiento Normativo SEPS",IF(AND(Y578="Implementado",Z578&lt;&gt;"",OR(LEFT(AA578,2)="L4",LEFT(AA578,2)="L5"),AB578&lt;&gt;"",AC578&lt;&gt;"",AC578&lt;&gt;"N/A"),"CONFORME - Control Efectivo ISO 27001","OBSERVACIÓN - Revisar Controles")))</f>
        <v/>
      </c>
    </row>
    <row r="579">
      <c r="A579" s="99"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c r="AD579">
        <f>IF(AND(Y579="",Z579="",AA579="",AB579="",AC579=""),"",IF(OR(LEFT(AA579,2)="L0",LEFT(AA579,2)="L1",Y579="No Iniciado"),"CRÍTICO - Incumplimiento Normativo SEPS",IF(AND(Y579="Implementado",Z579&lt;&gt;"",OR(LEFT(AA579,2)="L4",LEFT(AA579,2)="L5"),AB579&lt;&gt;"",AC579&lt;&gt;"",AC579&lt;&gt;"N/A"),"CONFORME - Control Efectivo ISO 27001","OBSERVACIÓN - Revisar Controles")))</f>
        <v/>
      </c>
    </row>
    <row r="580">
      <c r="A580" s="99"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c r="AD580">
        <f>IF(AND(Y580="",Z580="",AA580="",AB580="",AC580=""),"",IF(OR(LEFT(AA580,2)="L0",LEFT(AA580,2)="L1",Y580="No Iniciado"),"CRÍTICO - Incumplimiento Normativo SEPS",IF(AND(Y580="Implementado",Z580&lt;&gt;"",OR(LEFT(AA580,2)="L4",LEFT(AA580,2)="L5"),AB580&lt;&gt;"",AC580&lt;&gt;"",AC580&lt;&gt;"N/A"),"CONFORME - Control Efectivo ISO 27001","OBSERVACIÓN - Revisar Controles")))</f>
        <v/>
      </c>
    </row>
    <row r="581">
      <c r="A581" s="99"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c r="AD581">
        <f>IF(AND(Y581="",Z581="",AA581="",AB581="",AC581=""),"",IF(OR(LEFT(AA581,2)="L0",LEFT(AA581,2)="L1",Y581="No Iniciado"),"CRÍTICO - Incumplimiento Normativo SEPS",IF(AND(Y581="Implementado",Z581&lt;&gt;"",OR(LEFT(AA581,2)="L4",LEFT(AA581,2)="L5"),AB581&lt;&gt;"",AC581&lt;&gt;"",AC581&lt;&gt;"N/A"),"CONFORME - Control Efectivo ISO 27001","OBSERVACIÓN - Revisar Controles")))</f>
        <v/>
      </c>
    </row>
    <row r="582">
      <c r="A582" s="99"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c r="AD582">
        <f>IF(AND(Y582="",Z582="",AA582="",AB582="",AC582=""),"",IF(OR(LEFT(AA582,2)="L0",LEFT(AA582,2)="L1",Y582="No Iniciado"),"CRÍTICO - Incumplimiento Normativo SEPS",IF(AND(Y582="Implementado",Z582&lt;&gt;"",OR(LEFT(AA582,2)="L4",LEFT(AA582,2)="L5"),AB582&lt;&gt;"",AC582&lt;&gt;"",AC582&lt;&gt;"N/A"),"CONFORME - Control Efectivo ISO 27001","OBSERVACIÓN - Revisar Controles")))</f>
        <v/>
      </c>
    </row>
    <row r="583">
      <c r="A583" s="99"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c r="AD583">
        <f>IF(AND(Y583="",Z583="",AA583="",AB583="",AC583=""),"",IF(OR(LEFT(AA583,2)="L0",LEFT(AA583,2)="L1",Y583="No Iniciado"),"CRÍTICO - Incumplimiento Normativo SEPS",IF(AND(Y583="Implementado",Z583&lt;&gt;"",OR(LEFT(AA583,2)="L4",LEFT(AA583,2)="L5"),AB583&lt;&gt;"",AC583&lt;&gt;"",AC583&lt;&gt;"N/A"),"CONFORME - Control Efectivo ISO 27001","OBSERVACIÓN - Revisar Controles")))</f>
        <v/>
      </c>
    </row>
    <row r="584">
      <c r="A584" s="99"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c r="AD584">
        <f>IF(AND(Y584="",Z584="",AA584="",AB584="",AC584=""),"",IF(OR(LEFT(AA584,2)="L0",LEFT(AA584,2)="L1",Y584="No Iniciado"),"CRÍTICO - Incumplimiento Normativo SEPS",IF(AND(Y584="Implementado",Z584&lt;&gt;"",OR(LEFT(AA584,2)="L4",LEFT(AA584,2)="L5"),AB584&lt;&gt;"",AC584&lt;&gt;"",AC584&lt;&gt;"N/A"),"CONFORME - Control Efectivo ISO 27001","OBSERVACIÓN - Revisar Controles")))</f>
        <v/>
      </c>
    </row>
    <row r="585">
      <c r="A585" s="99"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c r="AD585">
        <f>IF(AND(Y585="",Z585="",AA585="",AB585="",AC585=""),"",IF(OR(LEFT(AA585,2)="L0",LEFT(AA585,2)="L1",Y585="No Iniciado"),"CRÍTICO - Incumplimiento Normativo SEPS",IF(AND(Y585="Implementado",Z585&lt;&gt;"",OR(LEFT(AA585,2)="L4",LEFT(AA585,2)="L5"),AB585&lt;&gt;"",AC585&lt;&gt;"",AC585&lt;&gt;"N/A"),"CONFORME - Control Efectivo ISO 27001","OBSERVACIÓN - Revisar Controles")))</f>
        <v/>
      </c>
    </row>
    <row r="586">
      <c r="A586" s="99"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c r="AD586">
        <f>IF(AND(Y586="",Z586="",AA586="",AB586="",AC586=""),"",IF(OR(LEFT(AA586,2)="L0",LEFT(AA586,2)="L1",Y586="No Iniciado"),"CRÍTICO - Incumplimiento Normativo SEPS",IF(AND(Y586="Implementado",Z586&lt;&gt;"",OR(LEFT(AA586,2)="L4",LEFT(AA586,2)="L5"),AB586&lt;&gt;"",AC586&lt;&gt;"",AC586&lt;&gt;"N/A"),"CONFORME - Control Efectivo ISO 27001","OBSERVACIÓN - Revisar Controles")))</f>
        <v/>
      </c>
    </row>
    <row r="587">
      <c r="A587" s="99"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c r="AD587">
        <f>IF(AND(Y587="",Z587="",AA587="",AB587="",AC587=""),"",IF(OR(LEFT(AA587,2)="L0",LEFT(AA587,2)="L1",Y587="No Iniciado"),"CRÍTICO - Incumplimiento Normativo SEPS",IF(AND(Y587="Implementado",Z587&lt;&gt;"",OR(LEFT(AA587,2)="L4",LEFT(AA587,2)="L5"),AB587&lt;&gt;"",AC587&lt;&gt;"",AC587&lt;&gt;"N/A"),"CONFORME - Control Efectivo ISO 27001","OBSERVACIÓN - Revisar Controles")))</f>
        <v/>
      </c>
    </row>
    <row r="588">
      <c r="A588" s="99"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c r="AD588">
        <f>IF(AND(Y588="",Z588="",AA588="",AB588="",AC588=""),"",IF(OR(LEFT(AA588,2)="L0",LEFT(AA588,2)="L1",Y588="No Iniciado"),"CRÍTICO - Incumplimiento Normativo SEPS",IF(AND(Y588="Implementado",Z588&lt;&gt;"",OR(LEFT(AA588,2)="L4",LEFT(AA588,2)="L5"),AB588&lt;&gt;"",AC588&lt;&gt;"",AC588&lt;&gt;"N/A"),"CONFORME - Control Efectivo ISO 27001","OBSERVACIÓN - Revisar Controles")))</f>
        <v/>
      </c>
    </row>
    <row r="589">
      <c r="A589" s="99"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c r="AD589">
        <f>IF(AND(Y589="",Z589="",AA589="",AB589="",AC589=""),"",IF(OR(LEFT(AA589,2)="L0",LEFT(AA589,2)="L1",Y589="No Iniciado"),"CRÍTICO - Incumplimiento Normativo SEPS",IF(AND(Y589="Implementado",Z589&lt;&gt;"",OR(LEFT(AA589,2)="L4",LEFT(AA589,2)="L5"),AB589&lt;&gt;"",AC589&lt;&gt;"",AC589&lt;&gt;"N/A"),"CONFORME - Control Efectivo ISO 27001","OBSERVACIÓN - Revisar Controles")))</f>
        <v/>
      </c>
    </row>
    <row r="590">
      <c r="A590" s="99"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c r="AD590">
        <f>IF(AND(Y590="",Z590="",AA590="",AB590="",AC590=""),"",IF(OR(LEFT(AA590,2)="L0",LEFT(AA590,2)="L1",Y590="No Iniciado"),"CRÍTICO - Incumplimiento Normativo SEPS",IF(AND(Y590="Implementado",Z590&lt;&gt;"",OR(LEFT(AA590,2)="L4",LEFT(AA590,2)="L5"),AB590&lt;&gt;"",AC590&lt;&gt;"",AC590&lt;&gt;"N/A"),"CONFORME - Control Efectivo ISO 27001","OBSERVACIÓN - Revisar Controles")))</f>
        <v/>
      </c>
    </row>
    <row r="591">
      <c r="A591" s="99"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c r="AD591">
        <f>IF(AND(Y591="",Z591="",AA591="",AB591="",AC591=""),"",IF(OR(LEFT(AA591,2)="L0",LEFT(AA591,2)="L1",Y591="No Iniciado"),"CRÍTICO - Incumplimiento Normativo SEPS",IF(AND(Y591="Implementado",Z591&lt;&gt;"",OR(LEFT(AA591,2)="L4",LEFT(AA591,2)="L5"),AB591&lt;&gt;"",AC591&lt;&gt;"",AC591&lt;&gt;"N/A"),"CONFORME - Control Efectivo ISO 27001","OBSERVACIÓN - Revisar Controles")))</f>
        <v/>
      </c>
    </row>
    <row r="592">
      <c r="A592" s="99"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c r="AD592">
        <f>IF(AND(Y592="",Z592="",AA592="",AB592="",AC592=""),"",IF(OR(LEFT(AA592,2)="L0",LEFT(AA592,2)="L1",Y592="No Iniciado"),"CRÍTICO - Incumplimiento Normativo SEPS",IF(AND(Y592="Implementado",Z592&lt;&gt;"",OR(LEFT(AA592,2)="L4",LEFT(AA592,2)="L5"),AB592&lt;&gt;"",AC592&lt;&gt;"",AC592&lt;&gt;"N/A"),"CONFORME - Control Efectivo ISO 27001","OBSERVACIÓN - Revisar Controles")))</f>
        <v/>
      </c>
    </row>
    <row r="593">
      <c r="A593" s="99"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c r="AD593">
        <f>IF(AND(Y593="",Z593="",AA593="",AB593="",AC593=""),"",IF(OR(LEFT(AA593,2)="L0",LEFT(AA593,2)="L1",Y593="No Iniciado"),"CRÍTICO - Incumplimiento Normativo SEPS",IF(AND(Y593="Implementado",Z593&lt;&gt;"",OR(LEFT(AA593,2)="L4",LEFT(AA593,2)="L5"),AB593&lt;&gt;"",AC593&lt;&gt;"",AC593&lt;&gt;"N/A"),"CONFORME - Control Efectivo ISO 27001","OBSERVACIÓN - Revisar Controles")))</f>
        <v/>
      </c>
    </row>
    <row r="594">
      <c r="A594" s="99"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c r="AD594">
        <f>IF(AND(Y594="",Z594="",AA594="",AB594="",AC594=""),"",IF(OR(LEFT(AA594,2)="L0",LEFT(AA594,2)="L1",Y594="No Iniciado"),"CRÍTICO - Incumplimiento Normativo SEPS",IF(AND(Y594="Implementado",Z594&lt;&gt;"",OR(LEFT(AA594,2)="L4",LEFT(AA594,2)="L5"),AB594&lt;&gt;"",AC594&lt;&gt;"",AC594&lt;&gt;"N/A"),"CONFORME - Control Efectivo ISO 27001","OBSERVACIÓN - Revisar Controles")))</f>
        <v/>
      </c>
    </row>
    <row r="595">
      <c r="A595" s="99"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c r="AD595">
        <f>IF(AND(Y595="",Z595="",AA595="",AB595="",AC595=""),"",IF(OR(LEFT(AA595,2)="L0",LEFT(AA595,2)="L1",Y595="No Iniciado"),"CRÍTICO - Incumplimiento Normativo SEPS",IF(AND(Y595="Implementado",Z595&lt;&gt;"",OR(LEFT(AA595,2)="L4",LEFT(AA595,2)="L5"),AB595&lt;&gt;"",AC595&lt;&gt;"",AC595&lt;&gt;"N/A"),"CONFORME - Control Efectivo ISO 27001","OBSERVACIÓN - Revisar Controles")))</f>
        <v/>
      </c>
    </row>
    <row r="596">
      <c r="A596" s="99"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c r="AD596">
        <f>IF(AND(Y596="",Z596="",AA596="",AB596="",AC596=""),"",IF(OR(LEFT(AA596,2)="L0",LEFT(AA596,2)="L1",Y596="No Iniciado"),"CRÍTICO - Incumplimiento Normativo SEPS",IF(AND(Y596="Implementado",Z596&lt;&gt;"",OR(LEFT(AA596,2)="L4",LEFT(AA596,2)="L5"),AB596&lt;&gt;"",AC596&lt;&gt;"",AC596&lt;&gt;"N/A"),"CONFORME - Control Efectivo ISO 27001","OBSERVACIÓN - Revisar Controles")))</f>
        <v/>
      </c>
    </row>
    <row r="597">
      <c r="A597" s="99"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c r="AD597">
        <f>IF(AND(Y597="",Z597="",AA597="",AB597="",AC597=""),"",IF(OR(LEFT(AA597,2)="L0",LEFT(AA597,2)="L1",Y597="No Iniciado"),"CRÍTICO - Incumplimiento Normativo SEPS",IF(AND(Y597="Implementado",Z597&lt;&gt;"",OR(LEFT(AA597,2)="L4",LEFT(AA597,2)="L5"),AB597&lt;&gt;"",AC597&lt;&gt;"",AC597&lt;&gt;"N/A"),"CONFORME - Control Efectivo ISO 27001","OBSERVACIÓN - Revisar Controles")))</f>
        <v/>
      </c>
    </row>
    <row r="598">
      <c r="A598" s="99"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c r="AD598">
        <f>IF(AND(Y598="",Z598="",AA598="",AB598="",AC598=""),"",IF(OR(LEFT(AA598,2)="L0",LEFT(AA598,2)="L1",Y598="No Iniciado"),"CRÍTICO - Incumplimiento Normativo SEPS",IF(AND(Y598="Implementado",Z598&lt;&gt;"",OR(LEFT(AA598,2)="L4",LEFT(AA598,2)="L5"),AB598&lt;&gt;"",AC598&lt;&gt;"",AC598&lt;&gt;"N/A"),"CONFORME - Control Efectivo ISO 27001","OBSERVACIÓN - Revisar Controles")))</f>
        <v/>
      </c>
    </row>
    <row r="599">
      <c r="A599" s="99"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c r="AD599">
        <f>IF(AND(Y599="",Z599="",AA599="",AB599="",AC599=""),"",IF(OR(LEFT(AA599,2)="L0",LEFT(AA599,2)="L1",Y599="No Iniciado"),"CRÍTICO - Incumplimiento Normativo SEPS",IF(AND(Y599="Implementado",Z599&lt;&gt;"",OR(LEFT(AA599,2)="L4",LEFT(AA599,2)="L5"),AB599&lt;&gt;"",AC599&lt;&gt;"",AC599&lt;&gt;"N/A"),"CONFORME - Control Efectivo ISO 27001","OBSERVACIÓN - Revisar Controles")))</f>
        <v/>
      </c>
    </row>
    <row r="600">
      <c r="A600" s="99"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c r="AD600">
        <f>IF(AND(Y600="",Z600="",AA600="",AB600="",AC600=""),"",IF(OR(LEFT(AA600,2)="L0",LEFT(AA600,2)="L1",Y600="No Iniciado"),"CRÍTICO - Incumplimiento Normativo SEPS",IF(AND(Y600="Implementado",Z600&lt;&gt;"",OR(LEFT(AA600,2)="L4",LEFT(AA600,2)="L5"),AB600&lt;&gt;"",AC600&lt;&gt;"",AC600&lt;&gt;"N/A"),"CONFORME - Control Efectivo ISO 27001","OBSERVACIÓN - Revisar Controles")))</f>
        <v/>
      </c>
    </row>
    <row r="601">
      <c r="A601" s="99"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c r="AD601">
        <f>IF(AND(Y601="",Z601="",AA601="",AB601="",AC601=""),"",IF(OR(LEFT(AA601,2)="L0",LEFT(AA601,2)="L1",Y601="No Iniciado"),"CRÍTICO - Incumplimiento Normativo SEPS",IF(AND(Y601="Implementado",Z601&lt;&gt;"",OR(LEFT(AA601,2)="L4",LEFT(AA601,2)="L5"),AB601&lt;&gt;"",AC601&lt;&gt;"",AC601&lt;&gt;"N/A"),"CONFORME - Control Efectivo ISO 27001","OBSERVACIÓN - Revisar Controles")))</f>
        <v/>
      </c>
    </row>
    <row r="602">
      <c r="A602" s="99"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c r="AD602">
        <f>IF(AND(Y602="",Z602="",AA602="",AB602="",AC602=""),"",IF(OR(LEFT(AA602,2)="L0",LEFT(AA602,2)="L1",Y602="No Iniciado"),"CRÍTICO - Incumplimiento Normativo SEPS",IF(AND(Y602="Implementado",Z602&lt;&gt;"",OR(LEFT(AA602,2)="L4",LEFT(AA602,2)="L5"),AB602&lt;&gt;"",AC602&lt;&gt;"",AC602&lt;&gt;"N/A"),"CONFORME - Control Efectivo ISO 27001","OBSERVACIÓN - Revisar Controles")))</f>
        <v/>
      </c>
    </row>
    <row r="603">
      <c r="A603" s="99"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c r="AD603">
        <f>IF(AND(Y603="",Z603="",AA603="",AB603="",AC603=""),"",IF(OR(LEFT(AA603,2)="L0",LEFT(AA603,2)="L1",Y603="No Iniciado"),"CRÍTICO - Incumplimiento Normativo SEPS",IF(AND(Y603="Implementado",Z603&lt;&gt;"",OR(LEFT(AA603,2)="L4",LEFT(AA603,2)="L5"),AB603&lt;&gt;"",AC603&lt;&gt;"",AC603&lt;&gt;"N/A"),"CONFORME - Control Efectivo ISO 27001","OBSERVACIÓN - Revisar Controles")))</f>
        <v/>
      </c>
    </row>
    <row r="604">
      <c r="A604" s="99"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c r="AD604">
        <f>IF(AND(Y604="",Z604="",AA604="",AB604="",AC604=""),"",IF(OR(LEFT(AA604,2)="L0",LEFT(AA604,2)="L1",Y604="No Iniciado"),"CRÍTICO - Incumplimiento Normativo SEPS",IF(AND(Y604="Implementado",Z604&lt;&gt;"",OR(LEFT(AA604,2)="L4",LEFT(AA604,2)="L5"),AB604&lt;&gt;"",AC604&lt;&gt;"",AC604&lt;&gt;"N/A"),"CONFORME - Control Efectivo ISO 27001","OBSERVACIÓN - Revisar Controles")))</f>
        <v/>
      </c>
    </row>
    <row r="605">
      <c r="A605" s="99"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c r="AD605">
        <f>IF(AND(Y605="",Z605="",AA605="",AB605="",AC605=""),"",IF(OR(LEFT(AA605,2)="L0",LEFT(AA605,2)="L1",Y605="No Iniciado"),"CRÍTICO - Incumplimiento Normativo SEPS",IF(AND(Y605="Implementado",Z605&lt;&gt;"",OR(LEFT(AA605,2)="L4",LEFT(AA605,2)="L5"),AB605&lt;&gt;"",AC605&lt;&gt;"",AC605&lt;&gt;"N/A"),"CONFORME - Control Efectivo ISO 27001","OBSERVACIÓN - Revisar Controles")))</f>
        <v/>
      </c>
    </row>
    <row r="606">
      <c r="A606" s="99"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c r="AD606">
        <f>IF(AND(Y606="",Z606="",AA606="",AB606="",AC606=""),"",IF(OR(LEFT(AA606,2)="L0",LEFT(AA606,2)="L1",Y606="No Iniciado"),"CRÍTICO - Incumplimiento Normativo SEPS",IF(AND(Y606="Implementado",Z606&lt;&gt;"",OR(LEFT(AA606,2)="L4",LEFT(AA606,2)="L5"),AB606&lt;&gt;"",AC606&lt;&gt;"",AC606&lt;&gt;"N/A"),"CONFORME - Control Efectivo ISO 27001","OBSERVACIÓN - Revisar Controles")))</f>
        <v/>
      </c>
    </row>
    <row r="607">
      <c r="A607" s="99"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c r="AD607">
        <f>IF(AND(Y607="",Z607="",AA607="",AB607="",AC607=""),"",IF(OR(LEFT(AA607,2)="L0",LEFT(AA607,2)="L1",Y607="No Iniciado"),"CRÍTICO - Incumplimiento Normativo SEPS",IF(AND(Y607="Implementado",Z607&lt;&gt;"",OR(LEFT(AA607,2)="L4",LEFT(AA607,2)="L5"),AB607&lt;&gt;"",AC607&lt;&gt;"",AC607&lt;&gt;"N/A"),"CONFORME - Control Efectivo ISO 27001","OBSERVACIÓN - Revisar Controles")))</f>
        <v/>
      </c>
    </row>
    <row r="608">
      <c r="A608" s="99"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c r="AD608">
        <f>IF(AND(Y608="",Z608="",AA608="",AB608="",AC608=""),"",IF(OR(LEFT(AA608,2)="L0",LEFT(AA608,2)="L1",Y608="No Iniciado"),"CRÍTICO - Incumplimiento Normativo SEPS",IF(AND(Y608="Implementado",Z608&lt;&gt;"",OR(LEFT(AA608,2)="L4",LEFT(AA608,2)="L5"),AB608&lt;&gt;"",AC608&lt;&gt;"",AC608&lt;&gt;"N/A"),"CONFORME - Control Efectivo ISO 27001","OBSERVACIÓN - Revisar Controles")))</f>
        <v/>
      </c>
    </row>
    <row r="609">
      <c r="A609" s="99"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c r="AD609">
        <f>IF(AND(Y609="",Z609="",AA609="",AB609="",AC609=""),"",IF(OR(LEFT(AA609,2)="L0",LEFT(AA609,2)="L1",Y609="No Iniciado"),"CRÍTICO - Incumplimiento Normativo SEPS",IF(AND(Y609="Implementado",Z609&lt;&gt;"",OR(LEFT(AA609,2)="L4",LEFT(AA609,2)="L5"),AB609&lt;&gt;"",AC609&lt;&gt;"",AC609&lt;&gt;"N/A"),"CONFORME - Control Efectivo ISO 27001","OBSERVACIÓN - Revisar Controles")))</f>
        <v/>
      </c>
    </row>
    <row r="610">
      <c r="A610" s="99"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c r="AD610">
        <f>IF(AND(Y610="",Z610="",AA610="",AB610="",AC610=""),"",IF(OR(LEFT(AA610,2)="L0",LEFT(AA610,2)="L1",Y610="No Iniciado"),"CRÍTICO - Incumplimiento Normativo SEPS",IF(AND(Y610="Implementado",Z610&lt;&gt;"",OR(LEFT(AA610,2)="L4",LEFT(AA610,2)="L5"),AB610&lt;&gt;"",AC610&lt;&gt;"",AC610&lt;&gt;"N/A"),"CONFORME - Control Efectivo ISO 27001","OBSERVACIÓN - Revisar Controles")))</f>
        <v/>
      </c>
    </row>
    <row r="611">
      <c r="A611" s="99"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c r="AD611">
        <f>IF(AND(Y611="",Z611="",AA611="",AB611="",AC611=""),"",IF(OR(LEFT(AA611,2)="L0",LEFT(AA611,2)="L1",Y611="No Iniciado"),"CRÍTICO - Incumplimiento Normativo SEPS",IF(AND(Y611="Implementado",Z611&lt;&gt;"",OR(LEFT(AA611,2)="L4",LEFT(AA611,2)="L5"),AB611&lt;&gt;"",AC611&lt;&gt;"",AC611&lt;&gt;"N/A"),"CONFORME - Control Efectivo ISO 27001","OBSERVACIÓN - Revisar Controles")))</f>
        <v/>
      </c>
    </row>
    <row r="612">
      <c r="A612" s="99"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c r="AD612">
        <f>IF(AND(Y612="",Z612="",AA612="",AB612="",AC612=""),"",IF(OR(LEFT(AA612,2)="L0",LEFT(AA612,2)="L1",Y612="No Iniciado"),"CRÍTICO - Incumplimiento Normativo SEPS",IF(AND(Y612="Implementado",Z612&lt;&gt;"",OR(LEFT(AA612,2)="L4",LEFT(AA612,2)="L5"),AB612&lt;&gt;"",AC612&lt;&gt;"",AC612&lt;&gt;"N/A"),"CONFORME - Control Efectivo ISO 27001","OBSERVACIÓN - Revisar Controles")))</f>
        <v/>
      </c>
    </row>
    <row r="613">
      <c r="A613" s="99"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c r="AD613">
        <f>IF(AND(Y613="",Z613="",AA613="",AB613="",AC613=""),"",IF(OR(LEFT(AA613,2)="L0",LEFT(AA613,2)="L1",Y613="No Iniciado"),"CRÍTICO - Incumplimiento Normativo SEPS",IF(AND(Y613="Implementado",Z613&lt;&gt;"",OR(LEFT(AA613,2)="L4",LEFT(AA613,2)="L5"),AB613&lt;&gt;"",AC613&lt;&gt;"",AC613&lt;&gt;"N/A"),"CONFORME - Control Efectivo ISO 27001","OBSERVACIÓN - Revisar Controles")))</f>
        <v/>
      </c>
    </row>
    <row r="614">
      <c r="A614" s="99"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c r="AD614">
        <f>IF(AND(Y614="",Z614="",AA614="",AB614="",AC614=""),"",IF(OR(LEFT(AA614,2)="L0",LEFT(AA614,2)="L1",Y614="No Iniciado"),"CRÍTICO - Incumplimiento Normativo SEPS",IF(AND(Y614="Implementado",Z614&lt;&gt;"",OR(LEFT(AA614,2)="L4",LEFT(AA614,2)="L5"),AB614&lt;&gt;"",AC614&lt;&gt;"",AC614&lt;&gt;"N/A"),"CONFORME - Control Efectivo ISO 27001","OBSERVACIÓN - Revisar Controles")))</f>
        <v/>
      </c>
    </row>
    <row r="615">
      <c r="A615" s="99"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c r="AD615">
        <f>IF(AND(Y615="",Z615="",AA615="",AB615="",AC615=""),"",IF(OR(LEFT(AA615,2)="L0",LEFT(AA615,2)="L1",Y615="No Iniciado"),"CRÍTICO - Incumplimiento Normativo SEPS",IF(AND(Y615="Implementado",Z615&lt;&gt;"",OR(LEFT(AA615,2)="L4",LEFT(AA615,2)="L5"),AB615&lt;&gt;"",AC615&lt;&gt;"",AC615&lt;&gt;"N/A"),"CONFORME - Control Efectivo ISO 27001","OBSERVACIÓN - Revisar Controles")))</f>
        <v/>
      </c>
    </row>
    <row r="616">
      <c r="A616" s="99"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c r="AD616">
        <f>IF(AND(Y616="",Z616="",AA616="",AB616="",AC616=""),"",IF(OR(LEFT(AA616,2)="L0",LEFT(AA616,2)="L1",Y616="No Iniciado"),"CRÍTICO - Incumplimiento Normativo SEPS",IF(AND(Y616="Implementado",Z616&lt;&gt;"",OR(LEFT(AA616,2)="L4",LEFT(AA616,2)="L5"),AB616&lt;&gt;"",AC616&lt;&gt;"",AC616&lt;&gt;"N/A"),"CONFORME - Control Efectivo ISO 27001","OBSERVACIÓN - Revisar Controles")))</f>
        <v/>
      </c>
    </row>
    <row r="617">
      <c r="A617" s="99"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c r="AD617">
        <f>IF(AND(Y617="",Z617="",AA617="",AB617="",AC617=""),"",IF(OR(LEFT(AA617,2)="L0",LEFT(AA617,2)="L1",Y617="No Iniciado"),"CRÍTICO - Incumplimiento Normativo SEPS",IF(AND(Y617="Implementado",Z617&lt;&gt;"",OR(LEFT(AA617,2)="L4",LEFT(AA617,2)="L5"),AB617&lt;&gt;"",AC617&lt;&gt;"",AC617&lt;&gt;"N/A"),"CONFORME - Control Efectivo ISO 27001","OBSERVACIÓN - Revisar Controles")))</f>
        <v/>
      </c>
    </row>
    <row r="618">
      <c r="A618" s="99"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c r="AD618">
        <f>IF(AND(Y618="",Z618="",AA618="",AB618="",AC618=""),"",IF(OR(LEFT(AA618,2)="L0",LEFT(AA618,2)="L1",Y618="No Iniciado"),"CRÍTICO - Incumplimiento Normativo SEPS",IF(AND(Y618="Implementado",Z618&lt;&gt;"",OR(LEFT(AA618,2)="L4",LEFT(AA618,2)="L5"),AB618&lt;&gt;"",AC618&lt;&gt;"",AC618&lt;&gt;"N/A"),"CONFORME - Control Efectivo ISO 27001","OBSERVACIÓN - Revisar Controles")))</f>
        <v/>
      </c>
    </row>
    <row r="619">
      <c r="A619" s="99"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c r="AD619">
        <f>IF(AND(Y619="",Z619="",AA619="",AB619="",AC619=""),"",IF(OR(LEFT(AA619,2)="L0",LEFT(AA619,2)="L1",Y619="No Iniciado"),"CRÍTICO - Incumplimiento Normativo SEPS",IF(AND(Y619="Implementado",Z619&lt;&gt;"",OR(LEFT(AA619,2)="L4",LEFT(AA619,2)="L5"),AB619&lt;&gt;"",AC619&lt;&gt;"",AC619&lt;&gt;"N/A"),"CONFORME - Control Efectivo ISO 27001","OBSERVACIÓN - Revisar Controles")))</f>
        <v/>
      </c>
    </row>
    <row r="620">
      <c r="A620" s="99"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c r="AD620">
        <f>IF(AND(Y620="",Z620="",AA620="",AB620="",AC620=""),"",IF(OR(LEFT(AA620,2)="L0",LEFT(AA620,2)="L1",Y620="No Iniciado"),"CRÍTICO - Incumplimiento Normativo SEPS",IF(AND(Y620="Implementado",Z620&lt;&gt;"",OR(LEFT(AA620,2)="L4",LEFT(AA620,2)="L5"),AB620&lt;&gt;"",AC620&lt;&gt;"",AC620&lt;&gt;"N/A"),"CONFORME - Control Efectivo ISO 27001","OBSERVACIÓN - Revisar Controles")))</f>
        <v/>
      </c>
    </row>
    <row r="621">
      <c r="A621" s="99"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c r="AD621">
        <f>IF(AND(Y621="",Z621="",AA621="",AB621="",AC621=""),"",IF(OR(LEFT(AA621,2)="L0",LEFT(AA621,2)="L1",Y621="No Iniciado"),"CRÍTICO - Incumplimiento Normativo SEPS",IF(AND(Y621="Implementado",Z621&lt;&gt;"",OR(LEFT(AA621,2)="L4",LEFT(AA621,2)="L5"),AB621&lt;&gt;"",AC621&lt;&gt;"",AC621&lt;&gt;"N/A"),"CONFORME - Control Efectivo ISO 27001","OBSERVACIÓN - Revisar Controles")))</f>
        <v/>
      </c>
    </row>
    <row r="622">
      <c r="A622" s="99"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c r="AD622">
        <f>IF(AND(Y622="",Z622="",AA622="",AB622="",AC622=""),"",IF(OR(LEFT(AA622,2)="L0",LEFT(AA622,2)="L1",Y622="No Iniciado"),"CRÍTICO - Incumplimiento Normativo SEPS",IF(AND(Y622="Implementado",Z622&lt;&gt;"",OR(LEFT(AA622,2)="L4",LEFT(AA622,2)="L5"),AB622&lt;&gt;"",AC622&lt;&gt;"",AC622&lt;&gt;"N/A"),"CONFORME - Control Efectivo ISO 27001","OBSERVACIÓN - Revisar Controles")))</f>
        <v/>
      </c>
    </row>
    <row r="623">
      <c r="A623" s="99"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c r="AD623">
        <f>IF(AND(Y623="",Z623="",AA623="",AB623="",AC623=""),"",IF(OR(LEFT(AA623,2)="L0",LEFT(AA623,2)="L1",Y623="No Iniciado"),"CRÍTICO - Incumplimiento Normativo SEPS",IF(AND(Y623="Implementado",Z623&lt;&gt;"",OR(LEFT(AA623,2)="L4",LEFT(AA623,2)="L5"),AB623&lt;&gt;"",AC623&lt;&gt;"",AC623&lt;&gt;"N/A"),"CONFORME - Control Efectivo ISO 27001","OBSERVACIÓN - Revisar Controles")))</f>
        <v/>
      </c>
    </row>
    <row r="624">
      <c r="A624" s="99"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c r="AD624">
        <f>IF(AND(Y624="",Z624="",AA624="",AB624="",AC624=""),"",IF(OR(LEFT(AA624,2)="L0",LEFT(AA624,2)="L1",Y624="No Iniciado"),"CRÍTICO - Incumplimiento Normativo SEPS",IF(AND(Y624="Implementado",Z624&lt;&gt;"",OR(LEFT(AA624,2)="L4",LEFT(AA624,2)="L5"),AB624&lt;&gt;"",AC624&lt;&gt;"",AC624&lt;&gt;"N/A"),"CONFORME - Control Efectivo ISO 27001","OBSERVACIÓN - Revisar Controles")))</f>
        <v/>
      </c>
    </row>
    <row r="625">
      <c r="A625" s="99"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c r="AD625">
        <f>IF(AND(Y625="",Z625="",AA625="",AB625="",AC625=""),"",IF(OR(LEFT(AA625,2)="L0",LEFT(AA625,2)="L1",Y625="No Iniciado"),"CRÍTICO - Incumplimiento Normativo SEPS",IF(AND(Y625="Implementado",Z625&lt;&gt;"",OR(LEFT(AA625,2)="L4",LEFT(AA625,2)="L5"),AB625&lt;&gt;"",AC625&lt;&gt;"",AC625&lt;&gt;"N/A"),"CONFORME - Control Efectivo ISO 27001","OBSERVACIÓN - Revisar Controles")))</f>
        <v/>
      </c>
    </row>
    <row r="626">
      <c r="A626" s="99"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c r="AD626">
        <f>IF(AND(Y626="",Z626="",AA626="",AB626="",AC626=""),"",IF(OR(LEFT(AA626,2)="L0",LEFT(AA626,2)="L1",Y626="No Iniciado"),"CRÍTICO - Incumplimiento Normativo SEPS",IF(AND(Y626="Implementado",Z626&lt;&gt;"",OR(LEFT(AA626,2)="L4",LEFT(AA626,2)="L5"),AB626&lt;&gt;"",AC626&lt;&gt;"",AC626&lt;&gt;"N/A"),"CONFORME - Control Efectivo ISO 27001","OBSERVACIÓN - Revisar Controles")))</f>
        <v/>
      </c>
    </row>
    <row r="627">
      <c r="A627" s="99"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c r="AD627">
        <f>IF(AND(Y627="",Z627="",AA627="",AB627="",AC627=""),"",IF(OR(LEFT(AA627,2)="L0",LEFT(AA627,2)="L1",Y627="No Iniciado"),"CRÍTICO - Incumplimiento Normativo SEPS",IF(AND(Y627="Implementado",Z627&lt;&gt;"",OR(LEFT(AA627,2)="L4",LEFT(AA627,2)="L5"),AB627&lt;&gt;"",AC627&lt;&gt;"",AC627&lt;&gt;"N/A"),"CONFORME - Control Efectivo ISO 27001","OBSERVACIÓN - Revisar Controles")))</f>
        <v/>
      </c>
    </row>
    <row r="628">
      <c r="A628" s="99"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c r="AD628">
        <f>IF(AND(Y628="",Z628="",AA628="",AB628="",AC628=""),"",IF(OR(LEFT(AA628,2)="L0",LEFT(AA628,2)="L1",Y628="No Iniciado"),"CRÍTICO - Incumplimiento Normativo SEPS",IF(AND(Y628="Implementado",Z628&lt;&gt;"",OR(LEFT(AA628,2)="L4",LEFT(AA628,2)="L5"),AB628&lt;&gt;"",AC628&lt;&gt;"",AC628&lt;&gt;"N/A"),"CONFORME - Control Efectivo ISO 27001","OBSERVACIÓN - Revisar Controles")))</f>
        <v/>
      </c>
    </row>
    <row r="629">
      <c r="A629" s="99"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c r="AD629">
        <f>IF(AND(Y629="",Z629="",AA629="",AB629="",AC629=""),"",IF(OR(LEFT(AA629,2)="L0",LEFT(AA629,2)="L1",Y629="No Iniciado"),"CRÍTICO - Incumplimiento Normativo SEPS",IF(AND(Y629="Implementado",Z629&lt;&gt;"",OR(LEFT(AA629,2)="L4",LEFT(AA629,2)="L5"),AB629&lt;&gt;"",AC629&lt;&gt;"",AC629&lt;&gt;"N/A"),"CONFORME - Control Efectivo ISO 27001","OBSERVACIÓN - Revisar Controles")))</f>
        <v/>
      </c>
    </row>
    <row r="630">
      <c r="A630" s="99"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c r="AD630">
        <f>IF(AND(Y630="",Z630="",AA630="",AB630="",AC630=""),"",IF(OR(LEFT(AA630,2)="L0",LEFT(AA630,2)="L1",Y630="No Iniciado"),"CRÍTICO - Incumplimiento Normativo SEPS",IF(AND(Y630="Implementado",Z630&lt;&gt;"",OR(LEFT(AA630,2)="L4",LEFT(AA630,2)="L5"),AB630&lt;&gt;"",AC630&lt;&gt;"",AC630&lt;&gt;"N/A"),"CONFORME - Control Efectivo ISO 27001","OBSERVACIÓN - Revisar Controles")))</f>
        <v/>
      </c>
    </row>
    <row r="631">
      <c r="A631" s="99"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c r="AD631">
        <f>IF(AND(Y631="",Z631="",AA631="",AB631="",AC631=""),"",IF(OR(LEFT(AA631,2)="L0",LEFT(AA631,2)="L1",Y631="No Iniciado"),"CRÍTICO - Incumplimiento Normativo SEPS",IF(AND(Y631="Implementado",Z631&lt;&gt;"",OR(LEFT(AA631,2)="L4",LEFT(AA631,2)="L5"),AB631&lt;&gt;"",AC631&lt;&gt;"",AC631&lt;&gt;"N/A"),"CONFORME - Control Efectivo ISO 27001","OBSERVACIÓN - Revisar Controles")))</f>
        <v/>
      </c>
    </row>
    <row r="632">
      <c r="A632" s="99"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c r="AD632">
        <f>IF(AND(Y632="",Z632="",AA632="",AB632="",AC632=""),"",IF(OR(LEFT(AA632,2)="L0",LEFT(AA632,2)="L1",Y632="No Iniciado"),"CRÍTICO - Incumplimiento Normativo SEPS",IF(AND(Y632="Implementado",Z632&lt;&gt;"",OR(LEFT(AA632,2)="L4",LEFT(AA632,2)="L5"),AB632&lt;&gt;"",AC632&lt;&gt;"",AC632&lt;&gt;"N/A"),"CONFORME - Control Efectivo ISO 27001","OBSERVACIÓN - Revisar Controles")))</f>
        <v/>
      </c>
    </row>
    <row r="633">
      <c r="A633" s="99"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c r="AD633">
        <f>IF(AND(Y633="",Z633="",AA633="",AB633="",AC633=""),"",IF(OR(LEFT(AA633,2)="L0",LEFT(AA633,2)="L1",Y633="No Iniciado"),"CRÍTICO - Incumplimiento Normativo SEPS",IF(AND(Y633="Implementado",Z633&lt;&gt;"",OR(LEFT(AA633,2)="L4",LEFT(AA633,2)="L5"),AB633&lt;&gt;"",AC633&lt;&gt;"",AC633&lt;&gt;"N/A"),"CONFORME - Control Efectivo ISO 27001","OBSERVACIÓN - Revisar Controles")))</f>
        <v/>
      </c>
    </row>
    <row r="634">
      <c r="A634" s="99"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c r="AD634">
        <f>IF(AND(Y634="",Z634="",AA634="",AB634="",AC634=""),"",IF(OR(LEFT(AA634,2)="L0",LEFT(AA634,2)="L1",Y634="No Iniciado"),"CRÍTICO - Incumplimiento Normativo SEPS",IF(AND(Y634="Implementado",Z634&lt;&gt;"",OR(LEFT(AA634,2)="L4",LEFT(AA634,2)="L5"),AB634&lt;&gt;"",AC634&lt;&gt;"",AC634&lt;&gt;"N/A"),"CONFORME - Control Efectivo ISO 27001","OBSERVACIÓN - Revisar Controles")))</f>
        <v/>
      </c>
    </row>
    <row r="635">
      <c r="A635" s="99"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c r="AD635">
        <f>IF(AND(Y635="",Z635="",AA635="",AB635="",AC635=""),"",IF(OR(LEFT(AA635,2)="L0",LEFT(AA635,2)="L1",Y635="No Iniciado"),"CRÍTICO - Incumplimiento Normativo SEPS",IF(AND(Y635="Implementado",Z635&lt;&gt;"",OR(LEFT(AA635,2)="L4",LEFT(AA635,2)="L5"),AB635&lt;&gt;"",AC635&lt;&gt;"",AC635&lt;&gt;"N/A"),"CONFORME - Control Efectivo ISO 27001","OBSERVACIÓN - Revisar Controles")))</f>
        <v/>
      </c>
    </row>
    <row r="636">
      <c r="A636" s="99"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c r="AD636">
        <f>IF(AND(Y636="",Z636="",AA636="",AB636="",AC636=""),"",IF(OR(LEFT(AA636,2)="L0",LEFT(AA636,2)="L1",Y636="No Iniciado"),"CRÍTICO - Incumplimiento Normativo SEPS",IF(AND(Y636="Implementado",Z636&lt;&gt;"",OR(LEFT(AA636,2)="L4",LEFT(AA636,2)="L5"),AB636&lt;&gt;"",AC636&lt;&gt;"",AC636&lt;&gt;"N/A"),"CONFORME - Control Efectivo ISO 27001","OBSERVACIÓN - Revisar Controles")))</f>
        <v/>
      </c>
    </row>
    <row r="637">
      <c r="A637" s="99"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c r="AD637">
        <f>IF(AND(Y637="",Z637="",AA637="",AB637="",AC637=""),"",IF(OR(LEFT(AA637,2)="L0",LEFT(AA637,2)="L1",Y637="No Iniciado"),"CRÍTICO - Incumplimiento Normativo SEPS",IF(AND(Y637="Implementado",Z637&lt;&gt;"",OR(LEFT(AA637,2)="L4",LEFT(AA637,2)="L5"),AB637&lt;&gt;"",AC637&lt;&gt;"",AC637&lt;&gt;"N/A"),"CONFORME - Control Efectivo ISO 27001","OBSERVACIÓN - Revisar Controles")))</f>
        <v/>
      </c>
    </row>
    <row r="638">
      <c r="A638" s="99"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c r="AD638">
        <f>IF(AND(Y638="",Z638="",AA638="",AB638="",AC638=""),"",IF(OR(LEFT(AA638,2)="L0",LEFT(AA638,2)="L1",Y638="No Iniciado"),"CRÍTICO - Incumplimiento Normativo SEPS",IF(AND(Y638="Implementado",Z638&lt;&gt;"",OR(LEFT(AA638,2)="L4",LEFT(AA638,2)="L5"),AB638&lt;&gt;"",AC638&lt;&gt;"",AC638&lt;&gt;"N/A"),"CONFORME - Control Efectivo ISO 27001","OBSERVACIÓN - Revisar Controles")))</f>
        <v/>
      </c>
    </row>
    <row r="639">
      <c r="A639" s="99"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c r="AD639">
        <f>IF(AND(Y639="",Z639="",AA639="",AB639="",AC639=""),"",IF(OR(LEFT(AA639,2)="L0",LEFT(AA639,2)="L1",Y639="No Iniciado"),"CRÍTICO - Incumplimiento Normativo SEPS",IF(AND(Y639="Implementado",Z639&lt;&gt;"",OR(LEFT(AA639,2)="L4",LEFT(AA639,2)="L5"),AB639&lt;&gt;"",AC639&lt;&gt;"",AC639&lt;&gt;"N/A"),"CONFORME - Control Efectivo ISO 27001","OBSERVACIÓN - Revisar Controles")))</f>
        <v/>
      </c>
    </row>
    <row r="640">
      <c r="A640" s="99"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c r="AD640">
        <f>IF(AND(Y640="",Z640="",AA640="",AB640="",AC640=""),"",IF(OR(LEFT(AA640,2)="L0",LEFT(AA640,2)="L1",Y640="No Iniciado"),"CRÍTICO - Incumplimiento Normativo SEPS",IF(AND(Y640="Implementado",Z640&lt;&gt;"",OR(LEFT(AA640,2)="L4",LEFT(AA640,2)="L5"),AB640&lt;&gt;"",AC640&lt;&gt;"",AC640&lt;&gt;"N/A"),"CONFORME - Control Efectivo ISO 27001","OBSERVACIÓN - Revisar Controles")))</f>
        <v/>
      </c>
    </row>
    <row r="641">
      <c r="A641" s="99"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c r="AD641">
        <f>IF(AND(Y641="",Z641="",AA641="",AB641="",AC641=""),"",IF(OR(LEFT(AA641,2)="L0",LEFT(AA641,2)="L1",Y641="No Iniciado"),"CRÍTICO - Incumplimiento Normativo SEPS",IF(AND(Y641="Implementado",Z641&lt;&gt;"",OR(LEFT(AA641,2)="L4",LEFT(AA641,2)="L5"),AB641&lt;&gt;"",AC641&lt;&gt;"",AC641&lt;&gt;"N/A"),"CONFORME - Control Efectivo ISO 27001","OBSERVACIÓN - Revisar Controles")))</f>
        <v/>
      </c>
    </row>
    <row r="642">
      <c r="A642" s="99"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c r="AD642">
        <f>IF(AND(Y642="",Z642="",AA642="",AB642="",AC642=""),"",IF(OR(LEFT(AA642,2)="L0",LEFT(AA642,2)="L1",Y642="No Iniciado"),"CRÍTICO - Incumplimiento Normativo SEPS",IF(AND(Y642="Implementado",Z642&lt;&gt;"",OR(LEFT(AA642,2)="L4",LEFT(AA642,2)="L5"),AB642&lt;&gt;"",AC642&lt;&gt;"",AC642&lt;&gt;"N/A"),"CONFORME - Control Efectivo ISO 27001","OBSERVACIÓN - Revisar Controles")))</f>
        <v/>
      </c>
    </row>
    <row r="643">
      <c r="A643" s="99"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c r="AD643">
        <f>IF(AND(Y643="",Z643="",AA643="",AB643="",AC643=""),"",IF(OR(LEFT(AA643,2)="L0",LEFT(AA643,2)="L1",Y643="No Iniciado"),"CRÍTICO - Incumplimiento Normativo SEPS",IF(AND(Y643="Implementado",Z643&lt;&gt;"",OR(LEFT(AA643,2)="L4",LEFT(AA643,2)="L5"),AB643&lt;&gt;"",AC643&lt;&gt;"",AC643&lt;&gt;"N/A"),"CONFORME - Control Efectivo ISO 27001","OBSERVACIÓN - Revisar Controles")))</f>
        <v/>
      </c>
    </row>
    <row r="644">
      <c r="A644" s="99"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c r="AD644">
        <f>IF(AND(Y644="",Z644="",AA644="",AB644="",AC644=""),"",IF(OR(LEFT(AA644,2)="L0",LEFT(AA644,2)="L1",Y644="No Iniciado"),"CRÍTICO - Incumplimiento Normativo SEPS",IF(AND(Y644="Implementado",Z644&lt;&gt;"",OR(LEFT(AA644,2)="L4",LEFT(AA644,2)="L5"),AB644&lt;&gt;"",AC644&lt;&gt;"",AC644&lt;&gt;"N/A"),"CONFORME - Control Efectivo ISO 27001","OBSERVACIÓN - Revisar Controles")))</f>
        <v/>
      </c>
    </row>
    <row r="645">
      <c r="A645" s="99"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c r="AD645">
        <f>IF(AND(Y645="",Z645="",AA645="",AB645="",AC645=""),"",IF(OR(LEFT(AA645,2)="L0",LEFT(AA645,2)="L1",Y645="No Iniciado"),"CRÍTICO - Incumplimiento Normativo SEPS",IF(AND(Y645="Implementado",Z645&lt;&gt;"",OR(LEFT(AA645,2)="L4",LEFT(AA645,2)="L5"),AB645&lt;&gt;"",AC645&lt;&gt;"",AC645&lt;&gt;"N/A"),"CONFORME - Control Efectivo ISO 27001","OBSERVACIÓN - Revisar Controles")))</f>
        <v/>
      </c>
    </row>
    <row r="646">
      <c r="A646" s="99"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c r="AD646">
        <f>IF(AND(Y646="",Z646="",AA646="",AB646="",AC646=""),"",IF(OR(LEFT(AA646,2)="L0",LEFT(AA646,2)="L1",Y646="No Iniciado"),"CRÍTICO - Incumplimiento Normativo SEPS",IF(AND(Y646="Implementado",Z646&lt;&gt;"",OR(LEFT(AA646,2)="L4",LEFT(AA646,2)="L5"),AB646&lt;&gt;"",AC646&lt;&gt;"",AC646&lt;&gt;"N/A"),"CONFORME - Control Efectivo ISO 27001","OBSERVACIÓN - Revisar Controles")))</f>
        <v/>
      </c>
    </row>
    <row r="647">
      <c r="A647" s="99"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c r="AD647">
        <f>IF(AND(Y647="",Z647="",AA647="",AB647="",AC647=""),"",IF(OR(LEFT(AA647,2)="L0",LEFT(AA647,2)="L1",Y647="No Iniciado"),"CRÍTICO - Incumplimiento Normativo SEPS",IF(AND(Y647="Implementado",Z647&lt;&gt;"",OR(LEFT(AA647,2)="L4",LEFT(AA647,2)="L5"),AB647&lt;&gt;"",AC647&lt;&gt;"",AC647&lt;&gt;"N/A"),"CONFORME - Control Efectivo ISO 27001","OBSERVACIÓN - Revisar Controles")))</f>
        <v/>
      </c>
    </row>
    <row r="648">
      <c r="A648" s="99"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c r="AD648">
        <f>IF(AND(Y648="",Z648="",AA648="",AB648="",AC648=""),"",IF(OR(LEFT(AA648,2)="L0",LEFT(AA648,2)="L1",Y648="No Iniciado"),"CRÍTICO - Incumplimiento Normativo SEPS",IF(AND(Y648="Implementado",Z648&lt;&gt;"",OR(LEFT(AA648,2)="L4",LEFT(AA648,2)="L5"),AB648&lt;&gt;"",AC648&lt;&gt;"",AC648&lt;&gt;"N/A"),"CONFORME - Control Efectivo ISO 27001","OBSERVACIÓN - Revisar Controles")))</f>
        <v/>
      </c>
    </row>
    <row r="649">
      <c r="A649" s="99"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c r="AD649">
        <f>IF(AND(Y649="",Z649="",AA649="",AB649="",AC649=""),"",IF(OR(LEFT(AA649,2)="L0",LEFT(AA649,2)="L1",Y649="No Iniciado"),"CRÍTICO - Incumplimiento Normativo SEPS",IF(AND(Y649="Implementado",Z649&lt;&gt;"",OR(LEFT(AA649,2)="L4",LEFT(AA649,2)="L5"),AB649&lt;&gt;"",AC649&lt;&gt;"",AC649&lt;&gt;"N/A"),"CONFORME - Control Efectivo ISO 27001","OBSERVACIÓN - Revisar Controles")))</f>
        <v/>
      </c>
    </row>
    <row r="650">
      <c r="A650" s="99"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c r="AD650">
        <f>IF(AND(Y650="",Z650="",AA650="",AB650="",AC650=""),"",IF(OR(LEFT(AA650,2)="L0",LEFT(AA650,2)="L1",Y650="No Iniciado"),"CRÍTICO - Incumplimiento Normativo SEPS",IF(AND(Y650="Implementado",Z650&lt;&gt;"",OR(LEFT(AA650,2)="L4",LEFT(AA650,2)="L5"),AB650&lt;&gt;"",AC650&lt;&gt;"",AC650&lt;&gt;"N/A"),"CONFORME - Control Efectivo ISO 27001","OBSERVACIÓN - Revisar Controles")))</f>
        <v/>
      </c>
    </row>
    <row r="651">
      <c r="A651" s="99"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c r="AD651">
        <f>IF(AND(Y651="",Z651="",AA651="",AB651="",AC651=""),"",IF(OR(LEFT(AA651,2)="L0",LEFT(AA651,2)="L1",Y651="No Iniciado"),"CRÍTICO - Incumplimiento Normativo SEPS",IF(AND(Y651="Implementado",Z651&lt;&gt;"",OR(LEFT(AA651,2)="L4",LEFT(AA651,2)="L5"),AB651&lt;&gt;"",AC651&lt;&gt;"",AC651&lt;&gt;"N/A"),"CONFORME - Control Efectivo ISO 27001","OBSERVACIÓN - Revisar Controles")))</f>
        <v/>
      </c>
    </row>
    <row r="652">
      <c r="A652" s="99"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c r="AD652">
        <f>IF(AND(Y652="",Z652="",AA652="",AB652="",AC652=""),"",IF(OR(LEFT(AA652,2)="L0",LEFT(AA652,2)="L1",Y652="No Iniciado"),"CRÍTICO - Incumplimiento Normativo SEPS",IF(AND(Y652="Implementado",Z652&lt;&gt;"",OR(LEFT(AA652,2)="L4",LEFT(AA652,2)="L5"),AB652&lt;&gt;"",AC652&lt;&gt;"",AC652&lt;&gt;"N/A"),"CONFORME - Control Efectivo ISO 27001","OBSERVACIÓN - Revisar Controles")))</f>
        <v/>
      </c>
    </row>
    <row r="653">
      <c r="A653" s="99"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c r="AD653">
        <f>IF(AND(Y653="",Z653="",AA653="",AB653="",AC653=""),"",IF(OR(LEFT(AA653,2)="L0",LEFT(AA653,2)="L1",Y653="No Iniciado"),"CRÍTICO - Incumplimiento Normativo SEPS",IF(AND(Y653="Implementado",Z653&lt;&gt;"",OR(LEFT(AA653,2)="L4",LEFT(AA653,2)="L5"),AB653&lt;&gt;"",AC653&lt;&gt;"",AC653&lt;&gt;"N/A"),"CONFORME - Control Efectivo ISO 27001","OBSERVACIÓN - Revisar Controles")))</f>
        <v/>
      </c>
    </row>
    <row r="654">
      <c r="A654" s="99"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c r="AD654">
        <f>IF(AND(Y654="",Z654="",AA654="",AB654="",AC654=""),"",IF(OR(LEFT(AA654,2)="L0",LEFT(AA654,2)="L1",Y654="No Iniciado"),"CRÍTICO - Incumplimiento Normativo SEPS",IF(AND(Y654="Implementado",Z654&lt;&gt;"",OR(LEFT(AA654,2)="L4",LEFT(AA654,2)="L5"),AB654&lt;&gt;"",AC654&lt;&gt;"",AC654&lt;&gt;"N/A"),"CONFORME - Control Efectivo ISO 27001","OBSERVACIÓN - Revisar Controles")))</f>
        <v/>
      </c>
    </row>
    <row r="655">
      <c r="A655" s="99"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c r="AD655">
        <f>IF(AND(Y655="",Z655="",AA655="",AB655="",AC655=""),"",IF(OR(LEFT(AA655,2)="L0",LEFT(AA655,2)="L1",Y655="No Iniciado"),"CRÍTICO - Incumplimiento Normativo SEPS",IF(AND(Y655="Implementado",Z655&lt;&gt;"",OR(LEFT(AA655,2)="L4",LEFT(AA655,2)="L5"),AB655&lt;&gt;"",AC655&lt;&gt;"",AC655&lt;&gt;"N/A"),"CONFORME - Control Efectivo ISO 27001","OBSERVACIÓN - Revisar Controles")))</f>
        <v/>
      </c>
    </row>
    <row r="656">
      <c r="A656" s="99"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c r="AD656">
        <f>IF(AND(Y656="",Z656="",AA656="",AB656="",AC656=""),"",IF(OR(LEFT(AA656,2)="L0",LEFT(AA656,2)="L1",Y656="No Iniciado"),"CRÍTICO - Incumplimiento Normativo SEPS",IF(AND(Y656="Implementado",Z656&lt;&gt;"",OR(LEFT(AA656,2)="L4",LEFT(AA656,2)="L5"),AB656&lt;&gt;"",AC656&lt;&gt;"",AC656&lt;&gt;"N/A"),"CONFORME - Control Efectivo ISO 27001","OBSERVACIÓN - Revisar Controles")))</f>
        <v/>
      </c>
    </row>
    <row r="657">
      <c r="A657" s="99"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c r="AD657">
        <f>IF(AND(Y657="",Z657="",AA657="",AB657="",AC657=""),"",IF(OR(LEFT(AA657,2)="L0",LEFT(AA657,2)="L1",Y657="No Iniciado"),"CRÍTICO - Incumplimiento Normativo SEPS",IF(AND(Y657="Implementado",Z657&lt;&gt;"",OR(LEFT(AA657,2)="L4",LEFT(AA657,2)="L5"),AB657&lt;&gt;"",AC657&lt;&gt;"",AC657&lt;&gt;"N/A"),"CONFORME - Control Efectivo ISO 27001","OBSERVACIÓN - Revisar Controles")))</f>
        <v/>
      </c>
    </row>
    <row r="658">
      <c r="A658" s="99"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c r="AD658">
        <f>IF(AND(Y658="",Z658="",AA658="",AB658="",AC658=""),"",IF(OR(LEFT(AA658,2)="L0",LEFT(AA658,2)="L1",Y658="No Iniciado"),"CRÍTICO - Incumplimiento Normativo SEPS",IF(AND(Y658="Implementado",Z658&lt;&gt;"",OR(LEFT(AA658,2)="L4",LEFT(AA658,2)="L5"),AB658&lt;&gt;"",AC658&lt;&gt;"",AC658&lt;&gt;"N/A"),"CONFORME - Control Efectivo ISO 27001","OBSERVACIÓN - Revisar Controles")))</f>
        <v/>
      </c>
    </row>
    <row r="659">
      <c r="A659" s="99"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c r="AD659">
        <f>IF(AND(Y659="",Z659="",AA659="",AB659="",AC659=""),"",IF(OR(LEFT(AA659,2)="L0",LEFT(AA659,2)="L1",Y659="No Iniciado"),"CRÍTICO - Incumplimiento Normativo SEPS",IF(AND(Y659="Implementado",Z659&lt;&gt;"",OR(LEFT(AA659,2)="L4",LEFT(AA659,2)="L5"),AB659&lt;&gt;"",AC659&lt;&gt;"",AC659&lt;&gt;"N/A"),"CONFORME - Control Efectivo ISO 27001","OBSERVACIÓN - Revisar Controles")))</f>
        <v/>
      </c>
    </row>
    <row r="660">
      <c r="A660" s="99"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c r="AD660">
        <f>IF(AND(Y660="",Z660="",AA660="",AB660="",AC660=""),"",IF(OR(LEFT(AA660,2)="L0",LEFT(AA660,2)="L1",Y660="No Iniciado"),"CRÍTICO - Incumplimiento Normativo SEPS",IF(AND(Y660="Implementado",Z660&lt;&gt;"",OR(LEFT(AA660,2)="L4",LEFT(AA660,2)="L5"),AB660&lt;&gt;"",AC660&lt;&gt;"",AC660&lt;&gt;"N/A"),"CONFORME - Control Efectivo ISO 27001","OBSERVACIÓN - Revisar Controles")))</f>
        <v/>
      </c>
    </row>
    <row r="661">
      <c r="A661" s="99"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c r="AD661">
        <f>IF(AND(Y661="",Z661="",AA661="",AB661="",AC661=""),"",IF(OR(LEFT(AA661,2)="L0",LEFT(AA661,2)="L1",Y661="No Iniciado"),"CRÍTICO - Incumplimiento Normativo SEPS",IF(AND(Y661="Implementado",Z661&lt;&gt;"",OR(LEFT(AA661,2)="L4",LEFT(AA661,2)="L5"),AB661&lt;&gt;"",AC661&lt;&gt;"",AC661&lt;&gt;"N/A"),"CONFORME - Control Efectivo ISO 27001","OBSERVACIÓN - Revisar Controles")))</f>
        <v/>
      </c>
    </row>
    <row r="662">
      <c r="A662" s="99"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c r="AD662">
        <f>IF(AND(Y662="",Z662="",AA662="",AB662="",AC662=""),"",IF(OR(LEFT(AA662,2)="L0",LEFT(AA662,2)="L1",Y662="No Iniciado"),"CRÍTICO - Incumplimiento Normativo SEPS",IF(AND(Y662="Implementado",Z662&lt;&gt;"",OR(LEFT(AA662,2)="L4",LEFT(AA662,2)="L5"),AB662&lt;&gt;"",AC662&lt;&gt;"",AC662&lt;&gt;"N/A"),"CONFORME - Control Efectivo ISO 27001","OBSERVACIÓN - Revisar Controles")))</f>
        <v/>
      </c>
    </row>
    <row r="663">
      <c r="A663" s="99"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c r="AD663">
        <f>IF(AND(Y663="",Z663="",AA663="",AB663="",AC663=""),"",IF(OR(LEFT(AA663,2)="L0",LEFT(AA663,2)="L1",Y663="No Iniciado"),"CRÍTICO - Incumplimiento Normativo SEPS",IF(AND(Y663="Implementado",Z663&lt;&gt;"",OR(LEFT(AA663,2)="L4",LEFT(AA663,2)="L5"),AB663&lt;&gt;"",AC663&lt;&gt;"",AC663&lt;&gt;"N/A"),"CONFORME - Control Efectivo ISO 27001","OBSERVACIÓN - Revisar Controles")))</f>
        <v/>
      </c>
    </row>
    <row r="664">
      <c r="A664" s="99"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c r="AD664">
        <f>IF(AND(Y664="",Z664="",AA664="",AB664="",AC664=""),"",IF(OR(LEFT(AA664,2)="L0",LEFT(AA664,2)="L1",Y664="No Iniciado"),"CRÍTICO - Incumplimiento Normativo SEPS",IF(AND(Y664="Implementado",Z664&lt;&gt;"",OR(LEFT(AA664,2)="L4",LEFT(AA664,2)="L5"),AB664&lt;&gt;"",AC664&lt;&gt;"",AC664&lt;&gt;"N/A"),"CONFORME - Control Efectivo ISO 27001","OBSERVACIÓN - Revisar Controles")))</f>
        <v/>
      </c>
    </row>
    <row r="665">
      <c r="A665" s="99"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c r="AD665">
        <f>IF(AND(Y665="",Z665="",AA665="",AB665="",AC665=""),"",IF(OR(LEFT(AA665,2)="L0",LEFT(AA665,2)="L1",Y665="No Iniciado"),"CRÍTICO - Incumplimiento Normativo SEPS",IF(AND(Y665="Implementado",Z665&lt;&gt;"",OR(LEFT(AA665,2)="L4",LEFT(AA665,2)="L5"),AB665&lt;&gt;"",AC665&lt;&gt;"",AC665&lt;&gt;"N/A"),"CONFORME - Control Efectivo ISO 27001","OBSERVACIÓN - Revisar Controles")))</f>
        <v/>
      </c>
    </row>
    <row r="666">
      <c r="A666" s="99"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c r="AD666">
        <f>IF(AND(Y666="",Z666="",AA666="",AB666="",AC666=""),"",IF(OR(LEFT(AA666,2)="L0",LEFT(AA666,2)="L1",Y666="No Iniciado"),"CRÍTICO - Incumplimiento Normativo SEPS",IF(AND(Y666="Implementado",Z666&lt;&gt;"",OR(LEFT(AA666,2)="L4",LEFT(AA666,2)="L5"),AB666&lt;&gt;"",AC666&lt;&gt;"",AC666&lt;&gt;"N/A"),"CONFORME - Control Efectivo ISO 27001","OBSERVACIÓN - Revisar Controles")))</f>
        <v/>
      </c>
    </row>
    <row r="667">
      <c r="A667" s="99"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c r="AD667">
        <f>IF(AND(Y667="",Z667="",AA667="",AB667="",AC667=""),"",IF(OR(LEFT(AA667,2)="L0",LEFT(AA667,2)="L1",Y667="No Iniciado"),"CRÍTICO - Incumplimiento Normativo SEPS",IF(AND(Y667="Implementado",Z667&lt;&gt;"",OR(LEFT(AA667,2)="L4",LEFT(AA667,2)="L5"),AB667&lt;&gt;"",AC667&lt;&gt;"",AC667&lt;&gt;"N/A"),"CONFORME - Control Efectivo ISO 27001","OBSERVACIÓN - Revisar Controles")))</f>
        <v/>
      </c>
    </row>
    <row r="668">
      <c r="A668" s="99"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c r="AD668">
        <f>IF(AND(Y668="",Z668="",AA668="",AB668="",AC668=""),"",IF(OR(LEFT(AA668,2)="L0",LEFT(AA668,2)="L1",Y668="No Iniciado"),"CRÍTICO - Incumplimiento Normativo SEPS",IF(AND(Y668="Implementado",Z668&lt;&gt;"",OR(LEFT(AA668,2)="L4",LEFT(AA668,2)="L5"),AB668&lt;&gt;"",AC668&lt;&gt;"",AC668&lt;&gt;"N/A"),"CONFORME - Control Efectivo ISO 27001","OBSERVACIÓN - Revisar Controles")))</f>
        <v/>
      </c>
    </row>
    <row r="669">
      <c r="A669" s="99"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c r="AD669">
        <f>IF(AND(Y669="",Z669="",AA669="",AB669="",AC669=""),"",IF(OR(LEFT(AA669,2)="L0",LEFT(AA669,2)="L1",Y669="No Iniciado"),"CRÍTICO - Incumplimiento Normativo SEPS",IF(AND(Y669="Implementado",Z669&lt;&gt;"",OR(LEFT(AA669,2)="L4",LEFT(AA669,2)="L5"),AB669&lt;&gt;"",AC669&lt;&gt;"",AC669&lt;&gt;"N/A"),"CONFORME - Control Efectivo ISO 27001","OBSERVACIÓN - Revisar Controles")))</f>
        <v/>
      </c>
    </row>
    <row r="670">
      <c r="A670" s="99"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c r="AD670">
        <f>IF(AND(Y670="",Z670="",AA670="",AB670="",AC670=""),"",IF(OR(LEFT(AA670,2)="L0",LEFT(AA670,2)="L1",Y670="No Iniciado"),"CRÍTICO - Incumplimiento Normativo SEPS",IF(AND(Y670="Implementado",Z670&lt;&gt;"",OR(LEFT(AA670,2)="L4",LEFT(AA670,2)="L5"),AB670&lt;&gt;"",AC670&lt;&gt;"",AC670&lt;&gt;"N/A"),"CONFORME - Control Efectivo ISO 27001","OBSERVACIÓN - Revisar Controles")))</f>
        <v/>
      </c>
    </row>
    <row r="671">
      <c r="A671" s="99"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c r="AD671">
        <f>IF(AND(Y671="",Z671="",AA671="",AB671="",AC671=""),"",IF(OR(LEFT(AA671,2)="L0",LEFT(AA671,2)="L1",Y671="No Iniciado"),"CRÍTICO - Incumplimiento Normativo SEPS",IF(AND(Y671="Implementado",Z671&lt;&gt;"",OR(LEFT(AA671,2)="L4",LEFT(AA671,2)="L5"),AB671&lt;&gt;"",AC671&lt;&gt;"",AC671&lt;&gt;"N/A"),"CONFORME - Control Efectivo ISO 27001","OBSERVACIÓN - Revisar Controles")))</f>
        <v/>
      </c>
    </row>
    <row r="672">
      <c r="A672" s="99"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c r="AD672">
        <f>IF(AND(Y672="",Z672="",AA672="",AB672="",AC672=""),"",IF(OR(LEFT(AA672,2)="L0",LEFT(AA672,2)="L1",Y672="No Iniciado"),"CRÍTICO - Incumplimiento Normativo SEPS",IF(AND(Y672="Implementado",Z672&lt;&gt;"",OR(LEFT(AA672,2)="L4",LEFT(AA672,2)="L5"),AB672&lt;&gt;"",AC672&lt;&gt;"",AC672&lt;&gt;"N/A"),"CONFORME - Control Efectivo ISO 27001","OBSERVACIÓN - Revisar Controles")))</f>
        <v/>
      </c>
    </row>
    <row r="673">
      <c r="A673" s="99"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c r="AD673">
        <f>IF(AND(Y673="",Z673="",AA673="",AB673="",AC673=""),"",IF(OR(LEFT(AA673,2)="L0",LEFT(AA673,2)="L1",Y673="No Iniciado"),"CRÍTICO - Incumplimiento Normativo SEPS",IF(AND(Y673="Implementado",Z673&lt;&gt;"",OR(LEFT(AA673,2)="L4",LEFT(AA673,2)="L5"),AB673&lt;&gt;"",AC673&lt;&gt;"",AC673&lt;&gt;"N/A"),"CONFORME - Control Efectivo ISO 27001","OBSERVACIÓN - Revisar Controles")))</f>
        <v/>
      </c>
    </row>
    <row r="674">
      <c r="A674" s="99"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c r="AD674">
        <f>IF(AND(Y674="",Z674="",AA674="",AB674="",AC674=""),"",IF(OR(LEFT(AA674,2)="L0",LEFT(AA674,2)="L1",Y674="No Iniciado"),"CRÍTICO - Incumplimiento Normativo SEPS",IF(AND(Y674="Implementado",Z674&lt;&gt;"",OR(LEFT(AA674,2)="L4",LEFT(AA674,2)="L5"),AB674&lt;&gt;"",AC674&lt;&gt;"",AC674&lt;&gt;"N/A"),"CONFORME - Control Efectivo ISO 27001","OBSERVACIÓN - Revisar Controles")))</f>
        <v/>
      </c>
    </row>
    <row r="675">
      <c r="A675" s="99"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c r="AD675">
        <f>IF(AND(Y675="",Z675="",AA675="",AB675="",AC675=""),"",IF(OR(LEFT(AA675,2)="L0",LEFT(AA675,2)="L1",Y675="No Iniciado"),"CRÍTICO - Incumplimiento Normativo SEPS",IF(AND(Y675="Implementado",Z675&lt;&gt;"",OR(LEFT(AA675,2)="L4",LEFT(AA675,2)="L5"),AB675&lt;&gt;"",AC675&lt;&gt;"",AC675&lt;&gt;"N/A"),"CONFORME - Control Efectivo ISO 27001","OBSERVACIÓN - Revisar Controles")))</f>
        <v/>
      </c>
    </row>
    <row r="676">
      <c r="A676" s="99"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c r="AD676">
        <f>IF(AND(Y676="",Z676="",AA676="",AB676="",AC676=""),"",IF(OR(LEFT(AA676,2)="L0",LEFT(AA676,2)="L1",Y676="No Iniciado"),"CRÍTICO - Incumplimiento Normativo SEPS",IF(AND(Y676="Implementado",Z676&lt;&gt;"",OR(LEFT(AA676,2)="L4",LEFT(AA676,2)="L5"),AB676&lt;&gt;"",AC676&lt;&gt;"",AC676&lt;&gt;"N/A"),"CONFORME - Control Efectivo ISO 27001","OBSERVACIÓN - Revisar Controles")))</f>
        <v/>
      </c>
    </row>
    <row r="677">
      <c r="A677" s="99"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c r="AD677">
        <f>IF(AND(Y677="",Z677="",AA677="",AB677="",AC677=""),"",IF(OR(LEFT(AA677,2)="L0",LEFT(AA677,2)="L1",Y677="No Iniciado"),"CRÍTICO - Incumplimiento Normativo SEPS",IF(AND(Y677="Implementado",Z677&lt;&gt;"",OR(LEFT(AA677,2)="L4",LEFT(AA677,2)="L5"),AB677&lt;&gt;"",AC677&lt;&gt;"",AC677&lt;&gt;"N/A"),"CONFORME - Control Efectivo ISO 27001","OBSERVACIÓN - Revisar Controles")))</f>
        <v/>
      </c>
    </row>
    <row r="678">
      <c r="A678" s="99"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c r="AD678">
        <f>IF(AND(Y678="",Z678="",AA678="",AB678="",AC678=""),"",IF(OR(LEFT(AA678,2)="L0",LEFT(AA678,2)="L1",Y678="No Iniciado"),"CRÍTICO - Incumplimiento Normativo SEPS",IF(AND(Y678="Implementado",Z678&lt;&gt;"",OR(LEFT(AA678,2)="L4",LEFT(AA678,2)="L5"),AB678&lt;&gt;"",AC678&lt;&gt;"",AC678&lt;&gt;"N/A"),"CONFORME - Control Efectivo ISO 27001","OBSERVACIÓN - Revisar Controles")))</f>
        <v/>
      </c>
    </row>
    <row r="679">
      <c r="A679" s="99"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c r="AD679">
        <f>IF(AND(Y679="",Z679="",AA679="",AB679="",AC679=""),"",IF(OR(LEFT(AA679,2)="L0",LEFT(AA679,2)="L1",Y679="No Iniciado"),"CRÍTICO - Incumplimiento Normativo SEPS",IF(AND(Y679="Implementado",Z679&lt;&gt;"",OR(LEFT(AA679,2)="L4",LEFT(AA679,2)="L5"),AB679&lt;&gt;"",AC679&lt;&gt;"",AC679&lt;&gt;"N/A"),"CONFORME - Control Efectivo ISO 27001","OBSERVACIÓN - Revisar Controles")))</f>
        <v/>
      </c>
    </row>
    <row r="680">
      <c r="A680" s="99"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c r="AD680">
        <f>IF(AND(Y680="",Z680="",AA680="",AB680="",AC680=""),"",IF(OR(LEFT(AA680,2)="L0",LEFT(AA680,2)="L1",Y680="No Iniciado"),"CRÍTICO - Incumplimiento Normativo SEPS",IF(AND(Y680="Implementado",Z680&lt;&gt;"",OR(LEFT(AA680,2)="L4",LEFT(AA680,2)="L5"),AB680&lt;&gt;"",AC680&lt;&gt;"",AC680&lt;&gt;"N/A"),"CONFORME - Control Efectivo ISO 27001","OBSERVACIÓN - Revisar Controles")))</f>
        <v/>
      </c>
    </row>
    <row r="681">
      <c r="A681" s="99"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c r="AD681">
        <f>IF(AND(Y681="",Z681="",AA681="",AB681="",AC681=""),"",IF(OR(LEFT(AA681,2)="L0",LEFT(AA681,2)="L1",Y681="No Iniciado"),"CRÍTICO - Incumplimiento Normativo SEPS",IF(AND(Y681="Implementado",Z681&lt;&gt;"",OR(LEFT(AA681,2)="L4",LEFT(AA681,2)="L5"),AB681&lt;&gt;"",AC681&lt;&gt;"",AC681&lt;&gt;"N/A"),"CONFORME - Control Efectivo ISO 27001","OBSERVACIÓN - Revisar Controles")))</f>
        <v/>
      </c>
    </row>
    <row r="682">
      <c r="A682" s="99"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c r="AD682">
        <f>IF(AND(Y682="",Z682="",AA682="",AB682="",AC682=""),"",IF(OR(LEFT(AA682,2)="L0",LEFT(AA682,2)="L1",Y682="No Iniciado"),"CRÍTICO - Incumplimiento Normativo SEPS",IF(AND(Y682="Implementado",Z682&lt;&gt;"",OR(LEFT(AA682,2)="L4",LEFT(AA682,2)="L5"),AB682&lt;&gt;"",AC682&lt;&gt;"",AC682&lt;&gt;"N/A"),"CONFORME - Control Efectivo ISO 27001","OBSERVACIÓN - Revisar Controles")))</f>
        <v/>
      </c>
    </row>
    <row r="683">
      <c r="A683" s="99"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c r="AD683">
        <f>IF(AND(Y683="",Z683="",AA683="",AB683="",AC683=""),"",IF(OR(LEFT(AA683,2)="L0",LEFT(AA683,2)="L1",Y683="No Iniciado"),"CRÍTICO - Incumplimiento Normativo SEPS",IF(AND(Y683="Implementado",Z683&lt;&gt;"",OR(LEFT(AA683,2)="L4",LEFT(AA683,2)="L5"),AB683&lt;&gt;"",AC683&lt;&gt;"",AC683&lt;&gt;"N/A"),"CONFORME - Control Efectivo ISO 27001","OBSERVACIÓN - Revisar Controles")))</f>
        <v/>
      </c>
    </row>
    <row r="684">
      <c r="A684" s="99"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c r="AD684">
        <f>IF(AND(Y684="",Z684="",AA684="",AB684="",AC684=""),"",IF(OR(LEFT(AA684,2)="L0",LEFT(AA684,2)="L1",Y684="No Iniciado"),"CRÍTICO - Incumplimiento Normativo SEPS",IF(AND(Y684="Implementado",Z684&lt;&gt;"",OR(LEFT(AA684,2)="L4",LEFT(AA684,2)="L5"),AB684&lt;&gt;"",AC684&lt;&gt;"",AC684&lt;&gt;"N/A"),"CONFORME - Control Efectivo ISO 27001","OBSERVACIÓN - Revisar Controles")))</f>
        <v/>
      </c>
    </row>
    <row r="685">
      <c r="A685" s="99"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c r="AD685">
        <f>IF(AND(Y685="",Z685="",AA685="",AB685="",AC685=""),"",IF(OR(LEFT(AA685,2)="L0",LEFT(AA685,2)="L1",Y685="No Iniciado"),"CRÍTICO - Incumplimiento Normativo SEPS",IF(AND(Y685="Implementado",Z685&lt;&gt;"",OR(LEFT(AA685,2)="L4",LEFT(AA685,2)="L5"),AB685&lt;&gt;"",AC685&lt;&gt;"",AC685&lt;&gt;"N/A"),"CONFORME - Control Efectivo ISO 27001","OBSERVACIÓN - Revisar Controles")))</f>
        <v/>
      </c>
    </row>
    <row r="686">
      <c r="A686" s="99"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c r="AD686">
        <f>IF(AND(Y686="",Z686="",AA686="",AB686="",AC686=""),"",IF(OR(LEFT(AA686,2)="L0",LEFT(AA686,2)="L1",Y686="No Iniciado"),"CRÍTICO - Incumplimiento Normativo SEPS",IF(AND(Y686="Implementado",Z686&lt;&gt;"",OR(LEFT(AA686,2)="L4",LEFT(AA686,2)="L5"),AB686&lt;&gt;"",AC686&lt;&gt;"",AC686&lt;&gt;"N/A"),"CONFORME - Control Efectivo ISO 27001","OBSERVACIÓN - Revisar Controles")))</f>
        <v/>
      </c>
    </row>
    <row r="687">
      <c r="A687" s="99"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c r="AD687">
        <f>IF(AND(Y687="",Z687="",AA687="",AB687="",AC687=""),"",IF(OR(LEFT(AA687,2)="L0",LEFT(AA687,2)="L1",Y687="No Iniciado"),"CRÍTICO - Incumplimiento Normativo SEPS",IF(AND(Y687="Implementado",Z687&lt;&gt;"",OR(LEFT(AA687,2)="L4",LEFT(AA687,2)="L5"),AB687&lt;&gt;"",AC687&lt;&gt;"",AC687&lt;&gt;"N/A"),"CONFORME - Control Efectivo ISO 27001","OBSERVACIÓN - Revisar Controles")))</f>
        <v/>
      </c>
    </row>
    <row r="688">
      <c r="A688" s="99"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c r="AD688">
        <f>IF(AND(Y688="",Z688="",AA688="",AB688="",AC688=""),"",IF(OR(LEFT(AA688,2)="L0",LEFT(AA688,2)="L1",Y688="No Iniciado"),"CRÍTICO - Incumplimiento Normativo SEPS",IF(AND(Y688="Implementado",Z688&lt;&gt;"",OR(LEFT(AA688,2)="L4",LEFT(AA688,2)="L5"),AB688&lt;&gt;"",AC688&lt;&gt;"",AC688&lt;&gt;"N/A"),"CONFORME - Control Efectivo ISO 27001","OBSERVACIÓN - Revisar Controles")))</f>
        <v/>
      </c>
    </row>
    <row r="689">
      <c r="A689" s="99"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c r="AD689">
        <f>IF(AND(Y689="",Z689="",AA689="",AB689="",AC689=""),"",IF(OR(LEFT(AA689,2)="L0",LEFT(AA689,2)="L1",Y689="No Iniciado"),"CRÍTICO - Incumplimiento Normativo SEPS",IF(AND(Y689="Implementado",Z689&lt;&gt;"",OR(LEFT(AA689,2)="L4",LEFT(AA689,2)="L5"),AB689&lt;&gt;"",AC689&lt;&gt;"",AC689&lt;&gt;"N/A"),"CONFORME - Control Efectivo ISO 27001","OBSERVACIÓN - Revisar Controles")))</f>
        <v/>
      </c>
    </row>
    <row r="690">
      <c r="A690" s="99"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c r="AD690">
        <f>IF(AND(Y690="",Z690="",AA690="",AB690="",AC690=""),"",IF(OR(LEFT(AA690,2)="L0",LEFT(AA690,2)="L1",Y690="No Iniciado"),"CRÍTICO - Incumplimiento Normativo SEPS",IF(AND(Y690="Implementado",Z690&lt;&gt;"",OR(LEFT(AA690,2)="L4",LEFT(AA690,2)="L5"),AB690&lt;&gt;"",AC690&lt;&gt;"",AC690&lt;&gt;"N/A"),"CONFORME - Control Efectivo ISO 27001","OBSERVACIÓN - Revisar Controles")))</f>
        <v/>
      </c>
    </row>
    <row r="691">
      <c r="A691" s="99"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c r="AD691">
        <f>IF(AND(Y691="",Z691="",AA691="",AB691="",AC691=""),"",IF(OR(LEFT(AA691,2)="L0",LEFT(AA691,2)="L1",Y691="No Iniciado"),"CRÍTICO - Incumplimiento Normativo SEPS",IF(AND(Y691="Implementado",Z691&lt;&gt;"",OR(LEFT(AA691,2)="L4",LEFT(AA691,2)="L5"),AB691&lt;&gt;"",AC691&lt;&gt;"",AC691&lt;&gt;"N/A"),"CONFORME - Control Efectivo ISO 27001","OBSERVACIÓN - Revisar Controles")))</f>
        <v/>
      </c>
    </row>
    <row r="692">
      <c r="A692" s="99"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c r="AD692">
        <f>IF(AND(Y692="",Z692="",AA692="",AB692="",AC692=""),"",IF(OR(LEFT(AA692,2)="L0",LEFT(AA692,2)="L1",Y692="No Iniciado"),"CRÍTICO - Incumplimiento Normativo SEPS",IF(AND(Y692="Implementado",Z692&lt;&gt;"",OR(LEFT(AA692,2)="L4",LEFT(AA692,2)="L5"),AB692&lt;&gt;"",AC692&lt;&gt;"",AC692&lt;&gt;"N/A"),"CONFORME - Control Efectivo ISO 27001","OBSERVACIÓN - Revisar Controles")))</f>
        <v/>
      </c>
    </row>
    <row r="693">
      <c r="A693" s="99"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c r="AD693">
        <f>IF(AND(Y693="",Z693="",AA693="",AB693="",AC693=""),"",IF(OR(LEFT(AA693,2)="L0",LEFT(AA693,2)="L1",Y693="No Iniciado"),"CRÍTICO - Incumplimiento Normativo SEPS",IF(AND(Y693="Implementado",Z693&lt;&gt;"",OR(LEFT(AA693,2)="L4",LEFT(AA693,2)="L5"),AB693&lt;&gt;"",AC693&lt;&gt;"",AC693&lt;&gt;"N/A"),"CONFORME - Control Efectivo ISO 27001","OBSERVACIÓN - Revisar Controles")))</f>
        <v/>
      </c>
    </row>
    <row r="694">
      <c r="A694" s="99"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c r="AD694">
        <f>IF(AND(Y694="",Z694="",AA694="",AB694="",AC694=""),"",IF(OR(LEFT(AA694,2)="L0",LEFT(AA694,2)="L1",Y694="No Iniciado"),"CRÍTICO - Incumplimiento Normativo SEPS",IF(AND(Y694="Implementado",Z694&lt;&gt;"",OR(LEFT(AA694,2)="L4",LEFT(AA694,2)="L5"),AB694&lt;&gt;"",AC694&lt;&gt;"",AC694&lt;&gt;"N/A"),"CONFORME - Control Efectivo ISO 27001","OBSERVACIÓN - Revisar Controles")))</f>
        <v/>
      </c>
    </row>
    <row r="695">
      <c r="A695" s="99"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c r="AD695">
        <f>IF(AND(Y695="",Z695="",AA695="",AB695="",AC695=""),"",IF(OR(LEFT(AA695,2)="L0",LEFT(AA695,2)="L1",Y695="No Iniciado"),"CRÍTICO - Incumplimiento Normativo SEPS",IF(AND(Y695="Implementado",Z695&lt;&gt;"",OR(LEFT(AA695,2)="L4",LEFT(AA695,2)="L5"),AB695&lt;&gt;"",AC695&lt;&gt;"",AC695&lt;&gt;"N/A"),"CONFORME - Control Efectivo ISO 27001","OBSERVACIÓN - Revisar Controles")))</f>
        <v/>
      </c>
    </row>
    <row r="696">
      <c r="A696" s="99"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c r="AD696">
        <f>IF(AND(Y696="",Z696="",AA696="",AB696="",AC696=""),"",IF(OR(LEFT(AA696,2)="L0",LEFT(AA696,2)="L1",Y696="No Iniciado"),"CRÍTICO - Incumplimiento Normativo SEPS",IF(AND(Y696="Implementado",Z696&lt;&gt;"",OR(LEFT(AA696,2)="L4",LEFT(AA696,2)="L5"),AB696&lt;&gt;"",AC696&lt;&gt;"",AC696&lt;&gt;"N/A"),"CONFORME - Control Efectivo ISO 27001","OBSERVACIÓN - Revisar Controles")))</f>
        <v/>
      </c>
    </row>
    <row r="697">
      <c r="A697" s="99"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c r="AD697">
        <f>IF(AND(Y697="",Z697="",AA697="",AB697="",AC697=""),"",IF(OR(LEFT(AA697,2)="L0",LEFT(AA697,2)="L1",Y697="No Iniciado"),"CRÍTICO - Incumplimiento Normativo SEPS",IF(AND(Y697="Implementado",Z697&lt;&gt;"",OR(LEFT(AA697,2)="L4",LEFT(AA697,2)="L5"),AB697&lt;&gt;"",AC697&lt;&gt;"",AC697&lt;&gt;"N/A"),"CONFORME - Control Efectivo ISO 27001","OBSERVACIÓN - Revisar Controles")))</f>
        <v/>
      </c>
    </row>
    <row r="698">
      <c r="A698" s="99"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c r="AD698">
        <f>IF(AND(Y698="",Z698="",AA698="",AB698="",AC698=""),"",IF(OR(LEFT(AA698,2)="L0",LEFT(AA698,2)="L1",Y698="No Iniciado"),"CRÍTICO - Incumplimiento Normativo SEPS",IF(AND(Y698="Implementado",Z698&lt;&gt;"",OR(LEFT(AA698,2)="L4",LEFT(AA698,2)="L5"),AB698&lt;&gt;"",AC698&lt;&gt;"",AC698&lt;&gt;"N/A"),"CONFORME - Control Efectivo ISO 27001","OBSERVACIÓN - Revisar Controles")))</f>
        <v/>
      </c>
    </row>
    <row r="699">
      <c r="A699" s="99"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c r="AD699">
        <f>IF(AND(Y699="",Z699="",AA699="",AB699="",AC699=""),"",IF(OR(LEFT(AA699,2)="L0",LEFT(AA699,2)="L1",Y699="No Iniciado"),"CRÍTICO - Incumplimiento Normativo SEPS",IF(AND(Y699="Implementado",Z699&lt;&gt;"",OR(LEFT(AA699,2)="L4",LEFT(AA699,2)="L5"),AB699&lt;&gt;"",AC699&lt;&gt;"",AC699&lt;&gt;"N/A"),"CONFORME - Control Efectivo ISO 27001","OBSERVACIÓN - Revisar Controles")))</f>
        <v/>
      </c>
    </row>
    <row r="700">
      <c r="A700" s="99"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c r="AD700">
        <f>IF(AND(Y700="",Z700="",AA700="",AB700="",AC700=""),"",IF(OR(LEFT(AA700,2)="L0",LEFT(AA700,2)="L1",Y700="No Iniciado"),"CRÍTICO - Incumplimiento Normativo SEPS",IF(AND(Y700="Implementado",Z700&lt;&gt;"",OR(LEFT(AA700,2)="L4",LEFT(AA700,2)="L5"),AB700&lt;&gt;"",AC700&lt;&gt;"",AC700&lt;&gt;"N/A"),"CONFORME - Control Efectivo ISO 27001","OBSERVACIÓN - Revisar Controles")))</f>
        <v/>
      </c>
    </row>
    <row r="701">
      <c r="A701" s="99"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c r="AD701">
        <f>IF(AND(Y701="",Z701="",AA701="",AB701="",AC701=""),"",IF(OR(LEFT(AA701,2)="L0",LEFT(AA701,2)="L1",Y701="No Iniciado"),"CRÍTICO - Incumplimiento Normativo SEPS",IF(AND(Y701="Implementado",Z701&lt;&gt;"",OR(LEFT(AA701,2)="L4",LEFT(AA701,2)="L5"),AB701&lt;&gt;"",AC701&lt;&gt;"",AC701&lt;&gt;"N/A"),"CONFORME - Control Efectivo ISO 27001","OBSERVACIÓN - Revisar Controles")))</f>
        <v/>
      </c>
    </row>
    <row r="702">
      <c r="A702" s="99"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c r="AD702">
        <f>IF(AND(Y702="",Z702="",AA702="",AB702="",AC702=""),"",IF(OR(LEFT(AA702,2)="L0",LEFT(AA702,2)="L1",Y702="No Iniciado"),"CRÍTICO - Incumplimiento Normativo SEPS",IF(AND(Y702="Implementado",Z702&lt;&gt;"",OR(LEFT(AA702,2)="L4",LEFT(AA702,2)="L5"),AB702&lt;&gt;"",AC702&lt;&gt;"",AC702&lt;&gt;"N/A"),"CONFORME - Control Efectivo ISO 27001","OBSERVACIÓN - Revisar Controles")))</f>
        <v/>
      </c>
    </row>
    <row r="703">
      <c r="A703" s="99"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c r="AD703">
        <f>IF(AND(Y703="",Z703="",AA703="",AB703="",AC703=""),"",IF(OR(LEFT(AA703,2)="L0",LEFT(AA703,2)="L1",Y703="No Iniciado"),"CRÍTICO - Incumplimiento Normativo SEPS",IF(AND(Y703="Implementado",Z703&lt;&gt;"",OR(LEFT(AA703,2)="L4",LEFT(AA703,2)="L5"),AB703&lt;&gt;"",AC703&lt;&gt;"",AC703&lt;&gt;"N/A"),"CONFORME - Control Efectivo ISO 27001","OBSERVACIÓN - Revisar Controles")))</f>
        <v/>
      </c>
    </row>
    <row r="704">
      <c r="A704" s="99"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c r="AD704">
        <f>IF(AND(Y704="",Z704="",AA704="",AB704="",AC704=""),"",IF(OR(LEFT(AA704,2)="L0",LEFT(AA704,2)="L1",Y704="No Iniciado"),"CRÍTICO - Incumplimiento Normativo SEPS",IF(AND(Y704="Implementado",Z704&lt;&gt;"",OR(LEFT(AA704,2)="L4",LEFT(AA704,2)="L5"),AB704&lt;&gt;"",AC704&lt;&gt;"",AC704&lt;&gt;"N/A"),"CONFORME - Control Efectivo ISO 27001","OBSERVACIÓN - Revisar Controles")))</f>
        <v/>
      </c>
    </row>
    <row r="705">
      <c r="A705" s="99"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c r="AD705">
        <f>IF(AND(Y705="",Z705="",AA705="",AB705="",AC705=""),"",IF(OR(LEFT(AA705,2)="L0",LEFT(AA705,2)="L1",Y705="No Iniciado"),"CRÍTICO - Incumplimiento Normativo SEPS",IF(AND(Y705="Implementado",Z705&lt;&gt;"",OR(LEFT(AA705,2)="L4",LEFT(AA705,2)="L5"),AB705&lt;&gt;"",AC705&lt;&gt;"",AC705&lt;&gt;"N/A"),"CONFORME - Control Efectivo ISO 27001","OBSERVACIÓN - Revisar Controles")))</f>
        <v/>
      </c>
    </row>
    <row r="706">
      <c r="A706" s="99"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c r="AD706">
        <f>IF(AND(Y706="",Z706="",AA706="",AB706="",AC706=""),"",IF(OR(LEFT(AA706,2)="L0",LEFT(AA706,2)="L1",Y706="No Iniciado"),"CRÍTICO - Incumplimiento Normativo SEPS",IF(AND(Y706="Implementado",Z706&lt;&gt;"",OR(LEFT(AA706,2)="L4",LEFT(AA706,2)="L5"),AB706&lt;&gt;"",AC706&lt;&gt;"",AC706&lt;&gt;"N/A"),"CONFORME - Control Efectivo ISO 27001","OBSERVACIÓN - Revisar Controles")))</f>
        <v/>
      </c>
    </row>
    <row r="707">
      <c r="A707" s="99"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c r="AD707">
        <f>IF(AND(Y707="",Z707="",AA707="",AB707="",AC707=""),"",IF(OR(LEFT(AA707,2)="L0",LEFT(AA707,2)="L1",Y707="No Iniciado"),"CRÍTICO - Incumplimiento Normativo SEPS",IF(AND(Y707="Implementado",Z707&lt;&gt;"",OR(LEFT(AA707,2)="L4",LEFT(AA707,2)="L5"),AB707&lt;&gt;"",AC707&lt;&gt;"",AC707&lt;&gt;"N/A"),"CONFORME - Control Efectivo ISO 27001","OBSERVACIÓN - Revisar Controles")))</f>
        <v/>
      </c>
    </row>
    <row r="708">
      <c r="A708" s="99"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c r="AD708">
        <f>IF(AND(Y708="",Z708="",AA708="",AB708="",AC708=""),"",IF(OR(LEFT(AA708,2)="L0",LEFT(AA708,2)="L1",Y708="No Iniciado"),"CRÍTICO - Incumplimiento Normativo SEPS",IF(AND(Y708="Implementado",Z708&lt;&gt;"",OR(LEFT(AA708,2)="L4",LEFT(AA708,2)="L5"),AB708&lt;&gt;"",AC708&lt;&gt;"",AC708&lt;&gt;"N/A"),"CONFORME - Control Efectivo ISO 27001","OBSERVACIÓN - Revisar Controles")))</f>
        <v/>
      </c>
    </row>
    <row r="709">
      <c r="A709" s="99"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c r="AD709">
        <f>IF(AND(Y709="",Z709="",AA709="",AB709="",AC709=""),"",IF(OR(LEFT(AA709,2)="L0",LEFT(AA709,2)="L1",Y709="No Iniciado"),"CRÍTICO - Incumplimiento Normativo SEPS",IF(AND(Y709="Implementado",Z709&lt;&gt;"",OR(LEFT(AA709,2)="L4",LEFT(AA709,2)="L5"),AB709&lt;&gt;"",AC709&lt;&gt;"",AC709&lt;&gt;"N/A"),"CONFORME - Control Efectivo ISO 27001","OBSERVACIÓN - Revisar Controles")))</f>
        <v/>
      </c>
    </row>
    <row r="710">
      <c r="A710" s="99"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c r="AD710">
        <f>IF(AND(Y710="",Z710="",AA710="",AB710="",AC710=""),"",IF(OR(LEFT(AA710,2)="L0",LEFT(AA710,2)="L1",Y710="No Iniciado"),"CRÍTICO - Incumplimiento Normativo SEPS",IF(AND(Y710="Implementado",Z710&lt;&gt;"",OR(LEFT(AA710,2)="L4",LEFT(AA710,2)="L5"),AB710&lt;&gt;"",AC710&lt;&gt;"",AC710&lt;&gt;"N/A"),"CONFORME - Control Efectivo ISO 27001","OBSERVACIÓN - Revisar Controles")))</f>
        <v/>
      </c>
    </row>
    <row r="711">
      <c r="A711" s="99"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c r="AD711">
        <f>IF(AND(Y711="",Z711="",AA711="",AB711="",AC711=""),"",IF(OR(LEFT(AA711,2)="L0",LEFT(AA711,2)="L1",Y711="No Iniciado"),"CRÍTICO - Incumplimiento Normativo SEPS",IF(AND(Y711="Implementado",Z711&lt;&gt;"",OR(LEFT(AA711,2)="L4",LEFT(AA711,2)="L5"),AB711&lt;&gt;"",AC711&lt;&gt;"",AC711&lt;&gt;"N/A"),"CONFORME - Control Efectivo ISO 27001","OBSERVACIÓN - Revisar Controles")))</f>
        <v/>
      </c>
    </row>
    <row r="712">
      <c r="A712" s="99"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c r="AD712">
        <f>IF(AND(Y712="",Z712="",AA712="",AB712="",AC712=""),"",IF(OR(LEFT(AA712,2)="L0",LEFT(AA712,2)="L1",Y712="No Iniciado"),"CRÍTICO - Incumplimiento Normativo SEPS",IF(AND(Y712="Implementado",Z712&lt;&gt;"",OR(LEFT(AA712,2)="L4",LEFT(AA712,2)="L5"),AB712&lt;&gt;"",AC712&lt;&gt;"",AC712&lt;&gt;"N/A"),"CONFORME - Control Efectivo ISO 27001","OBSERVACIÓN - Revisar Controles")))</f>
        <v/>
      </c>
    </row>
    <row r="713">
      <c r="A713" s="99"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c r="AD713">
        <f>IF(AND(Y713="",Z713="",AA713="",AB713="",AC713=""),"",IF(OR(LEFT(AA713,2)="L0",LEFT(AA713,2)="L1",Y713="No Iniciado"),"CRÍTICO - Incumplimiento Normativo SEPS",IF(AND(Y713="Implementado",Z713&lt;&gt;"",OR(LEFT(AA713,2)="L4",LEFT(AA713,2)="L5"),AB713&lt;&gt;"",AC713&lt;&gt;"",AC713&lt;&gt;"N/A"),"CONFORME - Control Efectivo ISO 27001","OBSERVACIÓN - Revisar Controles")))</f>
        <v/>
      </c>
    </row>
    <row r="714">
      <c r="A714" s="99"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c r="AD714">
        <f>IF(AND(Y714="",Z714="",AA714="",AB714="",AC714=""),"",IF(OR(LEFT(AA714,2)="L0",LEFT(AA714,2)="L1",Y714="No Iniciado"),"CRÍTICO - Incumplimiento Normativo SEPS",IF(AND(Y714="Implementado",Z714&lt;&gt;"",OR(LEFT(AA714,2)="L4",LEFT(AA714,2)="L5"),AB714&lt;&gt;"",AC714&lt;&gt;"",AC714&lt;&gt;"N/A"),"CONFORME - Control Efectivo ISO 27001","OBSERVACIÓN - Revisar Controles")))</f>
        <v/>
      </c>
    </row>
    <row r="715">
      <c r="A715" s="99"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c r="AD715">
        <f>IF(AND(Y715="",Z715="",AA715="",AB715="",AC715=""),"",IF(OR(LEFT(AA715,2)="L0",LEFT(AA715,2)="L1",Y715="No Iniciado"),"CRÍTICO - Incumplimiento Normativo SEPS",IF(AND(Y715="Implementado",Z715&lt;&gt;"",OR(LEFT(AA715,2)="L4",LEFT(AA715,2)="L5"),AB715&lt;&gt;"",AC715&lt;&gt;"",AC715&lt;&gt;"N/A"),"CONFORME - Control Efectivo ISO 27001","OBSERVACIÓN - Revisar Controles")))</f>
        <v/>
      </c>
    </row>
    <row r="716">
      <c r="A716" s="99"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c r="AD716">
        <f>IF(AND(Y716="",Z716="",AA716="",AB716="",AC716=""),"",IF(OR(LEFT(AA716,2)="L0",LEFT(AA716,2)="L1",Y716="No Iniciado"),"CRÍTICO - Incumplimiento Normativo SEPS",IF(AND(Y716="Implementado",Z716&lt;&gt;"",OR(LEFT(AA716,2)="L4",LEFT(AA716,2)="L5"),AB716&lt;&gt;"",AC716&lt;&gt;"",AC716&lt;&gt;"N/A"),"CONFORME - Control Efectivo ISO 27001","OBSERVACIÓN - Revisar Controles")))</f>
        <v/>
      </c>
    </row>
    <row r="717">
      <c r="A717" s="99"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c r="AD717">
        <f>IF(AND(Y717="",Z717="",AA717="",AB717="",AC717=""),"",IF(OR(LEFT(AA717,2)="L0",LEFT(AA717,2)="L1",Y717="No Iniciado"),"CRÍTICO - Incumplimiento Normativo SEPS",IF(AND(Y717="Implementado",Z717&lt;&gt;"",OR(LEFT(AA717,2)="L4",LEFT(AA717,2)="L5"),AB717&lt;&gt;"",AC717&lt;&gt;"",AC717&lt;&gt;"N/A"),"CONFORME - Control Efectivo ISO 27001","OBSERVACIÓN - Revisar Controles")))</f>
        <v/>
      </c>
    </row>
    <row r="718">
      <c r="A718" s="99"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c r="AD718">
        <f>IF(AND(Y718="",Z718="",AA718="",AB718="",AC718=""),"",IF(OR(LEFT(AA718,2)="L0",LEFT(AA718,2)="L1",Y718="No Iniciado"),"CRÍTICO - Incumplimiento Normativo SEPS",IF(AND(Y718="Implementado",Z718&lt;&gt;"",OR(LEFT(AA718,2)="L4",LEFT(AA718,2)="L5"),AB718&lt;&gt;"",AC718&lt;&gt;"",AC718&lt;&gt;"N/A"),"CONFORME - Control Efectivo ISO 27001","OBSERVACIÓN - Revisar Controles")))</f>
        <v/>
      </c>
    </row>
    <row r="719" ht="12" customHeight="1" s="106">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c r="AD719">
        <f>IF(AND(Y719="",Z719="",AA719="",AB719="",AC719=""),"",IF(OR(LEFT(AA719,2)="L0",LEFT(AA719,2)="L1",Y719="No Iniciado"),"CRÍTICO - Incumplimiento Normativo SEPS",IF(AND(Y719="Implementado",Z719&lt;&gt;"",OR(LEFT(AA719,2)="L4",LEFT(AA719,2)="L5"),AB719&lt;&gt;"",AC719&lt;&gt;"",AC719&lt;&gt;"N/A"),"CONFORME - Control Efectivo ISO 27001","OBSERVACIÓN - Revisar Controles")))</f>
        <v/>
      </c>
    </row>
    <row r="720">
      <c r="A720" s="99"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c r="AD720">
        <f>IF(AND(Y720="",Z720="",AA720="",AB720="",AC720=""),"",IF(OR(LEFT(AA720,2)="L0",LEFT(AA720,2)="L1",Y720="No Iniciado"),"CRÍTICO - Incumplimiento Normativo SEPS",IF(AND(Y720="Implementado",Z720&lt;&gt;"",OR(LEFT(AA720,2)="L4",LEFT(AA720,2)="L5"),AB720&lt;&gt;"",AC720&lt;&gt;"",AC720&lt;&gt;"N/A"),"CONFORME - Control Efectivo ISO 27001","OBSERVACIÓN - Revisar Controles")))</f>
        <v/>
      </c>
    </row>
    <row r="721">
      <c r="A721" s="99"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c r="AD721">
        <f>IF(AND(Y721="",Z721="",AA721="",AB721="",AC721=""),"",IF(OR(LEFT(AA721,2)="L0",LEFT(AA721,2)="L1",Y721="No Iniciado"),"CRÍTICO - Incumplimiento Normativo SEPS",IF(AND(Y721="Implementado",Z721&lt;&gt;"",OR(LEFT(AA721,2)="L4",LEFT(AA721,2)="L5"),AB721&lt;&gt;"",AC721&lt;&gt;"",AC721&lt;&gt;"N/A"),"CONFORME - Control Efectivo ISO 27001","OBSERVACIÓN - Revisar Controles")))</f>
        <v/>
      </c>
    </row>
    <row r="722">
      <c r="A722" s="99"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c r="AD722">
        <f>IF(AND(Y722="",Z722="",AA722="",AB722="",AC722=""),"",IF(OR(LEFT(AA722,2)="L0",LEFT(AA722,2)="L1",Y722="No Iniciado"),"CRÍTICO - Incumplimiento Normativo SEPS",IF(AND(Y722="Implementado",Z722&lt;&gt;"",OR(LEFT(AA722,2)="L4",LEFT(AA722,2)="L5"),AB722&lt;&gt;"",AC722&lt;&gt;"",AC722&lt;&gt;"N/A"),"CONFORME - Control Efectivo ISO 27001","OBSERVACIÓN - Revisar Controles")))</f>
        <v/>
      </c>
    </row>
    <row r="723">
      <c r="A723" s="99"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c r="AD723">
        <f>IF(AND(Y723="",Z723="",AA723="",AB723="",AC723=""),"",IF(OR(LEFT(AA723,2)="L0",LEFT(AA723,2)="L1",Y723="No Iniciado"),"CRÍTICO - Incumplimiento Normativo SEPS",IF(AND(Y723="Implementado",Z723&lt;&gt;"",OR(LEFT(AA723,2)="L4",LEFT(AA723,2)="L5"),AB723&lt;&gt;"",AC723&lt;&gt;"",AC723&lt;&gt;"N/A"),"CONFORME - Control Efectivo ISO 27001","OBSERVACIÓN - Revisar Controles")))</f>
        <v/>
      </c>
    </row>
    <row r="724" ht="20.45" customHeight="1" s="106">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c r="AD724">
        <f>IF(AND(Y724="",Z724="",AA724="",AB724="",AC724=""),"",IF(OR(LEFT(AA724,2)="L0",LEFT(AA724,2)="L1",Y724="No Iniciado"),"CRÍTICO - Incumplimiento Normativo SEPS",IF(AND(Y724="Implementado",Z724&lt;&gt;"",OR(LEFT(AA724,2)="L4",LEFT(AA724,2)="L5"),AB724&lt;&gt;"",AC724&lt;&gt;"",AC724&lt;&gt;"N/A"),"CONFORME - Control Efectivo ISO 27001","OBSERVACIÓN - Revisar Controles")))</f>
        <v/>
      </c>
    </row>
    <row r="725">
      <c r="A725" s="99"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c r="AD725">
        <f>IF(AND(Y725="",Z725="",AA725="",AB725="",AC725=""),"",IF(OR(LEFT(AA725,2)="L0",LEFT(AA725,2)="L1",Y725="No Iniciado"),"CRÍTICO - Incumplimiento Normativo SEPS",IF(AND(Y725="Implementado",Z725&lt;&gt;"",OR(LEFT(AA725,2)="L4",LEFT(AA725,2)="L5"),AB725&lt;&gt;"",AC725&lt;&gt;"",AC725&lt;&gt;"N/A"),"CONFORME - Control Efectivo ISO 27001","OBSERVACIÓN - Revisar Controles")))</f>
        <v/>
      </c>
    </row>
    <row r="726">
      <c r="A726" s="99"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c r="AD726">
        <f>IF(AND(Y726="",Z726="",AA726="",AB726="",AC726=""),"",IF(OR(LEFT(AA726,2)="L0",LEFT(AA726,2)="L1",Y726="No Iniciado"),"CRÍTICO - Incumplimiento Normativo SEPS",IF(AND(Y726="Implementado",Z726&lt;&gt;"",OR(LEFT(AA726,2)="L4",LEFT(AA726,2)="L5"),AB726&lt;&gt;"",AC726&lt;&gt;"",AC726&lt;&gt;"N/A"),"CONFORME - Control Efectivo ISO 27001","OBSERVACIÓN - Revisar Controles")))</f>
        <v/>
      </c>
    </row>
    <row r="727">
      <c r="A727" s="99"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c r="AD727">
        <f>IF(AND(Y727="",Z727="",AA727="",AB727="",AC727=""),"",IF(OR(LEFT(AA727,2)="L0",LEFT(AA727,2)="L1",Y727="No Iniciado"),"CRÍTICO - Incumplimiento Normativo SEPS",IF(AND(Y727="Implementado",Z727&lt;&gt;"",OR(LEFT(AA727,2)="L4",LEFT(AA727,2)="L5"),AB727&lt;&gt;"",AC727&lt;&gt;"",AC727&lt;&gt;"N/A"),"CONFORME - Control Efectivo ISO 27001","OBSERVACIÓN - Revisar Controles")))</f>
        <v/>
      </c>
    </row>
    <row r="728">
      <c r="A728" s="99"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c r="AD728">
        <f>IF(AND(Y728="",Z728="",AA728="",AB728="",AC728=""),"",IF(OR(LEFT(AA728,2)="L0",LEFT(AA728,2)="L1",Y728="No Iniciado"),"CRÍTICO - Incumplimiento Normativo SEPS",IF(AND(Y728="Implementado",Z728&lt;&gt;"",OR(LEFT(AA728,2)="L4",LEFT(AA728,2)="L5"),AB728&lt;&gt;"",AC728&lt;&gt;"",AC728&lt;&gt;"N/A"),"CONFORME - Control Efectivo ISO 27001","OBSERVACIÓN - Revisar Controles")))</f>
        <v/>
      </c>
    </row>
    <row r="729">
      <c r="A729" s="99"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c r="AD729">
        <f>IF(AND(Y729="",Z729="",AA729="",AB729="",AC729=""),"",IF(OR(LEFT(AA729,2)="L0",LEFT(AA729,2)="L1",Y729="No Iniciado"),"CRÍTICO - Incumplimiento Normativo SEPS",IF(AND(Y729="Implementado",Z729&lt;&gt;"",OR(LEFT(AA729,2)="L4",LEFT(AA729,2)="L5"),AB729&lt;&gt;"",AC729&lt;&gt;"",AC729&lt;&gt;"N/A"),"CONFORME - Control Efectivo ISO 27001","OBSERVACIÓN - Revisar Controles")))</f>
        <v/>
      </c>
    </row>
    <row r="730">
      <c r="A730" s="99"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c r="AD730">
        <f>IF(AND(Y730="",Z730="",AA730="",AB730="",AC730=""),"",IF(OR(LEFT(AA730,2)="L0",LEFT(AA730,2)="L1",Y730="No Iniciado"),"CRÍTICO - Incumplimiento Normativo SEPS",IF(AND(Y730="Implementado",Z730&lt;&gt;"",OR(LEFT(AA730,2)="L4",LEFT(AA730,2)="L5"),AB730&lt;&gt;"",AC730&lt;&gt;"",AC730&lt;&gt;"N/A"),"CONFORME - Control Efectivo ISO 27001","OBSERVACIÓN - Revisar Controles")))</f>
        <v/>
      </c>
    </row>
    <row r="731">
      <c r="A731" s="99"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c r="AD731">
        <f>IF(AND(Y731="",Z731="",AA731="",AB731="",AC731=""),"",IF(OR(LEFT(AA731,2)="L0",LEFT(AA731,2)="L1",Y731="No Iniciado"),"CRÍTICO - Incumplimiento Normativo SEPS",IF(AND(Y731="Implementado",Z731&lt;&gt;"",OR(LEFT(AA731,2)="L4",LEFT(AA731,2)="L5"),AB731&lt;&gt;"",AC731&lt;&gt;"",AC731&lt;&gt;"N/A"),"CONFORME - Control Efectivo ISO 27001","OBSERVACIÓN - Revisar Controles")))</f>
        <v/>
      </c>
    </row>
    <row r="732">
      <c r="A732" s="99"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c r="AD732">
        <f>IF(AND(Y732="",Z732="",AA732="",AB732="",AC732=""),"",IF(OR(LEFT(AA732,2)="L0",LEFT(AA732,2)="L1",Y732="No Iniciado"),"CRÍTICO - Incumplimiento Normativo SEPS",IF(AND(Y732="Implementado",Z732&lt;&gt;"",OR(LEFT(AA732,2)="L4",LEFT(AA732,2)="L5"),AB732&lt;&gt;"",AC732&lt;&gt;"",AC732&lt;&gt;"N/A"),"CONFORME - Control Efectivo ISO 27001","OBSERVACIÓN - Revisar Controles")))</f>
        <v/>
      </c>
    </row>
    <row r="733">
      <c r="A733" s="99"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c r="AD733">
        <f>IF(AND(Y733="",Z733="",AA733="",AB733="",AC733=""),"",IF(OR(LEFT(AA733,2)="L0",LEFT(AA733,2)="L1",Y733="No Iniciado"),"CRÍTICO - Incumplimiento Normativo SEPS",IF(AND(Y733="Implementado",Z733&lt;&gt;"",OR(LEFT(AA733,2)="L4",LEFT(AA733,2)="L5"),AB733&lt;&gt;"",AC733&lt;&gt;"",AC733&lt;&gt;"N/A"),"CONFORME - Control Efectivo ISO 27001","OBSERVACIÓN - Revisar Controles")))</f>
        <v/>
      </c>
    </row>
    <row r="734">
      <c r="A734" s="99"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c r="AD734">
        <f>IF(AND(Y734="",Z734="",AA734="",AB734="",AC734=""),"",IF(OR(LEFT(AA734,2)="L0",LEFT(AA734,2)="L1",Y734="No Iniciado"),"CRÍTICO - Incumplimiento Normativo SEPS",IF(AND(Y734="Implementado",Z734&lt;&gt;"",OR(LEFT(AA734,2)="L4",LEFT(AA734,2)="L5"),AB734&lt;&gt;"",AC734&lt;&gt;"",AC734&lt;&gt;"N/A"),"CONFORME - Control Efectivo ISO 27001","OBSERVACIÓN - Revisar Controles")))</f>
        <v/>
      </c>
    </row>
    <row r="735">
      <c r="A735" s="99"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c r="AD735">
        <f>IF(AND(Y735="",Z735="",AA735="",AB735="",AC735=""),"",IF(OR(LEFT(AA735,2)="L0",LEFT(AA735,2)="L1",Y735="No Iniciado"),"CRÍTICO - Incumplimiento Normativo SEPS",IF(AND(Y735="Implementado",Z735&lt;&gt;"",OR(LEFT(AA735,2)="L4",LEFT(AA735,2)="L5"),AB735&lt;&gt;"",AC735&lt;&gt;"",AC735&lt;&gt;"N/A"),"CONFORME - Control Efectivo ISO 27001","OBSERVACIÓN - Revisar Controles")))</f>
        <v/>
      </c>
    </row>
    <row r="736">
      <c r="A736" s="99"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c r="AD736">
        <f>IF(AND(Y736="",Z736="",AA736="",AB736="",AC736=""),"",IF(OR(LEFT(AA736,2)="L0",LEFT(AA736,2)="L1",Y736="No Iniciado"),"CRÍTICO - Incumplimiento Normativo SEPS",IF(AND(Y736="Implementado",Z736&lt;&gt;"",OR(LEFT(AA736,2)="L4",LEFT(AA736,2)="L5"),AB736&lt;&gt;"",AC736&lt;&gt;"",AC736&lt;&gt;"N/A"),"CONFORME - Control Efectivo ISO 27001","OBSERVACIÓN - Revisar Controles")))</f>
        <v/>
      </c>
    </row>
    <row r="737">
      <c r="A737" s="99"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c r="AD737">
        <f>IF(AND(Y737="",Z737="",AA737="",AB737="",AC737=""),"",IF(OR(LEFT(AA737,2)="L0",LEFT(AA737,2)="L1",Y737="No Iniciado"),"CRÍTICO - Incumplimiento Normativo SEPS",IF(AND(Y737="Implementado",Z737&lt;&gt;"",OR(LEFT(AA737,2)="L4",LEFT(AA737,2)="L5"),AB737&lt;&gt;"",AC737&lt;&gt;"",AC737&lt;&gt;"N/A"),"CONFORME - Control Efectivo ISO 27001","OBSERVACIÓN - Revisar Controles")))</f>
        <v/>
      </c>
    </row>
    <row r="738">
      <c r="A738" s="99"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c r="AD738">
        <f>IF(AND(Y738="",Z738="",AA738="",AB738="",AC738=""),"",IF(OR(LEFT(AA738,2)="L0",LEFT(AA738,2)="L1",Y738="No Iniciado"),"CRÍTICO - Incumplimiento Normativo SEPS",IF(AND(Y738="Implementado",Z738&lt;&gt;"",OR(LEFT(AA738,2)="L4",LEFT(AA738,2)="L5"),AB738&lt;&gt;"",AC738&lt;&gt;"",AC738&lt;&gt;"N/A"),"CONFORME - Control Efectivo ISO 27001","OBSERVACIÓN - Revisar Controles")))</f>
        <v/>
      </c>
    </row>
    <row r="739">
      <c r="A739" s="99"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c r="AD739">
        <f>IF(AND(Y739="",Z739="",AA739="",AB739="",AC739=""),"",IF(OR(LEFT(AA739,2)="L0",LEFT(AA739,2)="L1",Y739="No Iniciado"),"CRÍTICO - Incumplimiento Normativo SEPS",IF(AND(Y739="Implementado",Z739&lt;&gt;"",OR(LEFT(AA739,2)="L4",LEFT(AA739,2)="L5"),AB739&lt;&gt;"",AC739&lt;&gt;"",AC739&lt;&gt;"N/A"),"CONFORME - Control Efectivo ISO 27001","OBSERVACIÓN - Revisar Controles")))</f>
        <v/>
      </c>
    </row>
    <row r="740">
      <c r="A740" s="99"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c r="AD740">
        <f>IF(AND(Y740="",Z740="",AA740="",AB740="",AC740=""),"",IF(OR(LEFT(AA740,2)="L0",LEFT(AA740,2)="L1",Y740="No Iniciado"),"CRÍTICO - Incumplimiento Normativo SEPS",IF(AND(Y740="Implementado",Z740&lt;&gt;"",OR(LEFT(AA740,2)="L4",LEFT(AA740,2)="L5"),AB740&lt;&gt;"",AC740&lt;&gt;"",AC740&lt;&gt;"N/A"),"CONFORME - Control Efectivo ISO 27001","OBSERVACIÓN - Revisar Controles")))</f>
        <v/>
      </c>
    </row>
    <row r="741">
      <c r="A741" s="99"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c r="AD741">
        <f>IF(AND(Y741="",Z741="",AA741="",AB741="",AC741=""),"",IF(OR(LEFT(AA741,2)="L0",LEFT(AA741,2)="L1",Y741="No Iniciado"),"CRÍTICO - Incumplimiento Normativo SEPS",IF(AND(Y741="Implementado",Z741&lt;&gt;"",OR(LEFT(AA741,2)="L4",LEFT(AA741,2)="L5"),AB741&lt;&gt;"",AC741&lt;&gt;"",AC741&lt;&gt;"N/A"),"CONFORME - Control Efectivo ISO 27001","OBSERVACIÓN - Revisar Controles")))</f>
        <v/>
      </c>
    </row>
    <row r="742">
      <c r="A742" s="99"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c r="AD742">
        <f>IF(AND(Y742="",Z742="",AA742="",AB742="",AC742=""),"",IF(OR(LEFT(AA742,2)="L0",LEFT(AA742,2)="L1",Y742="No Iniciado"),"CRÍTICO - Incumplimiento Normativo SEPS",IF(AND(Y742="Implementado",Z742&lt;&gt;"",OR(LEFT(AA742,2)="L4",LEFT(AA742,2)="L5"),AB742&lt;&gt;"",AC742&lt;&gt;"",AC742&lt;&gt;"N/A"),"CONFORME - Control Efectivo ISO 27001","OBSERVACIÓN - Revisar Controles")))</f>
        <v/>
      </c>
    </row>
    <row r="743">
      <c r="A743" s="99"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c r="AD743">
        <f>IF(AND(Y743="",Z743="",AA743="",AB743="",AC743=""),"",IF(OR(LEFT(AA743,2)="L0",LEFT(AA743,2)="L1",Y743="No Iniciado"),"CRÍTICO - Incumplimiento Normativo SEPS",IF(AND(Y743="Implementado",Z743&lt;&gt;"",OR(LEFT(AA743,2)="L4",LEFT(AA743,2)="L5"),AB743&lt;&gt;"",AC743&lt;&gt;"",AC743&lt;&gt;"N/A"),"CONFORME - Control Efectivo ISO 27001","OBSERVACIÓN - Revisar Controles")))</f>
        <v/>
      </c>
    </row>
    <row r="744">
      <c r="A744" s="99"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c r="AD744">
        <f>IF(AND(Y744="",Z744="",AA744="",AB744="",AC744=""),"",IF(OR(LEFT(AA744,2)="L0",LEFT(AA744,2)="L1",Y744="No Iniciado"),"CRÍTICO - Incumplimiento Normativo SEPS",IF(AND(Y744="Implementado",Z744&lt;&gt;"",OR(LEFT(AA744,2)="L4",LEFT(AA744,2)="L5"),AB744&lt;&gt;"",AC744&lt;&gt;"",AC744&lt;&gt;"N/A"),"CONFORME - Control Efectivo ISO 27001","OBSERVACIÓN - Revisar Controles")))</f>
        <v/>
      </c>
    </row>
    <row r="745">
      <c r="A745" s="99"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c r="AD745">
        <f>IF(AND(Y745="",Z745="",AA745="",AB745="",AC745=""),"",IF(OR(LEFT(AA745,2)="L0",LEFT(AA745,2)="L1",Y745="No Iniciado"),"CRÍTICO - Incumplimiento Normativo SEPS",IF(AND(Y745="Implementado",Z745&lt;&gt;"",OR(LEFT(AA745,2)="L4",LEFT(AA745,2)="L5"),AB745&lt;&gt;"",AC745&lt;&gt;"",AC745&lt;&gt;"N/A"),"CONFORME - Control Efectivo ISO 27001","OBSERVACIÓN - Revisar Controles")))</f>
        <v/>
      </c>
    </row>
    <row r="746">
      <c r="A746" s="99"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c r="AD746">
        <f>IF(AND(Y746="",Z746="",AA746="",AB746="",AC746=""),"",IF(OR(LEFT(AA746,2)="L0",LEFT(AA746,2)="L1",Y746="No Iniciado"),"CRÍTICO - Incumplimiento Normativo SEPS",IF(AND(Y746="Implementado",Z746&lt;&gt;"",OR(LEFT(AA746,2)="L4",LEFT(AA746,2)="L5"),AB746&lt;&gt;"",AC746&lt;&gt;"",AC746&lt;&gt;"N/A"),"CONFORME - Control Efectivo ISO 27001","OBSERVACIÓN - Revisar Controles")))</f>
        <v/>
      </c>
    </row>
    <row r="747">
      <c r="A747" s="99"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c r="AD747">
        <f>IF(AND(Y747="",Z747="",AA747="",AB747="",AC747=""),"",IF(OR(LEFT(AA747,2)="L0",LEFT(AA747,2)="L1",Y747="No Iniciado"),"CRÍTICO - Incumplimiento Normativo SEPS",IF(AND(Y747="Implementado",Z747&lt;&gt;"",OR(LEFT(AA747,2)="L4",LEFT(AA747,2)="L5"),AB747&lt;&gt;"",AC747&lt;&gt;"",AC747&lt;&gt;"N/A"),"CONFORME - Control Efectivo ISO 27001","OBSERVACIÓN - Revisar Controles")))</f>
        <v/>
      </c>
    </row>
    <row r="748">
      <c r="A748" s="99"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c r="AD748">
        <f>IF(AND(Y748="",Z748="",AA748="",AB748="",AC748=""),"",IF(OR(LEFT(AA748,2)="L0",LEFT(AA748,2)="L1",Y748="No Iniciado"),"CRÍTICO - Incumplimiento Normativo SEPS",IF(AND(Y748="Implementado",Z748&lt;&gt;"",OR(LEFT(AA748,2)="L4",LEFT(AA748,2)="L5"),AB748&lt;&gt;"",AC748&lt;&gt;"",AC748&lt;&gt;"N/A"),"CONFORME - Control Efectivo ISO 27001","OBSERVACIÓN - Revisar Controles")))</f>
        <v/>
      </c>
    </row>
    <row r="749">
      <c r="A749" s="99"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c r="AD749">
        <f>IF(AND(Y749="",Z749="",AA749="",AB749="",AC749=""),"",IF(OR(LEFT(AA749,2)="L0",LEFT(AA749,2)="L1",Y749="No Iniciado"),"CRÍTICO - Incumplimiento Normativo SEPS",IF(AND(Y749="Implementado",Z749&lt;&gt;"",OR(LEFT(AA749,2)="L4",LEFT(AA749,2)="L5"),AB749&lt;&gt;"",AC749&lt;&gt;"",AC749&lt;&gt;"N/A"),"CONFORME - Control Efectivo ISO 27001","OBSERVACIÓN - Revisar Controles")))</f>
        <v/>
      </c>
    </row>
    <row r="750">
      <c r="A750" s="99"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c r="AD750">
        <f>IF(AND(Y750="",Z750="",AA750="",AB750="",AC750=""),"",IF(OR(LEFT(AA750,2)="L0",LEFT(AA750,2)="L1",Y750="No Iniciado"),"CRÍTICO - Incumplimiento Normativo SEPS",IF(AND(Y750="Implementado",Z750&lt;&gt;"",OR(LEFT(AA750,2)="L4",LEFT(AA750,2)="L5"),AB750&lt;&gt;"",AC750&lt;&gt;"",AC750&lt;&gt;"N/A"),"CONFORME - Control Efectivo ISO 27001","OBSERVACIÓN - Revisar Controles")))</f>
        <v/>
      </c>
    </row>
    <row r="751">
      <c r="A751" s="99"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c r="AD751">
        <f>IF(AND(Y751="",Z751="",AA751="",AB751="",AC751=""),"",IF(OR(LEFT(AA751,2)="L0",LEFT(AA751,2)="L1",Y751="No Iniciado"),"CRÍTICO - Incumplimiento Normativo SEPS",IF(AND(Y751="Implementado",Z751&lt;&gt;"",OR(LEFT(AA751,2)="L4",LEFT(AA751,2)="L5"),AB751&lt;&gt;"",AC751&lt;&gt;"",AC751&lt;&gt;"N/A"),"CONFORME - Control Efectivo ISO 27001","OBSERVACIÓN - Revisar Controles")))</f>
        <v/>
      </c>
    </row>
    <row r="752">
      <c r="A752" s="99"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c r="AD752">
        <f>IF(AND(Y752="",Z752="",AA752="",AB752="",AC752=""),"",IF(OR(LEFT(AA752,2)="L0",LEFT(AA752,2)="L1",Y752="No Iniciado"),"CRÍTICO - Incumplimiento Normativo SEPS",IF(AND(Y752="Implementado",Z752&lt;&gt;"",OR(LEFT(AA752,2)="L4",LEFT(AA752,2)="L5"),AB752&lt;&gt;"",AC752&lt;&gt;"",AC752&lt;&gt;"N/A"),"CONFORME - Control Efectivo ISO 27001","OBSERVACIÓN - Revisar Controles")))</f>
        <v/>
      </c>
    </row>
    <row r="753">
      <c r="A753" s="99"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c r="AD753">
        <f>IF(AND(Y753="",Z753="",AA753="",AB753="",AC753=""),"",IF(OR(LEFT(AA753,2)="L0",LEFT(AA753,2)="L1",Y753="No Iniciado"),"CRÍTICO - Incumplimiento Normativo SEPS",IF(AND(Y753="Implementado",Z753&lt;&gt;"",OR(LEFT(AA753,2)="L4",LEFT(AA753,2)="L5"),AB753&lt;&gt;"",AC753&lt;&gt;"",AC753&lt;&gt;"N/A"),"CONFORME - Control Efectivo ISO 27001","OBSERVACIÓN - Revisar Controles")))</f>
        <v/>
      </c>
    </row>
    <row r="754">
      <c r="A754" s="99"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c r="AD754">
        <f>IF(AND(Y754="",Z754="",AA754="",AB754="",AC754=""),"",IF(OR(LEFT(AA754,2)="L0",LEFT(AA754,2)="L1",Y754="No Iniciado"),"CRÍTICO - Incumplimiento Normativo SEPS",IF(AND(Y754="Implementado",Z754&lt;&gt;"",OR(LEFT(AA754,2)="L4",LEFT(AA754,2)="L5"),AB754&lt;&gt;"",AC754&lt;&gt;"",AC754&lt;&gt;"N/A"),"CONFORME - Control Efectivo ISO 27001","OBSERVACIÓN - Revisar Controles")))</f>
        <v/>
      </c>
    </row>
    <row r="755">
      <c r="A755" s="99"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c r="AD755">
        <f>IF(AND(Y755="",Z755="",AA755="",AB755="",AC755=""),"",IF(OR(LEFT(AA755,2)="L0",LEFT(AA755,2)="L1",Y755="No Iniciado"),"CRÍTICO - Incumplimiento Normativo SEPS",IF(AND(Y755="Implementado",Z755&lt;&gt;"",OR(LEFT(AA755,2)="L4",LEFT(AA755,2)="L5"),AB755&lt;&gt;"",AC755&lt;&gt;"",AC755&lt;&gt;"N/A"),"CONFORME - Control Efectivo ISO 27001","OBSERVACIÓN - Revisar Controles")))</f>
        <v/>
      </c>
    </row>
    <row r="756">
      <c r="A756" s="99"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c r="AD756">
        <f>IF(AND(Y756="",Z756="",AA756="",AB756="",AC756=""),"",IF(OR(LEFT(AA756,2)="L0",LEFT(AA756,2)="L1",Y756="No Iniciado"),"CRÍTICO - Incumplimiento Normativo SEPS",IF(AND(Y756="Implementado",Z756&lt;&gt;"",OR(LEFT(AA756,2)="L4",LEFT(AA756,2)="L5"),AB756&lt;&gt;"",AC756&lt;&gt;"",AC756&lt;&gt;"N/A"),"CONFORME - Control Efectivo ISO 27001","OBSERVACIÓN - Revisar Controles")))</f>
        <v/>
      </c>
    </row>
    <row r="757">
      <c r="A757" s="99"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c r="AD757">
        <f>IF(AND(Y757="",Z757="",AA757="",AB757="",AC757=""),"",IF(OR(LEFT(AA757,2)="L0",LEFT(AA757,2)="L1",Y757="No Iniciado"),"CRÍTICO - Incumplimiento Normativo SEPS",IF(AND(Y757="Implementado",Z757&lt;&gt;"",OR(LEFT(AA757,2)="L4",LEFT(AA757,2)="L5"),AB757&lt;&gt;"",AC757&lt;&gt;"",AC757&lt;&gt;"N/A"),"CONFORME - Control Efectivo ISO 27001","OBSERVACIÓN - Revisar Controles")))</f>
        <v/>
      </c>
    </row>
    <row r="758">
      <c r="A758" s="99"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c r="AD758">
        <f>IF(AND(Y758="",Z758="",AA758="",AB758="",AC758=""),"",IF(OR(LEFT(AA758,2)="L0",LEFT(AA758,2)="L1",Y758="No Iniciado"),"CRÍTICO - Incumplimiento Normativo SEPS",IF(AND(Y758="Implementado",Z758&lt;&gt;"",OR(LEFT(AA758,2)="L4",LEFT(AA758,2)="L5"),AB758&lt;&gt;"",AC758&lt;&gt;"",AC758&lt;&gt;"N/A"),"CONFORME - Control Efectivo ISO 27001","OBSERVACIÓN - Revisar Controles")))</f>
        <v/>
      </c>
    </row>
    <row r="759">
      <c r="A759" s="99"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c r="AD759">
        <f>IF(AND(Y759="",Z759="",AA759="",AB759="",AC759=""),"",IF(OR(LEFT(AA759,2)="L0",LEFT(AA759,2)="L1",Y759="No Iniciado"),"CRÍTICO - Incumplimiento Normativo SEPS",IF(AND(Y759="Implementado",Z759&lt;&gt;"",OR(LEFT(AA759,2)="L4",LEFT(AA759,2)="L5"),AB759&lt;&gt;"",AC759&lt;&gt;"",AC759&lt;&gt;"N/A"),"CONFORME - Control Efectivo ISO 27001","OBSERVACIÓN - Revisar Controles")))</f>
        <v/>
      </c>
    </row>
    <row r="760">
      <c r="A760" s="99"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c r="AD760">
        <f>IF(AND(Y760="",Z760="",AA760="",AB760="",AC760=""),"",IF(OR(LEFT(AA760,2)="L0",LEFT(AA760,2)="L1",Y760="No Iniciado"),"CRÍTICO - Incumplimiento Normativo SEPS",IF(AND(Y760="Implementado",Z760&lt;&gt;"",OR(LEFT(AA760,2)="L4",LEFT(AA760,2)="L5"),AB760&lt;&gt;"",AC760&lt;&gt;"",AC760&lt;&gt;"N/A"),"CONFORME - Control Efectivo ISO 27001","OBSERVACIÓN - Revisar Controles")))</f>
        <v/>
      </c>
    </row>
    <row r="761">
      <c r="A761" s="99"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c r="AD761">
        <f>IF(AND(Y761="",Z761="",AA761="",AB761="",AC761=""),"",IF(OR(LEFT(AA761,2)="L0",LEFT(AA761,2)="L1",Y761="No Iniciado"),"CRÍTICO - Incumplimiento Normativo SEPS",IF(AND(Y761="Implementado",Z761&lt;&gt;"",OR(LEFT(AA761,2)="L4",LEFT(AA761,2)="L5"),AB761&lt;&gt;"",AC761&lt;&gt;"",AC761&lt;&gt;"N/A"),"CONFORME - Control Efectivo ISO 27001","OBSERVACIÓN - Revisar Controles")))</f>
        <v/>
      </c>
    </row>
    <row r="762">
      <c r="A762" s="99"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c r="AD762">
        <f>IF(AND(Y762="",Z762="",AA762="",AB762="",AC762=""),"",IF(OR(LEFT(AA762,2)="L0",LEFT(AA762,2)="L1",Y762="No Iniciado"),"CRÍTICO - Incumplimiento Normativo SEPS",IF(AND(Y762="Implementado",Z762&lt;&gt;"",OR(LEFT(AA762,2)="L4",LEFT(AA762,2)="L5"),AB762&lt;&gt;"",AC762&lt;&gt;"",AC762&lt;&gt;"N/A"),"CONFORME - Control Efectivo ISO 27001","OBSERVACIÓN - Revisar Controles")))</f>
        <v/>
      </c>
    </row>
    <row r="763">
      <c r="A763" s="99"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c r="AD763">
        <f>IF(AND(Y763="",Z763="",AA763="",AB763="",AC763=""),"",IF(OR(LEFT(AA763,2)="L0",LEFT(AA763,2)="L1",Y763="No Iniciado"),"CRÍTICO - Incumplimiento Normativo SEPS",IF(AND(Y763="Implementado",Z763&lt;&gt;"",OR(LEFT(AA763,2)="L4",LEFT(AA763,2)="L5"),AB763&lt;&gt;"",AC763&lt;&gt;"",AC763&lt;&gt;"N/A"),"CONFORME - Control Efectivo ISO 27001","OBSERVACIÓN - Revisar Controles")))</f>
        <v/>
      </c>
    </row>
    <row r="764">
      <c r="A764" s="99"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c r="AD764">
        <f>IF(AND(Y764="",Z764="",AA764="",AB764="",AC764=""),"",IF(OR(LEFT(AA764,2)="L0",LEFT(AA764,2)="L1",Y764="No Iniciado"),"CRÍTICO - Incumplimiento Normativo SEPS",IF(AND(Y764="Implementado",Z764&lt;&gt;"",OR(LEFT(AA764,2)="L4",LEFT(AA764,2)="L5"),AB764&lt;&gt;"",AC764&lt;&gt;"",AC764&lt;&gt;"N/A"),"CONFORME - Control Efectivo ISO 27001","OBSERVACIÓN - Revisar Controles")))</f>
        <v/>
      </c>
    </row>
    <row r="765">
      <c r="A765" s="99"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c r="AD765">
        <f>IF(AND(Y765="",Z765="",AA765="",AB765="",AC765=""),"",IF(OR(LEFT(AA765,2)="L0",LEFT(AA765,2)="L1",Y765="No Iniciado"),"CRÍTICO - Incumplimiento Normativo SEPS",IF(AND(Y765="Implementado",Z765&lt;&gt;"",OR(LEFT(AA765,2)="L4",LEFT(AA765,2)="L5"),AB765&lt;&gt;"",AC765&lt;&gt;"",AC765&lt;&gt;"N/A"),"CONFORME - Control Efectivo ISO 27001","OBSERVACIÓN - Revisar Controles")))</f>
        <v/>
      </c>
    </row>
    <row r="766" ht="12" customHeight="1" s="106">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c r="AD766">
        <f>IF(AND(Y766="",Z766="",AA766="",AB766="",AC766=""),"",IF(OR(LEFT(AA766,2)="L0",LEFT(AA766,2)="L1",Y766="No Iniciado"),"CRÍTICO - Incumplimiento Normativo SEPS",IF(AND(Y766="Implementado",Z766&lt;&gt;"",OR(LEFT(AA766,2)="L4",LEFT(AA766,2)="L5"),AB766&lt;&gt;"",AC766&lt;&gt;"",AC766&lt;&gt;"N/A"),"CONFORME - Control Efectivo ISO 27001","OBSERVACIÓN - Revisar Controles")))</f>
        <v/>
      </c>
    </row>
    <row r="767" ht="20.45" customHeight="1" s="106">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c r="AD767">
        <f>IF(AND(Y767="",Z767="",AA767="",AB767="",AC767=""),"",IF(OR(LEFT(AA767,2)="L0",LEFT(AA767,2)="L1",Y767="No Iniciado"),"CRÍTICO - Incumplimiento Normativo SEPS",IF(AND(Y767="Implementado",Z767&lt;&gt;"",OR(LEFT(AA767,2)="L4",LEFT(AA767,2)="L5"),AB767&lt;&gt;"",AC767&lt;&gt;"",AC767&lt;&gt;"N/A"),"CONFORME - Control Efectivo ISO 27001","OBSERVACIÓN - Revisar Controles")))</f>
        <v/>
      </c>
    </row>
    <row r="768" ht="12" customHeight="1" s="106">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c r="AD768">
        <f>IF(AND(Y768="",Z768="",AA768="",AB768="",AC768=""),"",IF(OR(LEFT(AA768,2)="L0",LEFT(AA768,2)="L1",Y768="No Iniciado"),"CRÍTICO - Incumplimiento Normativo SEPS",IF(AND(Y768="Implementado",Z768&lt;&gt;"",OR(LEFT(AA768,2)="L4",LEFT(AA768,2)="L5"),AB768&lt;&gt;"",AC768&lt;&gt;"",AC768&lt;&gt;"N/A"),"CONFORME - Control Efectivo ISO 27001","OBSERVACIÓN - Revisar Controles")))</f>
        <v/>
      </c>
    </row>
    <row r="769" ht="20.45" customHeight="1" s="106">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c r="AD769">
        <f>IF(AND(Y769="",Z769="",AA769="",AB769="",AC769=""),"",IF(OR(LEFT(AA769,2)="L0",LEFT(AA769,2)="L1",Y769="No Iniciado"),"CRÍTICO - Incumplimiento Normativo SEPS",IF(AND(Y769="Implementado",Z769&lt;&gt;"",OR(LEFT(AA769,2)="L4",LEFT(AA769,2)="L5"),AB769&lt;&gt;"",AC769&lt;&gt;"",AC769&lt;&gt;"N/A"),"CONFORME - Control Efectivo ISO 27001","OBSERVACIÓN - Revisar Controles")))</f>
        <v/>
      </c>
    </row>
    <row r="770" ht="20.45" customHeight="1" s="106">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c r="AD770">
        <f>IF(AND(Y770="",Z770="",AA770="",AB770="",AC770=""),"",IF(OR(LEFT(AA770,2)="L0",LEFT(AA770,2)="L1",Y770="No Iniciado"),"CRÍTICO - Incumplimiento Normativo SEPS",IF(AND(Y770="Implementado",Z770&lt;&gt;"",OR(LEFT(AA770,2)="L4",LEFT(AA770,2)="L5"),AB770&lt;&gt;"",AC770&lt;&gt;"",AC770&lt;&gt;"N/A"),"CONFORME - Control Efectivo ISO 27001","OBSERVACIÓN - Revisar Controles")))</f>
        <v/>
      </c>
    </row>
    <row r="771" ht="12" customHeight="1" s="106">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c r="AD771">
        <f>IF(AND(Y771="",Z771="",AA771="",AB771="",AC771=""),"",IF(OR(LEFT(AA771,2)="L0",LEFT(AA771,2)="L1",Y771="No Iniciado"),"CRÍTICO - Incumplimiento Normativo SEPS",IF(AND(Y771="Implementado",Z771&lt;&gt;"",OR(LEFT(AA771,2)="L4",LEFT(AA771,2)="L5"),AB771&lt;&gt;"",AC771&lt;&gt;"",AC771&lt;&gt;"N/A"),"CONFORME - Control Efectivo ISO 27001","OBSERVACIÓN - Revisar Controles")))</f>
        <v/>
      </c>
    </row>
    <row r="772" ht="12" customHeight="1" s="106">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c r="AD772">
        <f>IF(AND(Y772="",Z772="",AA772="",AB772="",AC772=""),"",IF(OR(LEFT(AA772,2)="L0",LEFT(AA772,2)="L1",Y772="No Iniciado"),"CRÍTICO - Incumplimiento Normativo SEPS",IF(AND(Y772="Implementado",Z772&lt;&gt;"",OR(LEFT(AA772,2)="L4",LEFT(AA772,2)="L5"),AB772&lt;&gt;"",AC772&lt;&gt;"",AC772&lt;&gt;"N/A"),"CONFORME - Control Efectivo ISO 27001","OBSERVACIÓN - Revisar Controles")))</f>
        <v/>
      </c>
    </row>
    <row r="773" ht="12" customHeight="1" s="106">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c r="AD773">
        <f>IF(AND(Y773="",Z773="",AA773="",AB773="",AC773=""),"",IF(OR(LEFT(AA773,2)="L0",LEFT(AA773,2)="L1",Y773="No Iniciado"),"CRÍTICO - Incumplimiento Normativo SEPS",IF(AND(Y773="Implementado",Z773&lt;&gt;"",OR(LEFT(AA773,2)="L4",LEFT(AA773,2)="L5"),AB773&lt;&gt;"",AC773&lt;&gt;"",AC773&lt;&gt;"N/A"),"CONFORME - Control Efectivo ISO 27001","OBSERVACIÓN - Revisar Controles")))</f>
        <v/>
      </c>
    </row>
    <row r="774" ht="12" customHeight="1" s="106">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c r="AD774">
        <f>IF(AND(Y774="",Z774="",AA774="",AB774="",AC774=""),"",IF(OR(LEFT(AA774,2)="L0",LEFT(AA774,2)="L1",Y774="No Iniciado"),"CRÍTICO - Incumplimiento Normativo SEPS",IF(AND(Y774="Implementado",Z774&lt;&gt;"",OR(LEFT(AA774,2)="L4",LEFT(AA774,2)="L5"),AB774&lt;&gt;"",AC774&lt;&gt;"",AC774&lt;&gt;"N/A"),"CONFORME - Control Efectivo ISO 27001","OBSERVACIÓN - Revisar Controles")))</f>
        <v/>
      </c>
    </row>
    <row r="775" ht="12" customHeight="1" s="106">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c r="AD775">
        <f>IF(AND(Y775="",Z775="",AA775="",AB775="",AC775=""),"",IF(OR(LEFT(AA775,2)="L0",LEFT(AA775,2)="L1",Y775="No Iniciado"),"CRÍTICO - Incumplimiento Normativo SEPS",IF(AND(Y775="Implementado",Z775&lt;&gt;"",OR(LEFT(AA775,2)="L4",LEFT(AA775,2)="L5"),AB775&lt;&gt;"",AC775&lt;&gt;"",AC775&lt;&gt;"N/A"),"CONFORME - Control Efectivo ISO 27001","OBSERVACIÓN - Revisar Controles")))</f>
        <v/>
      </c>
    </row>
    <row r="776" ht="20.45" customHeight="1" s="106">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c r="AD776">
        <f>IF(AND(Y776="",Z776="",AA776="",AB776="",AC776=""),"",IF(OR(LEFT(AA776,2)="L0",LEFT(AA776,2)="L1",Y776="No Iniciado"),"CRÍTICO - Incumplimiento Normativo SEPS",IF(AND(Y776="Implementado",Z776&lt;&gt;"",OR(LEFT(AA776,2)="L4",LEFT(AA776,2)="L5"),AB776&lt;&gt;"",AC776&lt;&gt;"",AC776&lt;&gt;"N/A"),"CONFORME - Control Efectivo ISO 27001","OBSERVACIÓN - Revisar Controles")))</f>
        <v/>
      </c>
    </row>
    <row r="777" ht="20.45" customHeight="1" s="106">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c r="AD777">
        <f>IF(AND(Y777="",Z777="",AA777="",AB777="",AC777=""),"",IF(OR(LEFT(AA777,2)="L0",LEFT(AA777,2)="L1",Y777="No Iniciado"),"CRÍTICO - Incumplimiento Normativo SEPS",IF(AND(Y777="Implementado",Z777&lt;&gt;"",OR(LEFT(AA777,2)="L4",LEFT(AA777,2)="L5"),AB777&lt;&gt;"",AC777&lt;&gt;"",AC777&lt;&gt;"N/A"),"CONFORME - Control Efectivo ISO 27001","OBSERVACIÓN - Revisar Controles")))</f>
        <v/>
      </c>
    </row>
    <row r="778" ht="20.45" customHeight="1" s="106">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c r="AD778">
        <f>IF(AND(Y778="",Z778="",AA778="",AB778="",AC778=""),"",IF(OR(LEFT(AA778,2)="L0",LEFT(AA778,2)="L1",Y778="No Iniciado"),"CRÍTICO - Incumplimiento Normativo SEPS",IF(AND(Y778="Implementado",Z778&lt;&gt;"",OR(LEFT(AA778,2)="L4",LEFT(AA778,2)="L5"),AB778&lt;&gt;"",AC778&lt;&gt;"",AC778&lt;&gt;"N/A"),"CONFORME - Control Efectivo ISO 27001","OBSERVACIÓN - Revisar Controles")))</f>
        <v/>
      </c>
    </row>
    <row r="779">
      <c r="A779" s="99"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c r="AD779">
        <f>IF(AND(Y779="",Z779="",AA779="",AB779="",AC779=""),"",IF(OR(LEFT(AA779,2)="L0",LEFT(AA779,2)="L1",Y779="No Iniciado"),"CRÍTICO - Incumplimiento Normativo SEPS",IF(AND(Y779="Implementado",Z779&lt;&gt;"",OR(LEFT(AA779,2)="L4",LEFT(AA779,2)="L5"),AB779&lt;&gt;"",AC779&lt;&gt;"",AC779&lt;&gt;"N/A"),"CONFORME - Control Efectivo ISO 27001","OBSERVACIÓN - Revisar Controles")))</f>
        <v/>
      </c>
    </row>
    <row r="780" ht="20.45" customHeight="1" s="106">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c r="AD780">
        <f>IF(AND(Y780="",Z780="",AA780="",AB780="",AC780=""),"",IF(OR(LEFT(AA780,2)="L0",LEFT(AA780,2)="L1",Y780="No Iniciado"),"CRÍTICO - Incumplimiento Normativo SEPS",IF(AND(Y780="Implementado",Z780&lt;&gt;"",OR(LEFT(AA780,2)="L4",LEFT(AA780,2)="L5"),AB780&lt;&gt;"",AC780&lt;&gt;"",AC780&lt;&gt;"N/A"),"CONFORME - Control Efectivo ISO 27001","OBSERVACIÓN - Revisar Controles")))</f>
        <v/>
      </c>
    </row>
    <row r="781" ht="20.45" customHeight="1" s="106">
      <c r="A781" s="99"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c r="AD781">
        <f>IF(AND(Y781="",Z781="",AA781="",AB781="",AC781=""),"",IF(OR(LEFT(AA781,2)="L0",LEFT(AA781,2)="L1",Y781="No Iniciado"),"CRÍTICO - Incumplimiento Normativo SEPS",IF(AND(Y781="Implementado",Z781&lt;&gt;"",OR(LEFT(AA781,2)="L4",LEFT(AA781,2)="L5"),AB781&lt;&gt;"",AC781&lt;&gt;"",AC781&lt;&gt;"N/A"),"CONFORME - Control Efectivo ISO 27001","OBSERVACIÓN - Revisar Controles")))</f>
        <v/>
      </c>
    </row>
    <row r="782">
      <c r="A782" s="99"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c r="AD782">
        <f>IF(AND(Y782="",Z782="",AA782="",AB782="",AC782=""),"",IF(OR(LEFT(AA782,2)="L0",LEFT(AA782,2)="L1",Y782="No Iniciado"),"CRÍTICO - Incumplimiento Normativo SEPS",IF(AND(Y782="Implementado",Z782&lt;&gt;"",OR(LEFT(AA782,2)="L4",LEFT(AA782,2)="L5"),AB782&lt;&gt;"",AC782&lt;&gt;"",AC782&lt;&gt;"N/A"),"CONFORME - Control Efectivo ISO 27001","OBSERVACIÓN - Revisar Controles")))</f>
        <v/>
      </c>
    </row>
    <row r="783" ht="20.45" customHeight="1" s="106">
      <c r="A783" s="99"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c r="AD783">
        <f>IF(AND(Y783="",Z783="",AA783="",AB783="",AC783=""),"",IF(OR(LEFT(AA783,2)="L0",LEFT(AA783,2)="L1",Y783="No Iniciado"),"CRÍTICO - Incumplimiento Normativo SEPS",IF(AND(Y783="Implementado",Z783&lt;&gt;"",OR(LEFT(AA783,2)="L4",LEFT(AA783,2)="L5"),AB783&lt;&gt;"",AC783&lt;&gt;"",AC783&lt;&gt;"N/A"),"CONFORME - Control Efectivo ISO 27001","OBSERVACIÓN - Revisar Controles")))</f>
        <v/>
      </c>
    </row>
    <row r="784" ht="20.45" customHeight="1" s="106">
      <c r="A784" s="99"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c r="AD784">
        <f>IF(AND(Y784="",Z784="",AA784="",AB784="",AC784=""),"",IF(OR(LEFT(AA784,2)="L0",LEFT(AA784,2)="L1",Y784="No Iniciado"),"CRÍTICO - Incumplimiento Normativo SEPS",IF(AND(Y784="Implementado",Z784&lt;&gt;"",OR(LEFT(AA784,2)="L4",LEFT(AA784,2)="L5"),AB784&lt;&gt;"",AC784&lt;&gt;"",AC784&lt;&gt;"N/A"),"CONFORME - Control Efectivo ISO 27001","OBSERVACIÓN - Revisar Controles")))</f>
        <v/>
      </c>
    </row>
    <row r="785">
      <c r="A785" s="99"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c r="AD785">
        <f>IF(AND(Y785="",Z785="",AA785="",AB785="",AC785=""),"",IF(OR(LEFT(AA785,2)="L0",LEFT(AA785,2)="L1",Y785="No Iniciado"),"CRÍTICO - Incumplimiento Normativo SEPS",IF(AND(Y785="Implementado",Z785&lt;&gt;"",OR(LEFT(AA785,2)="L4",LEFT(AA785,2)="L5"),AB785&lt;&gt;"",AC785&lt;&gt;"",AC785&lt;&gt;"N/A"),"CONFORME - Control Efectivo ISO 27001","OBSERVACIÓN - Revisar Controles")))</f>
        <v/>
      </c>
    </row>
    <row r="786">
      <c r="A786" s="99"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c r="AD786">
        <f>IF(AND(Y786="",Z786="",AA786="",AB786="",AC786=""),"",IF(OR(LEFT(AA786,2)="L0",LEFT(AA786,2)="L1",Y786="No Iniciado"),"CRÍTICO - Incumplimiento Normativo SEPS",IF(AND(Y786="Implementado",Z786&lt;&gt;"",OR(LEFT(AA786,2)="L4",LEFT(AA786,2)="L5"),AB786&lt;&gt;"",AC786&lt;&gt;"",AC786&lt;&gt;"N/A"),"CONFORME - Control Efectivo ISO 27001","OBSERVACIÓN - Revisar Controles")))</f>
        <v/>
      </c>
    </row>
    <row r="787">
      <c r="A787" s="99"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c r="AD787">
        <f>IF(AND(Y787="",Z787="",AA787="",AB787="",AC787=""),"",IF(OR(LEFT(AA787,2)="L0",LEFT(AA787,2)="L1",Y787="No Iniciado"),"CRÍTICO - Incumplimiento Normativo SEPS",IF(AND(Y787="Implementado",Z787&lt;&gt;"",OR(LEFT(AA787,2)="L4",LEFT(AA787,2)="L5"),AB787&lt;&gt;"",AC787&lt;&gt;"",AC787&lt;&gt;"N/A"),"CONFORME - Control Efectivo ISO 27001","OBSERVACIÓN - Revisar Controles")))</f>
        <v/>
      </c>
    </row>
    <row r="788" ht="20.45" customHeight="1" s="106">
      <c r="A788" s="99"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c r="AD788">
        <f>IF(AND(Y788="",Z788="",AA788="",AB788="",AC788=""),"",IF(OR(LEFT(AA788,2)="L0",LEFT(AA788,2)="L1",Y788="No Iniciado"),"CRÍTICO - Incumplimiento Normativo SEPS",IF(AND(Y788="Implementado",Z788&lt;&gt;"",OR(LEFT(AA788,2)="L4",LEFT(AA788,2)="L5"),AB788&lt;&gt;"",AC788&lt;&gt;"",AC788&lt;&gt;"N/A"),"CONFORME - Control Efectivo ISO 27001","OBSERVACIÓN - Revisar Controles")))</f>
        <v/>
      </c>
    </row>
    <row r="789" ht="20.45" customHeight="1" s="106">
      <c r="A789" s="99"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c r="AD789">
        <f>IF(AND(Y789="",Z789="",AA789="",AB789="",AC789=""),"",IF(OR(LEFT(AA789,2)="L0",LEFT(AA789,2)="L1",Y789="No Iniciado"),"CRÍTICO - Incumplimiento Normativo SEPS",IF(AND(Y789="Implementado",Z789&lt;&gt;"",OR(LEFT(AA789,2)="L4",LEFT(AA789,2)="L5"),AB789&lt;&gt;"",AC789&lt;&gt;"",AC789&lt;&gt;"N/A"),"CONFORME - Control Efectivo ISO 27001","OBSERVACIÓN - Revisar Controles")))</f>
        <v/>
      </c>
    </row>
    <row r="790" ht="20.45" customHeight="1" s="106">
      <c r="A790" s="99"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c r="AD790">
        <f>IF(AND(Y790="",Z790="",AA790="",AB790="",AC790=""),"",IF(OR(LEFT(AA790,2)="L0",LEFT(AA790,2)="L1",Y790="No Iniciado"),"CRÍTICO - Incumplimiento Normativo SEPS",IF(AND(Y790="Implementado",Z790&lt;&gt;"",OR(LEFT(AA790,2)="L4",LEFT(AA790,2)="L5"),AB790&lt;&gt;"",AC790&lt;&gt;"",AC790&lt;&gt;"N/A"),"CONFORME - Control Efectivo ISO 27001","OBSERVACIÓN - Revisar Controles")))</f>
        <v/>
      </c>
    </row>
    <row r="791" ht="20.45" customHeight="1" s="106">
      <c r="A791" s="99"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c r="AD791">
        <f>IF(AND(Y791="",Z791="",AA791="",AB791="",AC791=""),"",IF(OR(LEFT(AA791,2)="L0",LEFT(AA791,2)="L1",Y791="No Iniciado"),"CRÍTICO - Incumplimiento Normativo SEPS",IF(AND(Y791="Implementado",Z791&lt;&gt;"",OR(LEFT(AA791,2)="L4",LEFT(AA791,2)="L5"),AB791&lt;&gt;"",AC791&lt;&gt;"",AC791&lt;&gt;"N/A"),"CONFORME - Control Efectivo ISO 27001","OBSERVACIÓN - Revisar Controles")))</f>
        <v/>
      </c>
    </row>
    <row r="792" ht="20.45" customHeight="1" s="106">
      <c r="A792" s="99"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c r="AD792">
        <f>IF(AND(Y792="",Z792="",AA792="",AB792="",AC792=""),"",IF(OR(LEFT(AA792,2)="L0",LEFT(AA792,2)="L1",Y792="No Iniciado"),"CRÍTICO - Incumplimiento Normativo SEPS",IF(AND(Y792="Implementado",Z792&lt;&gt;"",OR(LEFT(AA792,2)="L4",LEFT(AA792,2)="L5"),AB792&lt;&gt;"",AC792&lt;&gt;"",AC792&lt;&gt;"N/A"),"CONFORME - Control Efectivo ISO 27001","OBSERVACIÓN - Revisar Controles")))</f>
        <v/>
      </c>
    </row>
    <row r="793" ht="20.45" customHeight="1" s="106">
      <c r="A793" s="99"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c r="AD793">
        <f>IF(AND(Y793="",Z793="",AA793="",AB793="",AC793=""),"",IF(OR(LEFT(AA793,2)="L0",LEFT(AA793,2)="L1",Y793="No Iniciado"),"CRÍTICO - Incumplimiento Normativo SEPS",IF(AND(Y793="Implementado",Z793&lt;&gt;"",OR(LEFT(AA793,2)="L4",LEFT(AA793,2)="L5"),AB793&lt;&gt;"",AC793&lt;&gt;"",AC793&lt;&gt;"N/A"),"CONFORME - Control Efectivo ISO 27001","OBSERVACIÓN - Revisar Controles")))</f>
        <v/>
      </c>
    </row>
    <row r="794" ht="20.45" customHeight="1" s="106">
      <c r="A794" s="99"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c r="AD794">
        <f>IF(AND(Y794="",Z794="",AA794="",AB794="",AC794=""),"",IF(OR(LEFT(AA794,2)="L0",LEFT(AA794,2)="L1",Y794="No Iniciado"),"CRÍTICO - Incumplimiento Normativo SEPS",IF(AND(Y794="Implementado",Z794&lt;&gt;"",OR(LEFT(AA794,2)="L4",LEFT(AA794,2)="L5"),AB794&lt;&gt;"",AC794&lt;&gt;"",AC794&lt;&gt;"N/A"),"CONFORME - Control Efectivo ISO 27001","OBSERVACIÓN - Revisar Controles")))</f>
        <v/>
      </c>
    </row>
    <row r="795" ht="20.45" customHeight="1" s="106">
      <c r="A795" s="99"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c r="AD795">
        <f>IF(AND(Y795="",Z795="",AA795="",AB795="",AC795=""),"",IF(OR(LEFT(AA795,2)="L0",LEFT(AA795,2)="L1",Y795="No Iniciado"),"CRÍTICO - Incumplimiento Normativo SEPS",IF(AND(Y795="Implementado",Z795&lt;&gt;"",OR(LEFT(AA795,2)="L4",LEFT(AA795,2)="L5"),AB795&lt;&gt;"",AC795&lt;&gt;"",AC795&lt;&gt;"N/A"),"CONFORME - Control Efectivo ISO 27001","OBSERVACIÓN - Revisar Controles")))</f>
        <v/>
      </c>
    </row>
    <row r="796" ht="20.45" customHeight="1" s="106">
      <c r="A796" s="99"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c r="AD796">
        <f>IF(AND(Y796="",Z796="",AA796="",AB796="",AC796=""),"",IF(OR(LEFT(AA796,2)="L0",LEFT(AA796,2)="L1",Y796="No Iniciado"),"CRÍTICO - Incumplimiento Normativo SEPS",IF(AND(Y796="Implementado",Z796&lt;&gt;"",OR(LEFT(AA796,2)="L4",LEFT(AA796,2)="L5"),AB796&lt;&gt;"",AC796&lt;&gt;"",AC796&lt;&gt;"N/A"),"CONFORME - Control Efectivo ISO 27001","OBSERVACIÓN - Revisar Controles")))</f>
        <v/>
      </c>
    </row>
    <row r="797" ht="24" customHeight="1" s="106">
      <c r="A797" s="99"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c r="AD797">
        <f>IF(AND(Y797="",Z797="",AA797="",AB797="",AC797=""),"",IF(OR(LEFT(AA797,2)="L0",LEFT(AA797,2)="L1",Y797="No Iniciado"),"CRÍTICO - Incumplimiento Normativo SEPS",IF(AND(Y797="Implementado",Z797&lt;&gt;"",OR(LEFT(AA797,2)="L4",LEFT(AA797,2)="L5"),AB797&lt;&gt;"",AC797&lt;&gt;"",AC797&lt;&gt;"N/A"),"CONFORME - Control Efectivo ISO 27001","OBSERVACIÓN - Revisar Controles")))</f>
        <v/>
      </c>
    </row>
    <row r="798">
      <c r="A798" s="99"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c r="AD798">
        <f>IF(AND(Y798="",Z798="",AA798="",AB798="",AC798=""),"",IF(OR(LEFT(AA798,2)="L0",LEFT(AA798,2)="L1",Y798="No Iniciado"),"CRÍTICO - Incumplimiento Normativo SEPS",IF(AND(Y798="Implementado",Z798&lt;&gt;"",OR(LEFT(AA798,2)="L4",LEFT(AA798,2)="L5"),AB798&lt;&gt;"",AC798&lt;&gt;"",AC798&lt;&gt;"N/A"),"CONFORME - Control Efectivo ISO 27001","OBSERVACIÓN - Revisar Controles")))</f>
        <v/>
      </c>
    </row>
    <row r="799">
      <c r="A799" s="99"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c r="AD799">
        <f>IF(AND(Y799="",Z799="",AA799="",AB799="",AC799=""),"",IF(OR(LEFT(AA799,2)="L0",LEFT(AA799,2)="L1",Y799="No Iniciado"),"CRÍTICO - Incumplimiento Normativo SEPS",IF(AND(Y799="Implementado",Z799&lt;&gt;"",OR(LEFT(AA799,2)="L4",LEFT(AA799,2)="L5"),AB799&lt;&gt;"",AC799&lt;&gt;"",AC799&lt;&gt;"N/A"),"CONFORME - Control Efectivo ISO 27001","OBSERVACIÓN - Revisar Controles")))</f>
        <v/>
      </c>
    </row>
    <row r="800">
      <c r="A800" s="99"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c r="AD800">
        <f>IF(AND(Y800="",Z800="",AA800="",AB800="",AC800=""),"",IF(OR(LEFT(AA800,2)="L0",LEFT(AA800,2)="L1",Y800="No Iniciado"),"CRÍTICO - Incumplimiento Normativo SEPS",IF(AND(Y800="Implementado",Z800&lt;&gt;"",OR(LEFT(AA800,2)="L4",LEFT(AA800,2)="L5"),AB800&lt;&gt;"",AC800&lt;&gt;"",AC800&lt;&gt;"N/A"),"CONFORME - Control Efectivo ISO 27001","OBSERVACIÓN - Revisar Controles")))</f>
        <v/>
      </c>
    </row>
    <row r="801">
      <c r="A801" s="99"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c r="AD801">
        <f>IF(AND(Y801="",Z801="",AA801="",AB801="",AC801=""),"",IF(OR(LEFT(AA801,2)="L0",LEFT(AA801,2)="L1",Y801="No Iniciado"),"CRÍTICO - Incumplimiento Normativo SEPS",IF(AND(Y801="Implementado",Z801&lt;&gt;"",OR(LEFT(AA801,2)="L4",LEFT(AA801,2)="L5"),AB801&lt;&gt;"",AC801&lt;&gt;"",AC801&lt;&gt;"N/A"),"CONFORME - Control Efectivo ISO 27001","OBSERVACIÓN - Revisar Controles")))</f>
        <v/>
      </c>
    </row>
    <row r="802">
      <c r="A802" s="99"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c r="AD802">
        <f>IF(AND(Y802="",Z802="",AA802="",AB802="",AC802=""),"",IF(OR(LEFT(AA802,2)="L0",LEFT(AA802,2)="L1",Y802="No Iniciado"),"CRÍTICO - Incumplimiento Normativo SEPS",IF(AND(Y802="Implementado",Z802&lt;&gt;"",OR(LEFT(AA802,2)="L4",LEFT(AA802,2)="L5"),AB802&lt;&gt;"",AC802&lt;&gt;"",AC802&lt;&gt;"N/A"),"CONFORME - Control Efectivo ISO 27001","OBSERVACIÓN - Revisar Controles")))</f>
        <v/>
      </c>
    </row>
    <row r="803">
      <c r="A803" s="99"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c r="AD803">
        <f>IF(AND(Y803="",Z803="",AA803="",AB803="",AC803=""),"",IF(OR(LEFT(AA803,2)="L0",LEFT(AA803,2)="L1",Y803="No Iniciado"),"CRÍTICO - Incumplimiento Normativo SEPS",IF(AND(Y803="Implementado",Z803&lt;&gt;"",OR(LEFT(AA803,2)="L4",LEFT(AA803,2)="L5"),AB803&lt;&gt;"",AC803&lt;&gt;"",AC803&lt;&gt;"N/A"),"CONFORME - Control Efectivo ISO 27001","OBSERVACIÓN - Revisar Controles")))</f>
        <v/>
      </c>
    </row>
    <row r="804">
      <c r="A804" s="99"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c r="AD804">
        <f>IF(AND(Y804="",Z804="",AA804="",AB804="",AC804=""),"",IF(OR(LEFT(AA804,2)="L0",LEFT(AA804,2)="L1",Y804="No Iniciado"),"CRÍTICO - Incumplimiento Normativo SEPS",IF(AND(Y804="Implementado",Z804&lt;&gt;"",OR(LEFT(AA804,2)="L4",LEFT(AA804,2)="L5"),AB804&lt;&gt;"",AC804&lt;&gt;"",AC804&lt;&gt;"N/A"),"CONFORME - Control Efectivo ISO 27001","OBSERVACIÓN - Revisar Controles")))</f>
        <v/>
      </c>
    </row>
    <row r="805">
      <c r="A805" s="99"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c r="AD805">
        <f>IF(AND(Y805="",Z805="",AA805="",AB805="",AC805=""),"",IF(OR(LEFT(AA805,2)="L0",LEFT(AA805,2)="L1",Y805="No Iniciado"),"CRÍTICO - Incumplimiento Normativo SEPS",IF(AND(Y805="Implementado",Z805&lt;&gt;"",OR(LEFT(AA805,2)="L4",LEFT(AA805,2)="L5"),AB805&lt;&gt;"",AC805&lt;&gt;"",AC805&lt;&gt;"N/A"),"CONFORME - Control Efectivo ISO 27001","OBSERVACIÓN - Revisar Controles")))</f>
        <v/>
      </c>
    </row>
    <row r="806">
      <c r="A806" s="99"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c r="AD806">
        <f>IF(AND(Y806="",Z806="",AA806="",AB806="",AC806=""),"",IF(OR(LEFT(AA806,2)="L0",LEFT(AA806,2)="L1",Y806="No Iniciado"),"CRÍTICO - Incumplimiento Normativo SEPS",IF(AND(Y806="Implementado",Z806&lt;&gt;"",OR(LEFT(AA806,2)="L4",LEFT(AA806,2)="L5"),AB806&lt;&gt;"",AC806&lt;&gt;"",AC806&lt;&gt;"N/A"),"CONFORME - Control Efectivo ISO 27001","OBSERVACIÓN - Revisar Controles")))</f>
        <v/>
      </c>
    </row>
    <row r="807">
      <c r="A807" s="99"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c r="AD807">
        <f>IF(AND(Y807="",Z807="",AA807="",AB807="",AC807=""),"",IF(OR(LEFT(AA807,2)="L0",LEFT(AA807,2)="L1",Y807="No Iniciado"),"CRÍTICO - Incumplimiento Normativo SEPS",IF(AND(Y807="Implementado",Z807&lt;&gt;"",OR(LEFT(AA807,2)="L4",LEFT(AA807,2)="L5"),AB807&lt;&gt;"",AC807&lt;&gt;"",AC807&lt;&gt;"N/A"),"CONFORME - Control Efectivo ISO 27001","OBSERVACIÓN - Revisar Controles")))</f>
        <v/>
      </c>
    </row>
    <row r="808">
      <c r="A808" s="99"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c r="AD808">
        <f>IF(AND(Y808="",Z808="",AA808="",AB808="",AC808=""),"",IF(OR(LEFT(AA808,2)="L0",LEFT(AA808,2)="L1",Y808="No Iniciado"),"CRÍTICO - Incumplimiento Normativo SEPS",IF(AND(Y808="Implementado",Z808&lt;&gt;"",OR(LEFT(AA808,2)="L4",LEFT(AA808,2)="L5"),AB808&lt;&gt;"",AC808&lt;&gt;"",AC808&lt;&gt;"N/A"),"CONFORME - Control Efectivo ISO 27001","OBSERVACIÓN - Revisar Controles")))</f>
        <v/>
      </c>
    </row>
    <row r="809">
      <c r="A809" s="99"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c r="AD809">
        <f>IF(AND(Y809="",Z809="",AA809="",AB809="",AC809=""),"",IF(OR(LEFT(AA809,2)="L0",LEFT(AA809,2)="L1",Y809="No Iniciado"),"CRÍTICO - Incumplimiento Normativo SEPS",IF(AND(Y809="Implementado",Z809&lt;&gt;"",OR(LEFT(AA809,2)="L4",LEFT(AA809,2)="L5"),AB809&lt;&gt;"",AC809&lt;&gt;"",AC809&lt;&gt;"N/A"),"CONFORME - Control Efectivo ISO 27001","OBSERVACIÓN - Revisar Controles")))</f>
        <v/>
      </c>
    </row>
    <row r="810">
      <c r="A810" s="99"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c r="AD810">
        <f>IF(AND(Y810="",Z810="",AA810="",AB810="",AC810=""),"",IF(OR(LEFT(AA810,2)="L0",LEFT(AA810,2)="L1",Y810="No Iniciado"),"CRÍTICO - Incumplimiento Normativo SEPS",IF(AND(Y810="Implementado",Z810&lt;&gt;"",OR(LEFT(AA810,2)="L4",LEFT(AA810,2)="L5"),AB810&lt;&gt;"",AC810&lt;&gt;"",AC810&lt;&gt;"N/A"),"CONFORME - Control Efectivo ISO 27001","OBSERVACIÓN - Revisar Controles")))</f>
        <v/>
      </c>
    </row>
    <row r="811">
      <c r="A811" s="99"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c r="AD811">
        <f>IF(AND(Y811="",Z811="",AA811="",AB811="",AC811=""),"",IF(OR(LEFT(AA811,2)="L0",LEFT(AA811,2)="L1",Y811="No Iniciado"),"CRÍTICO - Incumplimiento Normativo SEPS",IF(AND(Y811="Implementado",Z811&lt;&gt;"",OR(LEFT(AA811,2)="L4",LEFT(AA811,2)="L5"),AB811&lt;&gt;"",AC811&lt;&gt;"",AC811&lt;&gt;"N/A"),"CONFORME - Control Efectivo ISO 27001","OBSERVACIÓN - Revisar Controles")))</f>
        <v/>
      </c>
    </row>
    <row r="812">
      <c r="A812" s="99"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c r="AD812">
        <f>IF(AND(Y812="",Z812="",AA812="",AB812="",AC812=""),"",IF(OR(LEFT(AA812,2)="L0",LEFT(AA812,2)="L1",Y812="No Iniciado"),"CRÍTICO - Incumplimiento Normativo SEPS",IF(AND(Y812="Implementado",Z812&lt;&gt;"",OR(LEFT(AA812,2)="L4",LEFT(AA812,2)="L5"),AB812&lt;&gt;"",AC812&lt;&gt;"",AC812&lt;&gt;"N/A"),"CONFORME - Control Efectivo ISO 27001","OBSERVACIÓN - Revisar Controles")))</f>
        <v/>
      </c>
    </row>
    <row r="813">
      <c r="A813" s="99"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c r="AD813">
        <f>IF(AND(Y813="",Z813="",AA813="",AB813="",AC813=""),"",IF(OR(LEFT(AA813,2)="L0",LEFT(AA813,2)="L1",Y813="No Iniciado"),"CRÍTICO - Incumplimiento Normativo SEPS",IF(AND(Y813="Implementado",Z813&lt;&gt;"",OR(LEFT(AA813,2)="L4",LEFT(AA813,2)="L5"),AB813&lt;&gt;"",AC813&lt;&gt;"",AC813&lt;&gt;"N/A"),"CONFORME - Control Efectivo ISO 27001","OBSERVACIÓN - Revisar Controles")))</f>
        <v/>
      </c>
    </row>
    <row r="814">
      <c r="A814" s="99"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c r="AD814">
        <f>IF(AND(Y814="",Z814="",AA814="",AB814="",AC814=""),"",IF(OR(LEFT(AA814,2)="L0",LEFT(AA814,2)="L1",Y814="No Iniciado"),"CRÍTICO - Incumplimiento Normativo SEPS",IF(AND(Y814="Implementado",Z814&lt;&gt;"",OR(LEFT(AA814,2)="L4",LEFT(AA814,2)="L5"),AB814&lt;&gt;"",AC814&lt;&gt;"",AC814&lt;&gt;"N/A"),"CONFORME - Control Efectivo ISO 27001","OBSERVACIÓN - Revisar Controles")))</f>
        <v/>
      </c>
    </row>
    <row r="815">
      <c r="A815" s="99"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c r="AD815">
        <f>IF(AND(Y815="",Z815="",AA815="",AB815="",AC815=""),"",IF(OR(LEFT(AA815,2)="L0",LEFT(AA815,2)="L1",Y815="No Iniciado"),"CRÍTICO - Incumplimiento Normativo SEPS",IF(AND(Y815="Implementado",Z815&lt;&gt;"",OR(LEFT(AA815,2)="L4",LEFT(AA815,2)="L5"),AB815&lt;&gt;"",AC815&lt;&gt;"",AC815&lt;&gt;"N/A"),"CONFORME - Control Efectivo ISO 27001","OBSERVACIÓN - Revisar Controles")))</f>
        <v/>
      </c>
    </row>
    <row r="816">
      <c r="A816" s="99"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c r="AD816">
        <f>IF(AND(Y816="",Z816="",AA816="",AB816="",AC816=""),"",IF(OR(LEFT(AA816,2)="L0",LEFT(AA816,2)="L1",Y816="No Iniciado"),"CRÍTICO - Incumplimiento Normativo SEPS",IF(AND(Y816="Implementado",Z816&lt;&gt;"",OR(LEFT(AA816,2)="L4",LEFT(AA816,2)="L5"),AB816&lt;&gt;"",AC816&lt;&gt;"",AC816&lt;&gt;"N/A"),"CONFORME - Control Efectivo ISO 27001","OBSERVACIÓN - Revisar Controles")))</f>
        <v/>
      </c>
    </row>
    <row r="817">
      <c r="A817" s="99"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c r="AD817">
        <f>IF(AND(Y817="",Z817="",AA817="",AB817="",AC817=""),"",IF(OR(LEFT(AA817,2)="L0",LEFT(AA817,2)="L1",Y817="No Iniciado"),"CRÍTICO - Incumplimiento Normativo SEPS",IF(AND(Y817="Implementado",Z817&lt;&gt;"",OR(LEFT(AA817,2)="L4",LEFT(AA817,2)="L5"),AB817&lt;&gt;"",AC817&lt;&gt;"",AC817&lt;&gt;"N/A"),"CONFORME - Control Efectivo ISO 27001","OBSERVACIÓN - Revisar Controles")))</f>
        <v/>
      </c>
    </row>
    <row r="818" ht="41.1" customHeight="1" s="106">
      <c r="A818" s="99"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c r="AD818">
        <f>IF(AND(Y818="",Z818="",AA818="",AB818="",AC818=""),"",IF(OR(LEFT(AA818,2)="L0",LEFT(AA818,2)="L1",Y818="No Iniciado"),"CRÍTICO - Incumplimiento Normativo SEPS",IF(AND(Y818="Implementado",Z818&lt;&gt;"",OR(LEFT(AA818,2)="L4",LEFT(AA818,2)="L5"),AB818&lt;&gt;"",AC818&lt;&gt;"",AC818&lt;&gt;"N/A"),"CONFORME - Control Efectivo ISO 27001","OBSERVACIÓN - Revisar Controles")))</f>
        <v/>
      </c>
    </row>
    <row r="819" ht="51" customHeight="1" s="106">
      <c r="A819" s="99"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c r="AD819">
        <f>IF(AND(Y819="",Z819="",AA819="",AB819="",AC819=""),"",IF(OR(LEFT(AA819,2)="L0",LEFT(AA819,2)="L1",Y819="No Iniciado"),"CRÍTICO - Incumplimiento Normativo SEPS",IF(AND(Y819="Implementado",Z819&lt;&gt;"",OR(LEFT(AA819,2)="L4",LEFT(AA819,2)="L5"),AB819&lt;&gt;"",AC819&lt;&gt;"",AC819&lt;&gt;"N/A"),"CONFORME - Control Efectivo ISO 27001","OBSERVACIÓN - Revisar Controles")))</f>
        <v/>
      </c>
    </row>
    <row r="820" ht="61.35" customHeight="1" s="106">
      <c r="A820" s="99"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c r="AD820">
        <f>IF(AND(Y820="",Z820="",AA820="",AB820="",AC820=""),"",IF(OR(LEFT(AA820,2)="L0",LEFT(AA820,2)="L1",Y820="No Iniciado"),"CRÍTICO - Incumplimiento Normativo SEPS",IF(AND(Y820="Implementado",Z820&lt;&gt;"",OR(LEFT(AA820,2)="L4",LEFT(AA820,2)="L5"),AB820&lt;&gt;"",AC820&lt;&gt;"",AC820&lt;&gt;"N/A"),"CONFORME - Control Efectivo ISO 27001","OBSERVACIÓN - Revisar Controles")))</f>
        <v/>
      </c>
    </row>
    <row r="821" ht="20.45" customHeight="1" s="106">
      <c r="A821" s="99"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c r="AD821">
        <f>IF(AND(Y821="",Z821="",AA821="",AB821="",AC821=""),"",IF(OR(LEFT(AA821,2)="L0",LEFT(AA821,2)="L1",Y821="No Iniciado"),"CRÍTICO - Incumplimiento Normativo SEPS",IF(AND(Y821="Implementado",Z821&lt;&gt;"",OR(LEFT(AA821,2)="L4",LEFT(AA821,2)="L5"),AB821&lt;&gt;"",AC821&lt;&gt;"",AC821&lt;&gt;"N/A"),"CONFORME - Control Efectivo ISO 27001","OBSERVACIÓN - Revisar Controles")))</f>
        <v/>
      </c>
    </row>
    <row r="822" ht="30.6" customHeight="1" s="106">
      <c r="A822" s="99"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c r="AD822">
        <f>IF(AND(Y822="",Z822="",AA822="",AB822="",AC822=""),"",IF(OR(LEFT(AA822,2)="L0",LEFT(AA822,2)="L1",Y822="No Iniciado"),"CRÍTICO - Incumplimiento Normativo SEPS",IF(AND(Y822="Implementado",Z822&lt;&gt;"",OR(LEFT(AA822,2)="L4",LEFT(AA822,2)="L5"),AB822&lt;&gt;"",AC822&lt;&gt;"",AC822&lt;&gt;"N/A"),"CONFORME - Control Efectivo ISO 27001","OBSERVACIÓN - Revisar Controles")))</f>
        <v/>
      </c>
    </row>
    <row r="823" ht="20.45" customHeight="1" s="106">
      <c r="A823" s="99"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c r="AD823">
        <f>IF(AND(Y823="",Z823="",AA823="",AB823="",AC823=""),"",IF(OR(LEFT(AA823,2)="L0",LEFT(AA823,2)="L1",Y823="No Iniciado"),"CRÍTICO - Incumplimiento Normativo SEPS",IF(AND(Y823="Implementado",Z823&lt;&gt;"",OR(LEFT(AA823,2)="L4",LEFT(AA823,2)="L5"),AB823&lt;&gt;"",AC823&lt;&gt;"",AC823&lt;&gt;"N/A"),"CONFORME - Control Efectivo ISO 27001","OBSERVACIÓN - Revisar Controles")))</f>
        <v/>
      </c>
    </row>
    <row r="824">
      <c r="A824" s="99"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c r="AD824">
        <f>IF(AND(Y824="",Z824="",AA824="",AB824="",AC824=""),"",IF(OR(LEFT(AA824,2)="L0",LEFT(AA824,2)="L1",Y824="No Iniciado"),"CRÍTICO - Incumplimiento Normativo SEPS",IF(AND(Y824="Implementado",Z824&lt;&gt;"",OR(LEFT(AA824,2)="L4",LEFT(AA824,2)="L5"),AB824&lt;&gt;"",AC824&lt;&gt;"",AC824&lt;&gt;"N/A"),"CONFORME - Control Efectivo ISO 27001","OBSERVACIÓN - Revisar Controles")))</f>
        <v/>
      </c>
    </row>
    <row r="825">
      <c r="A825" s="99"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c r="AD825">
        <f>IF(AND(Y825="",Z825="",AA825="",AB825="",AC825=""),"",IF(OR(LEFT(AA825,2)="L0",LEFT(AA825,2)="L1",Y825="No Iniciado"),"CRÍTICO - Incumplimiento Normativo SEPS",IF(AND(Y825="Implementado",Z825&lt;&gt;"",OR(LEFT(AA825,2)="L4",LEFT(AA825,2)="L5"),AB825&lt;&gt;"",AC825&lt;&gt;"",AC825&lt;&gt;"N/A"),"CONFORME - Control Efectivo ISO 27001","OBSERVACIÓN - Revisar Controles")))</f>
        <v/>
      </c>
    </row>
    <row r="826">
      <c r="A826" s="99"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c r="AD826">
        <f>IF(AND(Y826="",Z826="",AA826="",AB826="",AC826=""),"",IF(OR(LEFT(AA826,2)="L0",LEFT(AA826,2)="L1",Y826="No Iniciado"),"CRÍTICO - Incumplimiento Normativo SEPS",IF(AND(Y826="Implementado",Z826&lt;&gt;"",OR(LEFT(AA826,2)="L4",LEFT(AA826,2)="L5"),AB826&lt;&gt;"",AC826&lt;&gt;"",AC826&lt;&gt;"N/A"),"CONFORME - Control Efectivo ISO 27001","OBSERVACIÓN - Revisar Controles")))</f>
        <v/>
      </c>
    </row>
    <row r="827">
      <c r="A827" s="99"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c r="AD827">
        <f>IF(AND(Y827="",Z827="",AA827="",AB827="",AC827=""),"",IF(OR(LEFT(AA827,2)="L0",LEFT(AA827,2)="L1",Y827="No Iniciado"),"CRÍTICO - Incumplimiento Normativo SEPS",IF(AND(Y827="Implementado",Z827&lt;&gt;"",OR(LEFT(AA827,2)="L4",LEFT(AA827,2)="L5"),AB827&lt;&gt;"",AC827&lt;&gt;"",AC827&lt;&gt;"N/A"),"CONFORME - Control Efectivo ISO 27001","OBSERVACIÓN - Revisar Controles")))</f>
        <v/>
      </c>
    </row>
    <row r="828">
      <c r="A828" s="99"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c r="AD828">
        <f>IF(AND(Y828="",Z828="",AA828="",AB828="",AC828=""),"",IF(OR(LEFT(AA828,2)="L0",LEFT(AA828,2)="L1",Y828="No Iniciado"),"CRÍTICO - Incumplimiento Normativo SEPS",IF(AND(Y828="Implementado",Z828&lt;&gt;"",OR(LEFT(AA828,2)="L4",LEFT(AA828,2)="L5"),AB828&lt;&gt;"",AC828&lt;&gt;"",AC828&lt;&gt;"N/A"),"CONFORME - Control Efectivo ISO 27001","OBSERVACIÓN - Revisar Controles")))</f>
        <v/>
      </c>
    </row>
    <row r="829">
      <c r="A829" s="99"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c r="AD829">
        <f>IF(AND(Y829="",Z829="",AA829="",AB829="",AC829=""),"",IF(OR(LEFT(AA829,2)="L0",LEFT(AA829,2)="L1",Y829="No Iniciado"),"CRÍTICO - Incumplimiento Normativo SEPS",IF(AND(Y829="Implementado",Z829&lt;&gt;"",OR(LEFT(AA829,2)="L4",LEFT(AA829,2)="L5"),AB829&lt;&gt;"",AC829&lt;&gt;"",AC829&lt;&gt;"N/A"),"CONFORME - Control Efectivo ISO 27001","OBSERVACIÓN - Revisar Controles")))</f>
        <v/>
      </c>
    </row>
    <row r="830">
      <c r="A830" s="99"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c r="AD830">
        <f>IF(AND(Y830="",Z830="",AA830="",AB830="",AC830=""),"",IF(OR(LEFT(AA830,2)="L0",LEFT(AA830,2)="L1",Y830="No Iniciado"),"CRÍTICO - Incumplimiento Normativo SEPS",IF(AND(Y830="Implementado",Z830&lt;&gt;"",OR(LEFT(AA830,2)="L4",LEFT(AA830,2)="L5"),AB830&lt;&gt;"",AC830&lt;&gt;"",AC830&lt;&gt;"N/A"),"CONFORME - Control Efectivo ISO 27001","OBSERVACIÓN - Revisar Controles")))</f>
        <v/>
      </c>
    </row>
    <row r="831">
      <c r="A831" s="99"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c r="AD831">
        <f>IF(AND(Y831="",Z831="",AA831="",AB831="",AC831=""),"",IF(OR(LEFT(AA831,2)="L0",LEFT(AA831,2)="L1",Y831="No Iniciado"),"CRÍTICO - Incumplimiento Normativo SEPS",IF(AND(Y831="Implementado",Z831&lt;&gt;"",OR(LEFT(AA831,2)="L4",LEFT(AA831,2)="L5"),AB831&lt;&gt;"",AC831&lt;&gt;"",AC831&lt;&gt;"N/A"),"CONFORME - Control Efectivo ISO 27001","OBSERVACIÓN - Revisar Controles")))</f>
        <v/>
      </c>
    </row>
    <row r="832">
      <c r="A832" s="99"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c r="AD832">
        <f>IF(AND(Y832="",Z832="",AA832="",AB832="",AC832=""),"",IF(OR(LEFT(AA832,2)="L0",LEFT(AA832,2)="L1",Y832="No Iniciado"),"CRÍTICO - Incumplimiento Normativo SEPS",IF(AND(Y832="Implementado",Z832&lt;&gt;"",OR(LEFT(AA832,2)="L4",LEFT(AA832,2)="L5"),AB832&lt;&gt;"",AC832&lt;&gt;"",AC832&lt;&gt;"N/A"),"CONFORME - Control Efectivo ISO 27001","OBSERVACIÓN - Revisar Controles")))</f>
        <v/>
      </c>
    </row>
    <row r="833">
      <c r="A833" s="99"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c r="AD833">
        <f>IF(AND(Y833="",Z833="",AA833="",AB833="",AC833=""),"",IF(OR(LEFT(AA833,2)="L0",LEFT(AA833,2)="L1",Y833="No Iniciado"),"CRÍTICO - Incumplimiento Normativo SEPS",IF(AND(Y833="Implementado",Z833&lt;&gt;"",OR(LEFT(AA833,2)="L4",LEFT(AA833,2)="L5"),AB833&lt;&gt;"",AC833&lt;&gt;"",AC833&lt;&gt;"N/A"),"CONFORME - Control Efectivo ISO 27001","OBSERVACIÓN - Revisar Controles")))</f>
        <v/>
      </c>
    </row>
    <row r="834">
      <c r="A834" s="99"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c r="AD834">
        <f>IF(AND(Y834="",Z834="",AA834="",AB834="",AC834=""),"",IF(OR(LEFT(AA834,2)="L0",LEFT(AA834,2)="L1",Y834="No Iniciado"),"CRÍTICO - Incumplimiento Normativo SEPS",IF(AND(Y834="Implementado",Z834&lt;&gt;"",OR(LEFT(AA834,2)="L4",LEFT(AA834,2)="L5"),AB834&lt;&gt;"",AC834&lt;&gt;"",AC834&lt;&gt;"N/A"),"CONFORME - Control Efectivo ISO 27001","OBSERVACIÓN - Revisar Controles")))</f>
        <v/>
      </c>
    </row>
    <row r="835">
      <c r="A835" s="99"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c r="AD835">
        <f>IF(AND(Y835="",Z835="",AA835="",AB835="",AC835=""),"",IF(OR(LEFT(AA835,2)="L0",LEFT(AA835,2)="L1",Y835="No Iniciado"),"CRÍTICO - Incumplimiento Normativo SEPS",IF(AND(Y835="Implementado",Z835&lt;&gt;"",OR(LEFT(AA835,2)="L4",LEFT(AA835,2)="L5"),AB835&lt;&gt;"",AC835&lt;&gt;"",AC835&lt;&gt;"N/A"),"CONFORME - Control Efectivo ISO 27001","OBSERVACIÓN - Revisar Controles")))</f>
        <v/>
      </c>
    </row>
    <row r="836">
      <c r="A836" s="99"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c r="AD836">
        <f>IF(AND(Y836="",Z836="",AA836="",AB836="",AC836=""),"",IF(OR(LEFT(AA836,2)="L0",LEFT(AA836,2)="L1",Y836="No Iniciado"),"CRÍTICO - Incumplimiento Normativo SEPS",IF(AND(Y836="Implementado",Z836&lt;&gt;"",OR(LEFT(AA836,2)="L4",LEFT(AA836,2)="L5"),AB836&lt;&gt;"",AC836&lt;&gt;"",AC836&lt;&gt;"N/A"),"CONFORME - Control Efectivo ISO 27001","OBSERVACIÓN - Revisar Controles")))</f>
        <v/>
      </c>
    </row>
    <row r="837">
      <c r="A837" s="99"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c r="AD837">
        <f>IF(AND(Y837="",Z837="",AA837="",AB837="",AC837=""),"",IF(OR(LEFT(AA837,2)="L0",LEFT(AA837,2)="L1",Y837="No Iniciado"),"CRÍTICO - Incumplimiento Normativo SEPS",IF(AND(Y837="Implementado",Z837&lt;&gt;"",OR(LEFT(AA837,2)="L4",LEFT(AA837,2)="L5"),AB837&lt;&gt;"",AC837&lt;&gt;"",AC837&lt;&gt;"N/A"),"CONFORME - Control Efectivo ISO 27001","OBSERVACIÓN - Revisar Controles")))</f>
        <v/>
      </c>
    </row>
    <row r="838">
      <c r="A838" s="99"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c r="AD838">
        <f>IF(AND(Y838="",Z838="",AA838="",AB838="",AC838=""),"",IF(OR(LEFT(AA838,2)="L0",LEFT(AA838,2)="L1",Y838="No Iniciado"),"CRÍTICO - Incumplimiento Normativo SEPS",IF(AND(Y838="Implementado",Z838&lt;&gt;"",OR(LEFT(AA838,2)="L4",LEFT(AA838,2)="L5"),AB838&lt;&gt;"",AC838&lt;&gt;"",AC838&lt;&gt;"N/A"),"CONFORME - Control Efectivo ISO 27001","OBSERVACIÓN - Revisar Controles")))</f>
        <v/>
      </c>
    </row>
    <row r="839">
      <c r="A839" s="99"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c r="AD839">
        <f>IF(AND(Y839="",Z839="",AA839="",AB839="",AC839=""),"",IF(OR(LEFT(AA839,2)="L0",LEFT(AA839,2)="L1",Y839="No Iniciado"),"CRÍTICO - Incumplimiento Normativo SEPS",IF(AND(Y839="Implementado",Z839&lt;&gt;"",OR(LEFT(AA839,2)="L4",LEFT(AA839,2)="L5"),AB839&lt;&gt;"",AC839&lt;&gt;"",AC839&lt;&gt;"N/A"),"CONFORME - Control Efectivo ISO 27001","OBSERVACIÓN - Revisar Controles")))</f>
        <v/>
      </c>
    </row>
    <row r="840">
      <c r="A840" s="99"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c r="AD840">
        <f>IF(AND(Y840="",Z840="",AA840="",AB840="",AC840=""),"",IF(OR(LEFT(AA840,2)="L0",LEFT(AA840,2)="L1",Y840="No Iniciado"),"CRÍTICO - Incumplimiento Normativo SEPS",IF(AND(Y840="Implementado",Z840&lt;&gt;"",OR(LEFT(AA840,2)="L4",LEFT(AA840,2)="L5"),AB840&lt;&gt;"",AC840&lt;&gt;"",AC840&lt;&gt;"N/A"),"CONFORME - Control Efectivo ISO 27001","OBSERVACIÓN - Revisar Controles")))</f>
        <v/>
      </c>
    </row>
    <row r="841">
      <c r="A841" s="99"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c r="AD841">
        <f>IF(AND(Y841="",Z841="",AA841="",AB841="",AC841=""),"",IF(OR(LEFT(AA841,2)="L0",LEFT(AA841,2)="L1",Y841="No Iniciado"),"CRÍTICO - Incumplimiento Normativo SEPS",IF(AND(Y841="Implementado",Z841&lt;&gt;"",OR(LEFT(AA841,2)="L4",LEFT(AA841,2)="L5"),AB841&lt;&gt;"",AC841&lt;&gt;"",AC841&lt;&gt;"N/A"),"CONFORME - Control Efectivo ISO 27001","OBSERVACIÓN - Revisar Controles")))</f>
        <v/>
      </c>
    </row>
    <row r="842">
      <c r="A842" s="99"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c r="AD842">
        <f>IF(AND(Y842="",Z842="",AA842="",AB842="",AC842=""),"",IF(OR(LEFT(AA842,2)="L0",LEFT(AA842,2)="L1",Y842="No Iniciado"),"CRÍTICO - Incumplimiento Normativo SEPS",IF(AND(Y842="Implementado",Z842&lt;&gt;"",OR(LEFT(AA842,2)="L4",LEFT(AA842,2)="L5"),AB842&lt;&gt;"",AC842&lt;&gt;"",AC842&lt;&gt;"N/A"),"CONFORME - Control Efectivo ISO 27001","OBSERVACIÓN - Revisar Controles")))</f>
        <v/>
      </c>
    </row>
    <row r="843">
      <c r="A843" s="99"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c r="AD843">
        <f>IF(AND(Y843="",Z843="",AA843="",AB843="",AC843=""),"",IF(OR(LEFT(AA843,2)="L0",LEFT(AA843,2)="L1",Y843="No Iniciado"),"CRÍTICO - Incumplimiento Normativo SEPS",IF(AND(Y843="Implementado",Z843&lt;&gt;"",OR(LEFT(AA843,2)="L4",LEFT(AA843,2)="L5"),AB843&lt;&gt;"",AC843&lt;&gt;"",AC843&lt;&gt;"N/A"),"CONFORME - Control Efectivo ISO 27001","OBSERVACIÓN - Revisar Controles")))</f>
        <v/>
      </c>
    </row>
    <row r="844">
      <c r="A844" s="99"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c r="AD844">
        <f>IF(AND(Y844="",Z844="",AA844="",AB844="",AC844=""),"",IF(OR(LEFT(AA844,2)="L0",LEFT(AA844,2)="L1",Y844="No Iniciado"),"CRÍTICO - Incumplimiento Normativo SEPS",IF(AND(Y844="Implementado",Z844&lt;&gt;"",OR(LEFT(AA844,2)="L4",LEFT(AA844,2)="L5"),AB844&lt;&gt;"",AC844&lt;&gt;"",AC844&lt;&gt;"N/A"),"CONFORME - Control Efectivo ISO 27001","OBSERVACIÓN - Revisar Controles")))</f>
        <v/>
      </c>
    </row>
    <row r="845">
      <c r="A845" s="99"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c r="AD845">
        <f>IF(AND(Y845="",Z845="",AA845="",AB845="",AC845=""),"",IF(OR(LEFT(AA845,2)="L0",LEFT(AA845,2)="L1",Y845="No Iniciado"),"CRÍTICO - Incumplimiento Normativo SEPS",IF(AND(Y845="Implementado",Z845&lt;&gt;"",OR(LEFT(AA845,2)="L4",LEFT(AA845,2)="L5"),AB845&lt;&gt;"",AC845&lt;&gt;"",AC845&lt;&gt;"N/A"),"CONFORME - Control Efectivo ISO 27001","OBSERVACIÓN - Revisar Controles")))</f>
        <v/>
      </c>
    </row>
    <row r="846">
      <c r="A846" s="99"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c r="AD846">
        <f>IF(AND(Y846="",Z846="",AA846="",AB846="",AC846=""),"",IF(OR(LEFT(AA846,2)="L0",LEFT(AA846,2)="L1",Y846="No Iniciado"),"CRÍTICO - Incumplimiento Normativo SEPS",IF(AND(Y846="Implementado",Z846&lt;&gt;"",OR(LEFT(AA846,2)="L4",LEFT(AA846,2)="L5"),AB846&lt;&gt;"",AC846&lt;&gt;"",AC846&lt;&gt;"N/A"),"CONFORME - Control Efectivo ISO 27001","OBSERVACIÓN - Revisar Controles")))</f>
        <v/>
      </c>
    </row>
    <row r="847">
      <c r="A847" s="99"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c r="AD847">
        <f>IF(AND(Y847="",Z847="",AA847="",AB847="",AC847=""),"",IF(OR(LEFT(AA847,2)="L0",LEFT(AA847,2)="L1",Y847="No Iniciado"),"CRÍTICO - Incumplimiento Normativo SEPS",IF(AND(Y847="Implementado",Z847&lt;&gt;"",OR(LEFT(AA847,2)="L4",LEFT(AA847,2)="L5"),AB847&lt;&gt;"",AC847&lt;&gt;"",AC847&lt;&gt;"N/A"),"CONFORME - Control Efectivo ISO 27001","OBSERVACIÓN - Revisar Controles")))</f>
        <v/>
      </c>
    </row>
    <row r="848">
      <c r="A848" s="99"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c r="AD848">
        <f>IF(AND(Y848="",Z848="",AA848="",AB848="",AC848=""),"",IF(OR(LEFT(AA848,2)="L0",LEFT(AA848,2)="L1",Y848="No Iniciado"),"CRÍTICO - Incumplimiento Normativo SEPS",IF(AND(Y848="Implementado",Z848&lt;&gt;"",OR(LEFT(AA848,2)="L4",LEFT(AA848,2)="L5"),AB848&lt;&gt;"",AC848&lt;&gt;"",AC848&lt;&gt;"N/A"),"CONFORME - Control Efectivo ISO 27001","OBSERVACIÓN - Revisar Controles")))</f>
        <v/>
      </c>
    </row>
    <row r="849">
      <c r="A849" s="99"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c r="AD849">
        <f>IF(AND(Y849="",Z849="",AA849="",AB849="",AC849=""),"",IF(OR(LEFT(AA849,2)="L0",LEFT(AA849,2)="L1",Y849="No Iniciado"),"CRÍTICO - Incumplimiento Normativo SEPS",IF(AND(Y849="Implementado",Z849&lt;&gt;"",OR(LEFT(AA849,2)="L4",LEFT(AA849,2)="L5"),AB849&lt;&gt;"",AC849&lt;&gt;"",AC849&lt;&gt;"N/A"),"CONFORME - Control Efectivo ISO 27001","OBSERVACIÓN - Revisar Controles")))</f>
        <v/>
      </c>
    </row>
    <row r="850">
      <c r="A850" s="99"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c r="AD850">
        <f>IF(AND(Y850="",Z850="",AA850="",AB850="",AC850=""),"",IF(OR(LEFT(AA850,2)="L0",LEFT(AA850,2)="L1",Y850="No Iniciado"),"CRÍTICO - Incumplimiento Normativo SEPS",IF(AND(Y850="Implementado",Z850&lt;&gt;"",OR(LEFT(AA850,2)="L4",LEFT(AA850,2)="L5"),AB850&lt;&gt;"",AC850&lt;&gt;"",AC850&lt;&gt;"N/A"),"CONFORME - Control Efectivo ISO 27001","OBSERVACIÓN - Revisar Controles")))</f>
        <v/>
      </c>
    </row>
    <row r="851">
      <c r="A851" s="99"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c r="AD851">
        <f>IF(AND(Y851="",Z851="",AA851="",AB851="",AC851=""),"",IF(OR(LEFT(AA851,2)="L0",LEFT(AA851,2)="L1",Y851="No Iniciado"),"CRÍTICO - Incumplimiento Normativo SEPS",IF(AND(Y851="Implementado",Z851&lt;&gt;"",OR(LEFT(AA851,2)="L4",LEFT(AA851,2)="L5"),AB851&lt;&gt;"",AC851&lt;&gt;"",AC851&lt;&gt;"N/A"),"CONFORME - Control Efectivo ISO 27001","OBSERVACIÓN - Revisar Controles")))</f>
        <v/>
      </c>
    </row>
    <row r="852">
      <c r="A852" s="99"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c r="AD852">
        <f>IF(AND(Y852="",Z852="",AA852="",AB852="",AC852=""),"",IF(OR(LEFT(AA852,2)="L0",LEFT(AA852,2)="L1",Y852="No Iniciado"),"CRÍTICO - Incumplimiento Normativo SEPS",IF(AND(Y852="Implementado",Z852&lt;&gt;"",OR(LEFT(AA852,2)="L4",LEFT(AA852,2)="L5"),AB852&lt;&gt;"",AC852&lt;&gt;"",AC852&lt;&gt;"N/A"),"CONFORME - Control Efectivo ISO 27001","OBSERVACIÓN - Revisar Controles")))</f>
        <v/>
      </c>
    </row>
    <row r="853">
      <c r="A853" s="99"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c r="AD853">
        <f>IF(AND(Y853="",Z853="",AA853="",AB853="",AC853=""),"",IF(OR(LEFT(AA853,2)="L0",LEFT(AA853,2)="L1",Y853="No Iniciado"),"CRÍTICO - Incumplimiento Normativo SEPS",IF(AND(Y853="Implementado",Z853&lt;&gt;"",OR(LEFT(AA853,2)="L4",LEFT(AA853,2)="L5"),AB853&lt;&gt;"",AC853&lt;&gt;"",AC853&lt;&gt;"N/A"),"CONFORME - Control Efectivo ISO 27001","OBSERVACIÓN - Revisar Controles")))</f>
        <v/>
      </c>
    </row>
    <row r="854">
      <c r="A854" s="99"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c r="AD854">
        <f>IF(AND(Y854="",Z854="",AA854="",AB854="",AC854=""),"",IF(OR(LEFT(AA854,2)="L0",LEFT(AA854,2)="L1",Y854="No Iniciado"),"CRÍTICO - Incumplimiento Normativo SEPS",IF(AND(Y854="Implementado",Z854&lt;&gt;"",OR(LEFT(AA854,2)="L4",LEFT(AA854,2)="L5"),AB854&lt;&gt;"",AC854&lt;&gt;"",AC854&lt;&gt;"N/A"),"CONFORME - Control Efectivo ISO 27001","OBSERVACIÓN - Revisar Controles")))</f>
        <v/>
      </c>
    </row>
    <row r="855">
      <c r="A855" s="99"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c r="AD855">
        <f>IF(AND(Y855="",Z855="",AA855="",AB855="",AC855=""),"",IF(OR(LEFT(AA855,2)="L0",LEFT(AA855,2)="L1",Y855="No Iniciado"),"CRÍTICO - Incumplimiento Normativo SEPS",IF(AND(Y855="Implementado",Z855&lt;&gt;"",OR(LEFT(AA855,2)="L4",LEFT(AA855,2)="L5"),AB855&lt;&gt;"",AC855&lt;&gt;"",AC855&lt;&gt;"N/A"),"CONFORME - Control Efectivo ISO 27001","OBSERVACIÓN - Revisar Controles")))</f>
        <v/>
      </c>
    </row>
    <row r="856">
      <c r="A856" s="99"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c r="AD856">
        <f>IF(AND(Y856="",Z856="",AA856="",AB856="",AC856=""),"",IF(OR(LEFT(AA856,2)="L0",LEFT(AA856,2)="L1",Y856="No Iniciado"),"CRÍTICO - Incumplimiento Normativo SEPS",IF(AND(Y856="Implementado",Z856&lt;&gt;"",OR(LEFT(AA856,2)="L4",LEFT(AA856,2)="L5"),AB856&lt;&gt;"",AC856&lt;&gt;"",AC856&lt;&gt;"N/A"),"CONFORME - Control Efectivo ISO 27001","OBSERVACIÓN - Revisar Controles")))</f>
        <v/>
      </c>
    </row>
    <row r="857">
      <c r="A857" s="99"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c r="AD857">
        <f>IF(AND(Y857="",Z857="",AA857="",AB857="",AC857=""),"",IF(OR(LEFT(AA857,2)="L0",LEFT(AA857,2)="L1",Y857="No Iniciado"),"CRÍTICO - Incumplimiento Normativo SEPS",IF(AND(Y857="Implementado",Z857&lt;&gt;"",OR(LEFT(AA857,2)="L4",LEFT(AA857,2)="L5"),AB857&lt;&gt;"",AC857&lt;&gt;"",AC857&lt;&gt;"N/A"),"CONFORME - Control Efectivo ISO 27001","OBSERVACIÓN - Revisar Controles")))</f>
        <v/>
      </c>
    </row>
    <row r="858">
      <c r="A858" s="99"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c r="AD858">
        <f>IF(AND(Y858="",Z858="",AA858="",AB858="",AC858=""),"",IF(OR(LEFT(AA858,2)="L0",LEFT(AA858,2)="L1",Y858="No Iniciado"),"CRÍTICO - Incumplimiento Normativo SEPS",IF(AND(Y858="Implementado",Z858&lt;&gt;"",OR(LEFT(AA858,2)="L4",LEFT(AA858,2)="L5"),AB858&lt;&gt;"",AC858&lt;&gt;"",AC858&lt;&gt;"N/A"),"CONFORME - Control Efectivo ISO 27001","OBSERVACIÓN - Revisar Controles")))</f>
        <v/>
      </c>
    </row>
    <row r="859">
      <c r="A859" s="99"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c r="AD859">
        <f>IF(AND(Y859="",Z859="",AA859="",AB859="",AC859=""),"",IF(OR(LEFT(AA859,2)="L0",LEFT(AA859,2)="L1",Y859="No Iniciado"),"CRÍTICO - Incumplimiento Normativo SEPS",IF(AND(Y859="Implementado",Z859&lt;&gt;"",OR(LEFT(AA859,2)="L4",LEFT(AA859,2)="L5"),AB859&lt;&gt;"",AC859&lt;&gt;"",AC859&lt;&gt;"N/A"),"CONFORME - Control Efectivo ISO 27001","OBSERVACIÓN - Revisar Controles")))</f>
        <v/>
      </c>
    </row>
    <row r="860">
      <c r="A860" s="99"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c r="AD860">
        <f>IF(AND(Y860="",Z860="",AA860="",AB860="",AC860=""),"",IF(OR(LEFT(AA860,2)="L0",LEFT(AA860,2)="L1",Y860="No Iniciado"),"CRÍTICO - Incumplimiento Normativo SEPS",IF(AND(Y860="Implementado",Z860&lt;&gt;"",OR(LEFT(AA860,2)="L4",LEFT(AA860,2)="L5"),AB860&lt;&gt;"",AC860&lt;&gt;"",AC860&lt;&gt;"N/A"),"CONFORME - Control Efectivo ISO 27001","OBSERVACIÓN - Revisar Controles")))</f>
        <v/>
      </c>
    </row>
    <row r="861">
      <c r="A861" s="99"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c r="AD861">
        <f>IF(AND(Y861="",Z861="",AA861="",AB861="",AC861=""),"",IF(OR(LEFT(AA861,2)="L0",LEFT(AA861,2)="L1",Y861="No Iniciado"),"CRÍTICO - Incumplimiento Normativo SEPS",IF(AND(Y861="Implementado",Z861&lt;&gt;"",OR(LEFT(AA861,2)="L4",LEFT(AA861,2)="L5"),AB861&lt;&gt;"",AC861&lt;&gt;"",AC861&lt;&gt;"N/A"),"CONFORME - Control Efectivo ISO 27001","OBSERVACIÓN - Revisar Controles")))</f>
        <v/>
      </c>
    </row>
    <row r="862">
      <c r="A862" s="99"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c r="AD862">
        <f>IF(AND(Y862="",Z862="",AA862="",AB862="",AC862=""),"",IF(OR(LEFT(AA862,2)="L0",LEFT(AA862,2)="L1",Y862="No Iniciado"),"CRÍTICO - Incumplimiento Normativo SEPS",IF(AND(Y862="Implementado",Z862&lt;&gt;"",OR(LEFT(AA862,2)="L4",LEFT(AA862,2)="L5"),AB862&lt;&gt;"",AC862&lt;&gt;"",AC862&lt;&gt;"N/A"),"CONFORME - Control Efectivo ISO 27001","OBSERVACIÓN - Revisar Controles")))</f>
        <v/>
      </c>
    </row>
    <row r="863">
      <c r="A863" s="99"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c r="AD863">
        <f>IF(AND(Y863="",Z863="",AA863="",AB863="",AC863=""),"",IF(OR(LEFT(AA863,2)="L0",LEFT(AA863,2)="L1",Y863="No Iniciado"),"CRÍTICO - Incumplimiento Normativo SEPS",IF(AND(Y863="Implementado",Z863&lt;&gt;"",OR(LEFT(AA863,2)="L4",LEFT(AA863,2)="L5"),AB863&lt;&gt;"",AC863&lt;&gt;"",AC863&lt;&gt;"N/A"),"CONFORME - Control Efectivo ISO 27001","OBSERVACIÓN - Revisar Controles")))</f>
        <v/>
      </c>
    </row>
    <row r="864">
      <c r="A864" s="99"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c r="AD864">
        <f>IF(AND(Y864="",Z864="",AA864="",AB864="",AC864=""),"",IF(OR(LEFT(AA864,2)="L0",LEFT(AA864,2)="L1",Y864="No Iniciado"),"CRÍTICO - Incumplimiento Normativo SEPS",IF(AND(Y864="Implementado",Z864&lt;&gt;"",OR(LEFT(AA864,2)="L4",LEFT(AA864,2)="L5"),AB864&lt;&gt;"",AC864&lt;&gt;"",AC864&lt;&gt;"N/A"),"CONFORME - Control Efectivo ISO 27001","OBSERVACIÓN - Revisar Controles")))</f>
        <v/>
      </c>
    </row>
    <row r="865">
      <c r="A865" s="99"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c r="AD865">
        <f>IF(AND(Y865="",Z865="",AA865="",AB865="",AC865=""),"",IF(OR(LEFT(AA865,2)="L0",LEFT(AA865,2)="L1",Y865="No Iniciado"),"CRÍTICO - Incumplimiento Normativo SEPS",IF(AND(Y865="Implementado",Z865&lt;&gt;"",OR(LEFT(AA865,2)="L4",LEFT(AA865,2)="L5"),AB865&lt;&gt;"",AC865&lt;&gt;"",AC865&lt;&gt;"N/A"),"CONFORME - Control Efectivo ISO 27001","OBSERVACIÓN - Revisar Controles")))</f>
        <v/>
      </c>
    </row>
    <row r="866">
      <c r="A866" s="99"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c r="AD866">
        <f>IF(AND(Y866="",Z866="",AA866="",AB866="",AC866=""),"",IF(OR(LEFT(AA866,2)="L0",LEFT(AA866,2)="L1",Y866="No Iniciado"),"CRÍTICO - Incumplimiento Normativo SEPS",IF(AND(Y866="Implementado",Z866&lt;&gt;"",OR(LEFT(AA866,2)="L4",LEFT(AA866,2)="L5"),AB866&lt;&gt;"",AC866&lt;&gt;"",AC866&lt;&gt;"N/A"),"CONFORME - Control Efectivo ISO 27001","OBSERVACIÓN - Revisar Controles")))</f>
        <v/>
      </c>
    </row>
    <row r="867">
      <c r="A867" s="99"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c r="AD867">
        <f>IF(AND(Y867="",Z867="",AA867="",AB867="",AC867=""),"",IF(OR(LEFT(AA867,2)="L0",LEFT(AA867,2)="L1",Y867="No Iniciado"),"CRÍTICO - Incumplimiento Normativo SEPS",IF(AND(Y867="Implementado",Z867&lt;&gt;"",OR(LEFT(AA867,2)="L4",LEFT(AA867,2)="L5"),AB867&lt;&gt;"",AC867&lt;&gt;"",AC867&lt;&gt;"N/A"),"CONFORME - Control Efectivo ISO 27001","OBSERVACIÓN - Revisar Controles")))</f>
        <v/>
      </c>
    </row>
    <row r="868">
      <c r="A868" s="99"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c r="AD868">
        <f>IF(AND(Y868="",Z868="",AA868="",AB868="",AC868=""),"",IF(OR(LEFT(AA868,2)="L0",LEFT(AA868,2)="L1",Y868="No Iniciado"),"CRÍTICO - Incumplimiento Normativo SEPS",IF(AND(Y868="Implementado",Z868&lt;&gt;"",OR(LEFT(AA868,2)="L4",LEFT(AA868,2)="L5"),AB868&lt;&gt;"",AC868&lt;&gt;"",AC868&lt;&gt;"N/A"),"CONFORME - Control Efectivo ISO 27001","OBSERVACIÓN - Revisar Controles")))</f>
        <v/>
      </c>
    </row>
    <row r="869">
      <c r="A869" s="99"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c r="AD869">
        <f>IF(AND(Y869="",Z869="",AA869="",AB869="",AC869=""),"",IF(OR(LEFT(AA869,2)="L0",LEFT(AA869,2)="L1",Y869="No Iniciado"),"CRÍTICO - Incumplimiento Normativo SEPS",IF(AND(Y869="Implementado",Z869&lt;&gt;"",OR(LEFT(AA869,2)="L4",LEFT(AA869,2)="L5"),AB869&lt;&gt;"",AC869&lt;&gt;"",AC869&lt;&gt;"N/A"),"CONFORME - Control Efectivo ISO 27001","OBSERVACIÓN - Revisar Controles")))</f>
        <v/>
      </c>
    </row>
    <row r="870">
      <c r="A870" s="99"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c r="AD870">
        <f>IF(AND(Y870="",Z870="",AA870="",AB870="",AC870=""),"",IF(OR(LEFT(AA870,2)="L0",LEFT(AA870,2)="L1",Y870="No Iniciado"),"CRÍTICO - Incumplimiento Normativo SEPS",IF(AND(Y870="Implementado",Z870&lt;&gt;"",OR(LEFT(AA870,2)="L4",LEFT(AA870,2)="L5"),AB870&lt;&gt;"",AC870&lt;&gt;"",AC870&lt;&gt;"N/A"),"CONFORME - Control Efectivo ISO 27001","OBSERVACIÓN - Revisar Controles")))</f>
        <v/>
      </c>
    </row>
    <row r="871">
      <c r="A871" s="99"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c r="AD871">
        <f>IF(AND(Y871="",Z871="",AA871="",AB871="",AC871=""),"",IF(OR(LEFT(AA871,2)="L0",LEFT(AA871,2)="L1",Y871="No Iniciado"),"CRÍTICO - Incumplimiento Normativo SEPS",IF(AND(Y871="Implementado",Z871&lt;&gt;"",OR(LEFT(AA871,2)="L4",LEFT(AA871,2)="L5"),AB871&lt;&gt;"",AC871&lt;&gt;"",AC871&lt;&gt;"N/A"),"CONFORME - Control Efectivo ISO 27001","OBSERVACIÓN - Revisar Controles")))</f>
        <v/>
      </c>
    </row>
    <row r="872">
      <c r="A872" s="99"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c r="AD872">
        <f>IF(AND(Y872="",Z872="",AA872="",AB872="",AC872=""),"",IF(OR(LEFT(AA872,2)="L0",LEFT(AA872,2)="L1",Y872="No Iniciado"),"CRÍTICO - Incumplimiento Normativo SEPS",IF(AND(Y872="Implementado",Z872&lt;&gt;"",OR(LEFT(AA872,2)="L4",LEFT(AA872,2)="L5"),AB872&lt;&gt;"",AC872&lt;&gt;"",AC872&lt;&gt;"N/A"),"CONFORME - Control Efectivo ISO 27001","OBSERVACIÓN - Revisar Controles")))</f>
        <v/>
      </c>
    </row>
    <row r="873">
      <c r="A873" s="99"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c r="AD873">
        <f>IF(AND(Y873="",Z873="",AA873="",AB873="",AC873=""),"",IF(OR(LEFT(AA873,2)="L0",LEFT(AA873,2)="L1",Y873="No Iniciado"),"CRÍTICO - Incumplimiento Normativo SEPS",IF(AND(Y873="Implementado",Z873&lt;&gt;"",OR(LEFT(AA873,2)="L4",LEFT(AA873,2)="L5"),AB873&lt;&gt;"",AC873&lt;&gt;"",AC873&lt;&gt;"N/A"),"CONFORME - Control Efectivo ISO 27001","OBSERVACIÓN - Revisar Controles")))</f>
        <v/>
      </c>
    </row>
    <row r="874">
      <c r="A874" s="99"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c r="AD874">
        <f>IF(AND(Y874="",Z874="",AA874="",AB874="",AC874=""),"",IF(OR(LEFT(AA874,2)="L0",LEFT(AA874,2)="L1",Y874="No Iniciado"),"CRÍTICO - Incumplimiento Normativo SEPS",IF(AND(Y874="Implementado",Z874&lt;&gt;"",OR(LEFT(AA874,2)="L4",LEFT(AA874,2)="L5"),AB874&lt;&gt;"",AC874&lt;&gt;"",AC874&lt;&gt;"N/A"),"CONFORME - Control Efectivo ISO 27001","OBSERVACIÓN - Revisar Controles")))</f>
        <v/>
      </c>
    </row>
    <row r="875">
      <c r="A875" s="99"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c r="AD875">
        <f>IF(AND(Y875="",Z875="",AA875="",AB875="",AC875=""),"",IF(OR(LEFT(AA875,2)="L0",LEFT(AA875,2)="L1",Y875="No Iniciado"),"CRÍTICO - Incumplimiento Normativo SEPS",IF(AND(Y875="Implementado",Z875&lt;&gt;"",OR(LEFT(AA875,2)="L4",LEFT(AA875,2)="L5"),AB875&lt;&gt;"",AC875&lt;&gt;"",AC875&lt;&gt;"N/A"),"CONFORME - Control Efectivo ISO 27001","OBSERVACIÓN - Revisar Controles")))</f>
        <v/>
      </c>
    </row>
    <row r="876">
      <c r="A876" s="99"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c r="AD876">
        <f>IF(AND(Y876="",Z876="",AA876="",AB876="",AC876=""),"",IF(OR(LEFT(AA876,2)="L0",LEFT(AA876,2)="L1",Y876="No Iniciado"),"CRÍTICO - Incumplimiento Normativo SEPS",IF(AND(Y876="Implementado",Z876&lt;&gt;"",OR(LEFT(AA876,2)="L4",LEFT(AA876,2)="L5"),AB876&lt;&gt;"",AC876&lt;&gt;"",AC876&lt;&gt;"N/A"),"CONFORME - Control Efectivo ISO 27001","OBSERVACIÓN - Revisar Controles")))</f>
        <v/>
      </c>
    </row>
    <row r="877">
      <c r="A877" s="99"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c r="AD877">
        <f>IF(AND(Y877="",Z877="",AA877="",AB877="",AC877=""),"",IF(OR(LEFT(AA877,2)="L0",LEFT(AA877,2)="L1",Y877="No Iniciado"),"CRÍTICO - Incumplimiento Normativo SEPS",IF(AND(Y877="Implementado",Z877&lt;&gt;"",OR(LEFT(AA877,2)="L4",LEFT(AA877,2)="L5"),AB877&lt;&gt;"",AC877&lt;&gt;"",AC877&lt;&gt;"N/A"),"CONFORME - Control Efectivo ISO 27001","OBSERVACIÓN - Revisar Controles")))</f>
        <v/>
      </c>
    </row>
    <row r="878">
      <c r="A878" s="99"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c r="AD878">
        <f>IF(AND(Y878="",Z878="",AA878="",AB878="",AC878=""),"",IF(OR(LEFT(AA878,2)="L0",LEFT(AA878,2)="L1",Y878="No Iniciado"),"CRÍTICO - Incumplimiento Normativo SEPS",IF(AND(Y878="Implementado",Z878&lt;&gt;"",OR(LEFT(AA878,2)="L4",LEFT(AA878,2)="L5"),AB878&lt;&gt;"",AC878&lt;&gt;"",AC878&lt;&gt;"N/A"),"CONFORME - Control Efectivo ISO 27001","OBSERVACIÓN - Revisar Controles")))</f>
        <v/>
      </c>
    </row>
    <row r="879">
      <c r="A879" s="99"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c r="AD879">
        <f>IF(AND(Y879="",Z879="",AA879="",AB879="",AC879=""),"",IF(OR(LEFT(AA879,2)="L0",LEFT(AA879,2)="L1",Y879="No Iniciado"),"CRÍTICO - Incumplimiento Normativo SEPS",IF(AND(Y879="Implementado",Z879&lt;&gt;"",OR(LEFT(AA879,2)="L4",LEFT(AA879,2)="L5"),AB879&lt;&gt;"",AC879&lt;&gt;"",AC879&lt;&gt;"N/A"),"CONFORME - Control Efectivo ISO 27001","OBSERVACIÓN - Revisar Controles")))</f>
        <v/>
      </c>
    </row>
    <row r="880">
      <c r="A880" s="99"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c r="AD880">
        <f>IF(AND(Y880="",Z880="",AA880="",AB880="",AC880=""),"",IF(OR(LEFT(AA880,2)="L0",LEFT(AA880,2)="L1",Y880="No Iniciado"),"CRÍTICO - Incumplimiento Normativo SEPS",IF(AND(Y880="Implementado",Z880&lt;&gt;"",OR(LEFT(AA880,2)="L4",LEFT(AA880,2)="L5"),AB880&lt;&gt;"",AC880&lt;&gt;"",AC880&lt;&gt;"N/A"),"CONFORME - Control Efectivo ISO 27001","OBSERVACIÓN - Revisar Controles")))</f>
        <v/>
      </c>
    </row>
    <row r="881">
      <c r="A881" s="99"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c r="AD881">
        <f>IF(AND(Y881="",Z881="",AA881="",AB881="",AC881=""),"",IF(OR(LEFT(AA881,2)="L0",LEFT(AA881,2)="L1",Y881="No Iniciado"),"CRÍTICO - Incumplimiento Normativo SEPS",IF(AND(Y881="Implementado",Z881&lt;&gt;"",OR(LEFT(AA881,2)="L4",LEFT(AA881,2)="L5"),AB881&lt;&gt;"",AC881&lt;&gt;"",AC881&lt;&gt;"N/A"),"CONFORME - Control Efectivo ISO 27001","OBSERVACIÓN - Revisar Controles")))</f>
        <v/>
      </c>
    </row>
    <row r="882">
      <c r="A882" s="99"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c r="AD882">
        <f>IF(AND(Y882="",Z882="",AA882="",AB882="",AC882=""),"",IF(OR(LEFT(AA882,2)="L0",LEFT(AA882,2)="L1",Y882="No Iniciado"),"CRÍTICO - Incumplimiento Normativo SEPS",IF(AND(Y882="Implementado",Z882&lt;&gt;"",OR(LEFT(AA882,2)="L4",LEFT(AA882,2)="L5"),AB882&lt;&gt;"",AC882&lt;&gt;"",AC882&lt;&gt;"N/A"),"CONFORME - Control Efectivo ISO 27001","OBSERVACIÓN - Revisar Controles")))</f>
        <v/>
      </c>
    </row>
    <row r="883">
      <c r="A883" s="99"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c r="AD883">
        <f>IF(AND(Y883="",Z883="",AA883="",AB883="",AC883=""),"",IF(OR(LEFT(AA883,2)="L0",LEFT(AA883,2)="L1",Y883="No Iniciado"),"CRÍTICO - Incumplimiento Normativo SEPS",IF(AND(Y883="Implementado",Z883&lt;&gt;"",OR(LEFT(AA883,2)="L4",LEFT(AA883,2)="L5"),AB883&lt;&gt;"",AC883&lt;&gt;"",AC883&lt;&gt;"N/A"),"CONFORME - Control Efectivo ISO 27001","OBSERVACIÓN - Revisar Controles")))</f>
        <v/>
      </c>
    </row>
    <row r="884">
      <c r="A884" s="99"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c r="AD884">
        <f>IF(AND(Y884="",Z884="",AA884="",AB884="",AC884=""),"",IF(OR(LEFT(AA884,2)="L0",LEFT(AA884,2)="L1",Y884="No Iniciado"),"CRÍTICO - Incumplimiento Normativo SEPS",IF(AND(Y884="Implementado",Z884&lt;&gt;"",OR(LEFT(AA884,2)="L4",LEFT(AA884,2)="L5"),AB884&lt;&gt;"",AC884&lt;&gt;"",AC884&lt;&gt;"N/A"),"CONFORME - Control Efectivo ISO 27001","OBSERVACIÓN - Revisar Controles")))</f>
        <v/>
      </c>
    </row>
    <row r="885">
      <c r="A885" s="99"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c r="AD885">
        <f>IF(AND(Y885="",Z885="",AA885="",AB885="",AC885=""),"",IF(OR(LEFT(AA885,2)="L0",LEFT(AA885,2)="L1",Y885="No Iniciado"),"CRÍTICO - Incumplimiento Normativo SEPS",IF(AND(Y885="Implementado",Z885&lt;&gt;"",OR(LEFT(AA885,2)="L4",LEFT(AA885,2)="L5"),AB885&lt;&gt;"",AC885&lt;&gt;"",AC885&lt;&gt;"N/A"),"CONFORME - Control Efectivo ISO 27001","OBSERVACIÓN - Revisar Controles")))</f>
        <v/>
      </c>
    </row>
    <row r="886">
      <c r="A886" s="99"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c r="AD886">
        <f>IF(AND(Y886="",Z886="",AA886="",AB886="",AC886=""),"",IF(OR(LEFT(AA886,2)="L0",LEFT(AA886,2)="L1",Y886="No Iniciado"),"CRÍTICO - Incumplimiento Normativo SEPS",IF(AND(Y886="Implementado",Z886&lt;&gt;"",OR(LEFT(AA886,2)="L4",LEFT(AA886,2)="L5"),AB886&lt;&gt;"",AC886&lt;&gt;"",AC886&lt;&gt;"N/A"),"CONFORME - Control Efectivo ISO 27001","OBSERVACIÓN - Revisar Controles")))</f>
        <v/>
      </c>
    </row>
    <row r="887">
      <c r="A887" s="99"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c r="AD887">
        <f>IF(AND(Y887="",Z887="",AA887="",AB887="",AC887=""),"",IF(OR(LEFT(AA887,2)="L0",LEFT(AA887,2)="L1",Y887="No Iniciado"),"CRÍTICO - Incumplimiento Normativo SEPS",IF(AND(Y887="Implementado",Z887&lt;&gt;"",OR(LEFT(AA887,2)="L4",LEFT(AA887,2)="L5"),AB887&lt;&gt;"",AC887&lt;&gt;"",AC887&lt;&gt;"N/A"),"CONFORME - Control Efectivo ISO 27001","OBSERVACIÓN - Revisar Controles")))</f>
        <v/>
      </c>
    </row>
    <row r="888">
      <c r="A888" s="99"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c r="AD888">
        <f>IF(AND(Y888="",Z888="",AA888="",AB888="",AC888=""),"",IF(OR(LEFT(AA888,2)="L0",LEFT(AA888,2)="L1",Y888="No Iniciado"),"CRÍTICO - Incumplimiento Normativo SEPS",IF(AND(Y888="Implementado",Z888&lt;&gt;"",OR(LEFT(AA888,2)="L4",LEFT(AA888,2)="L5"),AB888&lt;&gt;"",AC888&lt;&gt;"",AC888&lt;&gt;"N/A"),"CONFORME - Control Efectivo ISO 27001","OBSERVACIÓN - Revisar Controles")))</f>
        <v/>
      </c>
    </row>
    <row r="889">
      <c r="A889" s="99"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c r="AD889">
        <f>IF(AND(Y889="",Z889="",AA889="",AB889="",AC889=""),"",IF(OR(LEFT(AA889,2)="L0",LEFT(AA889,2)="L1",Y889="No Iniciado"),"CRÍTICO - Incumplimiento Normativo SEPS",IF(AND(Y889="Implementado",Z889&lt;&gt;"",OR(LEFT(AA889,2)="L4",LEFT(AA889,2)="L5"),AB889&lt;&gt;"",AC889&lt;&gt;"",AC889&lt;&gt;"N/A"),"CONFORME - Control Efectivo ISO 27001","OBSERVACIÓN - Revisar Controles")))</f>
        <v/>
      </c>
    </row>
    <row r="890">
      <c r="A890" s="99"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c r="AD890">
        <f>IF(AND(Y890="",Z890="",AA890="",AB890="",AC890=""),"",IF(OR(LEFT(AA890,2)="L0",LEFT(AA890,2)="L1",Y890="No Iniciado"),"CRÍTICO - Incumplimiento Normativo SEPS",IF(AND(Y890="Implementado",Z890&lt;&gt;"",OR(LEFT(AA890,2)="L4",LEFT(AA890,2)="L5"),AB890&lt;&gt;"",AC890&lt;&gt;"",AC890&lt;&gt;"N/A"),"CONFORME - Control Efectivo ISO 27001","OBSERVACIÓN - Revisar Controles")))</f>
        <v/>
      </c>
    </row>
    <row r="891">
      <c r="A891" s="99"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c r="AD891">
        <f>IF(AND(Y891="",Z891="",AA891="",AB891="",AC891=""),"",IF(OR(LEFT(AA891,2)="L0",LEFT(AA891,2)="L1",Y891="No Iniciado"),"CRÍTICO - Incumplimiento Normativo SEPS",IF(AND(Y891="Implementado",Z891&lt;&gt;"",OR(LEFT(AA891,2)="L4",LEFT(AA891,2)="L5"),AB891&lt;&gt;"",AC891&lt;&gt;"",AC891&lt;&gt;"N/A"),"CONFORME - Control Efectivo ISO 27001","OBSERVACIÓN - Revisar Controles")))</f>
        <v/>
      </c>
    </row>
    <row r="892">
      <c r="A892" s="99"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c r="AD892">
        <f>IF(AND(Y892="",Z892="",AA892="",AB892="",AC892=""),"",IF(OR(LEFT(AA892,2)="L0",LEFT(AA892,2)="L1",Y892="No Iniciado"),"CRÍTICO - Incumplimiento Normativo SEPS",IF(AND(Y892="Implementado",Z892&lt;&gt;"",OR(LEFT(AA892,2)="L4",LEFT(AA892,2)="L5"),AB892&lt;&gt;"",AC892&lt;&gt;"",AC892&lt;&gt;"N/A"),"CONFORME - Control Efectivo ISO 27001","OBSERVACIÓN - Revisar Controles")))</f>
        <v/>
      </c>
    </row>
    <row r="893">
      <c r="A893" s="99"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c r="AD893">
        <f>IF(AND(Y893="",Z893="",AA893="",AB893="",AC893=""),"",IF(OR(LEFT(AA893,2)="L0",LEFT(AA893,2)="L1",Y893="No Iniciado"),"CRÍTICO - Incumplimiento Normativo SEPS",IF(AND(Y893="Implementado",Z893&lt;&gt;"",OR(LEFT(AA893,2)="L4",LEFT(AA893,2)="L5"),AB893&lt;&gt;"",AC893&lt;&gt;"",AC893&lt;&gt;"N/A"),"CONFORME - Control Efectivo ISO 27001","OBSERVACIÓN - Revisar Controles")))</f>
        <v/>
      </c>
    </row>
    <row r="894">
      <c r="A894" s="99"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c r="AD894">
        <f>IF(AND(Y894="",Z894="",AA894="",AB894="",AC894=""),"",IF(OR(LEFT(AA894,2)="L0",LEFT(AA894,2)="L1",Y894="No Iniciado"),"CRÍTICO - Incumplimiento Normativo SEPS",IF(AND(Y894="Implementado",Z894&lt;&gt;"",OR(LEFT(AA894,2)="L4",LEFT(AA894,2)="L5"),AB894&lt;&gt;"",AC894&lt;&gt;"",AC894&lt;&gt;"N/A"),"CONFORME - Control Efectivo ISO 27001","OBSERVACIÓN - Revisar Controles")))</f>
        <v/>
      </c>
    </row>
    <row r="895">
      <c r="A895" s="99"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c r="AD895">
        <f>IF(AND(Y895="",Z895="",AA895="",AB895="",AC895=""),"",IF(OR(LEFT(AA895,2)="L0",LEFT(AA895,2)="L1",Y895="No Iniciado"),"CRÍTICO - Incumplimiento Normativo SEPS",IF(AND(Y895="Implementado",Z895&lt;&gt;"",OR(LEFT(AA895,2)="L4",LEFT(AA895,2)="L5"),AB895&lt;&gt;"",AC895&lt;&gt;"",AC895&lt;&gt;"N/A"),"CONFORME - Control Efectivo ISO 27001","OBSERVACIÓN - Revisar Controles")))</f>
        <v/>
      </c>
    </row>
    <row r="896">
      <c r="A896" s="99"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c r="AD896">
        <f>IF(AND(Y896="",Z896="",AA896="",AB896="",AC896=""),"",IF(OR(LEFT(AA896,2)="L0",LEFT(AA896,2)="L1",Y896="No Iniciado"),"CRÍTICO - Incumplimiento Normativo SEPS",IF(AND(Y896="Implementado",Z896&lt;&gt;"",OR(LEFT(AA896,2)="L4",LEFT(AA896,2)="L5"),AB896&lt;&gt;"",AC896&lt;&gt;"",AC896&lt;&gt;"N/A"),"CONFORME - Control Efectivo ISO 27001","OBSERVACIÓN - Revisar Controles")))</f>
        <v/>
      </c>
    </row>
    <row r="897">
      <c r="A897" s="99"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c r="AD897">
        <f>IF(AND(Y897="",Z897="",AA897="",AB897="",AC897=""),"",IF(OR(LEFT(AA897,2)="L0",LEFT(AA897,2)="L1",Y897="No Iniciado"),"CRÍTICO - Incumplimiento Normativo SEPS",IF(AND(Y897="Implementado",Z897&lt;&gt;"",OR(LEFT(AA897,2)="L4",LEFT(AA897,2)="L5"),AB897&lt;&gt;"",AC897&lt;&gt;"",AC897&lt;&gt;"N/A"),"CONFORME - Control Efectivo ISO 27001","OBSERVACIÓN - Revisar Controles")))</f>
        <v/>
      </c>
    </row>
    <row r="898">
      <c r="A898" s="99"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c r="AD898">
        <f>IF(AND(Y898="",Z898="",AA898="",AB898="",AC898=""),"",IF(OR(LEFT(AA898,2)="L0",LEFT(AA898,2)="L1",Y898="No Iniciado"),"CRÍTICO - Incumplimiento Normativo SEPS",IF(AND(Y898="Implementado",Z898&lt;&gt;"",OR(LEFT(AA898,2)="L4",LEFT(AA898,2)="L5"),AB898&lt;&gt;"",AC898&lt;&gt;"",AC898&lt;&gt;"N/A"),"CONFORME - Control Efectivo ISO 27001","OBSERVACIÓN - Revisar Controles")))</f>
        <v/>
      </c>
    </row>
    <row r="899">
      <c r="A899" s="99"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c r="AD899">
        <f>IF(AND(Y899="",Z899="",AA899="",AB899="",AC899=""),"",IF(OR(LEFT(AA899,2)="L0",LEFT(AA899,2)="L1",Y899="No Iniciado"),"CRÍTICO - Incumplimiento Normativo SEPS",IF(AND(Y899="Implementado",Z899&lt;&gt;"",OR(LEFT(AA899,2)="L4",LEFT(AA899,2)="L5"),AB899&lt;&gt;"",AC899&lt;&gt;"",AC899&lt;&gt;"N/A"),"CONFORME - Control Efectivo ISO 27001","OBSERVACIÓN - Revisar Controles")))</f>
        <v/>
      </c>
    </row>
    <row r="900">
      <c r="A900" s="99"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c r="AD900">
        <f>IF(AND(Y900="",Z900="",AA900="",AB900="",AC900=""),"",IF(OR(LEFT(AA900,2)="L0",LEFT(AA900,2)="L1",Y900="No Iniciado"),"CRÍTICO - Incumplimiento Normativo SEPS",IF(AND(Y900="Implementado",Z900&lt;&gt;"",OR(LEFT(AA900,2)="L4",LEFT(AA900,2)="L5"),AB900&lt;&gt;"",AC900&lt;&gt;"",AC900&lt;&gt;"N/A"),"CONFORME - Control Efectivo ISO 27001","OBSERVACIÓN - Revisar Controles")))</f>
        <v/>
      </c>
    </row>
    <row r="901">
      <c r="A901" s="99"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c r="AD901">
        <f>IF(AND(Y901="",Z901="",AA901="",AB901="",AC901=""),"",IF(OR(LEFT(AA901,2)="L0",LEFT(AA901,2)="L1",Y901="No Iniciado"),"CRÍTICO - Incumplimiento Normativo SEPS",IF(AND(Y901="Implementado",Z901&lt;&gt;"",OR(LEFT(AA901,2)="L4",LEFT(AA901,2)="L5"),AB901&lt;&gt;"",AC901&lt;&gt;"",AC901&lt;&gt;"N/A"),"CONFORME - Control Efectivo ISO 27001","OBSERVACIÓN - Revisar Controles")))</f>
        <v/>
      </c>
    </row>
    <row r="902">
      <c r="A902" s="99"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c r="AD902">
        <f>IF(AND(Y902="",Z902="",AA902="",AB902="",AC902=""),"",IF(OR(LEFT(AA902,2)="L0",LEFT(AA902,2)="L1",Y902="No Iniciado"),"CRÍTICO - Incumplimiento Normativo SEPS",IF(AND(Y902="Implementado",Z902&lt;&gt;"",OR(LEFT(AA902,2)="L4",LEFT(AA902,2)="L5"),AB902&lt;&gt;"",AC902&lt;&gt;"",AC902&lt;&gt;"N/A"),"CONFORME - Control Efectivo ISO 27001","OBSERVACIÓN - Revisar Controles")))</f>
        <v/>
      </c>
    </row>
    <row r="903">
      <c r="A903" s="99"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c r="AD903">
        <f>IF(AND(Y903="",Z903="",AA903="",AB903="",AC903=""),"",IF(OR(LEFT(AA903,2)="L0",LEFT(AA903,2)="L1",Y903="No Iniciado"),"CRÍTICO - Incumplimiento Normativo SEPS",IF(AND(Y903="Implementado",Z903&lt;&gt;"",OR(LEFT(AA903,2)="L4",LEFT(AA903,2)="L5"),AB903&lt;&gt;"",AC903&lt;&gt;"",AC903&lt;&gt;"N/A"),"CONFORME - Control Efectivo ISO 27001","OBSERVACIÓN - Revisar Controles")))</f>
        <v/>
      </c>
    </row>
    <row r="904">
      <c r="A904" s="99"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c r="AD904">
        <f>IF(AND(Y904="",Z904="",AA904="",AB904="",AC904=""),"",IF(OR(LEFT(AA904,2)="L0",LEFT(AA904,2)="L1",Y904="No Iniciado"),"CRÍTICO - Incumplimiento Normativo SEPS",IF(AND(Y904="Implementado",Z904&lt;&gt;"",OR(LEFT(AA904,2)="L4",LEFT(AA904,2)="L5"),AB904&lt;&gt;"",AC904&lt;&gt;"",AC904&lt;&gt;"N/A"),"CONFORME - Control Efectivo ISO 27001","OBSERVACIÓN - Revisar Controles")))</f>
        <v/>
      </c>
    </row>
    <row r="905">
      <c r="A905" s="99"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c r="AD905">
        <f>IF(AND(Y905="",Z905="",AA905="",AB905="",AC905=""),"",IF(OR(LEFT(AA905,2)="L0",LEFT(AA905,2)="L1",Y905="No Iniciado"),"CRÍTICO - Incumplimiento Normativo SEPS",IF(AND(Y905="Implementado",Z905&lt;&gt;"",OR(LEFT(AA905,2)="L4",LEFT(AA905,2)="L5"),AB905&lt;&gt;"",AC905&lt;&gt;"",AC905&lt;&gt;"N/A"),"CONFORME - Control Efectivo ISO 27001","OBSERVACIÓN - Revisar Controles")))</f>
        <v/>
      </c>
    </row>
    <row r="906">
      <c r="A906" s="99"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c r="AD906">
        <f>IF(AND(Y906="",Z906="",AA906="",AB906="",AC906=""),"",IF(OR(LEFT(AA906,2)="L0",LEFT(AA906,2)="L1",Y906="No Iniciado"),"CRÍTICO - Incumplimiento Normativo SEPS",IF(AND(Y906="Implementado",Z906&lt;&gt;"",OR(LEFT(AA906,2)="L4",LEFT(AA906,2)="L5"),AB906&lt;&gt;"",AC906&lt;&gt;"",AC906&lt;&gt;"N/A"),"CONFORME - Control Efectivo ISO 27001","OBSERVACIÓN - Revisar Controles")))</f>
        <v/>
      </c>
    </row>
    <row r="907">
      <c r="A907" s="99"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c r="AD907">
        <f>IF(AND(Y907="",Z907="",AA907="",AB907="",AC907=""),"",IF(OR(LEFT(AA907,2)="L0",LEFT(AA907,2)="L1",Y907="No Iniciado"),"CRÍTICO - Incumplimiento Normativo SEPS",IF(AND(Y907="Implementado",Z907&lt;&gt;"",OR(LEFT(AA907,2)="L4",LEFT(AA907,2)="L5"),AB907&lt;&gt;"",AC907&lt;&gt;"",AC907&lt;&gt;"N/A"),"CONFORME - Control Efectivo ISO 27001","OBSERVACIÓN - Revisar Controles")))</f>
        <v/>
      </c>
    </row>
    <row r="908">
      <c r="A908" s="99"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c r="AD908">
        <f>IF(AND(Y908="",Z908="",AA908="",AB908="",AC908=""),"",IF(OR(LEFT(AA908,2)="L0",LEFT(AA908,2)="L1",Y908="No Iniciado"),"CRÍTICO - Incumplimiento Normativo SEPS",IF(AND(Y908="Implementado",Z908&lt;&gt;"",OR(LEFT(AA908,2)="L4",LEFT(AA908,2)="L5"),AB908&lt;&gt;"",AC908&lt;&gt;"",AC908&lt;&gt;"N/A"),"CONFORME - Control Efectivo ISO 27001","OBSERVACIÓN - Revisar Controles")))</f>
        <v/>
      </c>
    </row>
    <row r="909">
      <c r="A909" s="99"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c r="AD909">
        <f>IF(AND(Y909="",Z909="",AA909="",AB909="",AC909=""),"",IF(OR(LEFT(AA909,2)="L0",LEFT(AA909,2)="L1",Y909="No Iniciado"),"CRÍTICO - Incumplimiento Normativo SEPS",IF(AND(Y909="Implementado",Z909&lt;&gt;"",OR(LEFT(AA909,2)="L4",LEFT(AA909,2)="L5"),AB909&lt;&gt;"",AC909&lt;&gt;"",AC909&lt;&gt;"N/A"),"CONFORME - Control Efectivo ISO 27001","OBSERVACIÓN - Revisar Controles")))</f>
        <v/>
      </c>
    </row>
    <row r="910">
      <c r="A910" s="99"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c r="AD910">
        <f>IF(AND(Y910="",Z910="",AA910="",AB910="",AC910=""),"",IF(OR(LEFT(AA910,2)="L0",LEFT(AA910,2)="L1",Y910="No Iniciado"),"CRÍTICO - Incumplimiento Normativo SEPS",IF(AND(Y910="Implementado",Z910&lt;&gt;"",OR(LEFT(AA910,2)="L4",LEFT(AA910,2)="L5"),AB910&lt;&gt;"",AC910&lt;&gt;"",AC910&lt;&gt;"N/A"),"CONFORME - Control Efectivo ISO 27001","OBSERVACIÓN - Revisar Controles")))</f>
        <v/>
      </c>
    </row>
    <row r="911">
      <c r="A911" s="99"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c r="AD911">
        <f>IF(AND(Y911="",Z911="",AA911="",AB911="",AC911=""),"",IF(OR(LEFT(AA911,2)="L0",LEFT(AA911,2)="L1",Y911="No Iniciado"),"CRÍTICO - Incumplimiento Normativo SEPS",IF(AND(Y911="Implementado",Z911&lt;&gt;"",OR(LEFT(AA911,2)="L4",LEFT(AA911,2)="L5"),AB911&lt;&gt;"",AC911&lt;&gt;"",AC911&lt;&gt;"N/A"),"CONFORME - Control Efectivo ISO 27001","OBSERVACIÓN - Revisar Controles")))</f>
        <v/>
      </c>
    </row>
    <row r="912">
      <c r="A912" s="99"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c r="AD912">
        <f>IF(AND(Y912="",Z912="",AA912="",AB912="",AC912=""),"",IF(OR(LEFT(AA912,2)="L0",LEFT(AA912,2)="L1",Y912="No Iniciado"),"CRÍTICO - Incumplimiento Normativo SEPS",IF(AND(Y912="Implementado",Z912&lt;&gt;"",OR(LEFT(AA912,2)="L4",LEFT(AA912,2)="L5"),AB912&lt;&gt;"",AC912&lt;&gt;"",AC912&lt;&gt;"N/A"),"CONFORME - Control Efectivo ISO 27001","OBSERVACIÓN - Revisar Controles")))</f>
        <v/>
      </c>
    </row>
    <row r="913">
      <c r="A913" s="99"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c r="AD913">
        <f>IF(AND(Y913="",Z913="",AA913="",AB913="",AC913=""),"",IF(OR(LEFT(AA913,2)="L0",LEFT(AA913,2)="L1",Y913="No Iniciado"),"CRÍTICO - Incumplimiento Normativo SEPS",IF(AND(Y913="Implementado",Z913&lt;&gt;"",OR(LEFT(AA913,2)="L4",LEFT(AA913,2)="L5"),AB913&lt;&gt;"",AC913&lt;&gt;"",AC913&lt;&gt;"N/A"),"CONFORME - Control Efectivo ISO 27001","OBSERVACIÓN - Revisar Controles")))</f>
        <v/>
      </c>
    </row>
    <row r="914">
      <c r="A914" s="99"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c r="AD914">
        <f>IF(AND(Y914="",Z914="",AA914="",AB914="",AC914=""),"",IF(OR(LEFT(AA914,2)="L0",LEFT(AA914,2)="L1",Y914="No Iniciado"),"CRÍTICO - Incumplimiento Normativo SEPS",IF(AND(Y914="Implementado",Z914&lt;&gt;"",OR(LEFT(AA914,2)="L4",LEFT(AA914,2)="L5"),AB914&lt;&gt;"",AC914&lt;&gt;"",AC914&lt;&gt;"N/A"),"CONFORME - Control Efectivo ISO 27001","OBSERVACIÓN - Revisar Controles")))</f>
        <v/>
      </c>
    </row>
    <row r="915">
      <c r="A915" s="99"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c r="AD915">
        <f>IF(AND(Y915="",Z915="",AA915="",AB915="",AC915=""),"",IF(OR(LEFT(AA915,2)="L0",LEFT(AA915,2)="L1",Y915="No Iniciado"),"CRÍTICO - Incumplimiento Normativo SEPS",IF(AND(Y915="Implementado",Z915&lt;&gt;"",OR(LEFT(AA915,2)="L4",LEFT(AA915,2)="L5"),AB915&lt;&gt;"",AC915&lt;&gt;"",AC915&lt;&gt;"N/A"),"CONFORME - Control Efectivo ISO 27001","OBSERVACIÓN - Revisar Controles")))</f>
        <v/>
      </c>
    </row>
    <row r="916">
      <c r="A916" s="99"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c r="AD916">
        <f>IF(AND(Y916="",Z916="",AA916="",AB916="",AC916=""),"",IF(OR(LEFT(AA916,2)="L0",LEFT(AA916,2)="L1",Y916="No Iniciado"),"CRÍTICO - Incumplimiento Normativo SEPS",IF(AND(Y916="Implementado",Z916&lt;&gt;"",OR(LEFT(AA916,2)="L4",LEFT(AA916,2)="L5"),AB916&lt;&gt;"",AC916&lt;&gt;"",AC916&lt;&gt;"N/A"),"CONFORME - Control Efectivo ISO 27001","OBSERVACIÓN - Revisar Controles")))</f>
        <v/>
      </c>
    </row>
    <row r="917">
      <c r="A917" s="99"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c r="AD917">
        <f>IF(AND(Y917="",Z917="",AA917="",AB917="",AC917=""),"",IF(OR(LEFT(AA917,2)="L0",LEFT(AA917,2)="L1",Y917="No Iniciado"),"CRÍTICO - Incumplimiento Normativo SEPS",IF(AND(Y917="Implementado",Z917&lt;&gt;"",OR(LEFT(AA917,2)="L4",LEFT(AA917,2)="L5"),AB917&lt;&gt;"",AC917&lt;&gt;"",AC917&lt;&gt;"N/A"),"CONFORME - Control Efectivo ISO 27001","OBSERVACIÓN - Revisar Controles")))</f>
        <v/>
      </c>
    </row>
    <row r="918">
      <c r="A918" s="99"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c r="AD918">
        <f>IF(AND(Y918="",Z918="",AA918="",AB918="",AC918=""),"",IF(OR(LEFT(AA918,2)="L0",LEFT(AA918,2)="L1",Y918="No Iniciado"),"CRÍTICO - Incumplimiento Normativo SEPS",IF(AND(Y918="Implementado",Z918&lt;&gt;"",OR(LEFT(AA918,2)="L4",LEFT(AA918,2)="L5"),AB918&lt;&gt;"",AC918&lt;&gt;"",AC918&lt;&gt;"N/A"),"CONFORME - Control Efectivo ISO 27001","OBSERVACIÓN - Revisar Controles")))</f>
        <v/>
      </c>
    </row>
    <row r="919">
      <c r="A919" s="99"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c r="AD919">
        <f>IF(AND(Y919="",Z919="",AA919="",AB919="",AC919=""),"",IF(OR(LEFT(AA919,2)="L0",LEFT(AA919,2)="L1",Y919="No Iniciado"),"CRÍTICO - Incumplimiento Normativo SEPS",IF(AND(Y919="Implementado",Z919&lt;&gt;"",OR(LEFT(AA919,2)="L4",LEFT(AA919,2)="L5"),AB919&lt;&gt;"",AC919&lt;&gt;"",AC919&lt;&gt;"N/A"),"CONFORME - Control Efectivo ISO 27001","OBSERVACIÓN - Revisar Controles")))</f>
        <v/>
      </c>
    </row>
    <row r="920">
      <c r="A920" s="99"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c r="AD920">
        <f>IF(AND(Y920="",Z920="",AA920="",AB920="",AC920=""),"",IF(OR(LEFT(AA920,2)="L0",LEFT(AA920,2)="L1",Y920="No Iniciado"),"CRÍTICO - Incumplimiento Normativo SEPS",IF(AND(Y920="Implementado",Z920&lt;&gt;"",OR(LEFT(AA920,2)="L4",LEFT(AA920,2)="L5"),AB920&lt;&gt;"",AC920&lt;&gt;"",AC920&lt;&gt;"N/A"),"CONFORME - Control Efectivo ISO 27001","OBSERVACIÓN - Revisar Controles")))</f>
        <v/>
      </c>
    </row>
    <row r="921">
      <c r="A921" s="99"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c r="AD921">
        <f>IF(AND(Y921="",Z921="",AA921="",AB921="",AC921=""),"",IF(OR(LEFT(AA921,2)="L0",LEFT(AA921,2)="L1",Y921="No Iniciado"),"CRÍTICO - Incumplimiento Normativo SEPS",IF(AND(Y921="Implementado",Z921&lt;&gt;"",OR(LEFT(AA921,2)="L4",LEFT(AA921,2)="L5"),AB921&lt;&gt;"",AC921&lt;&gt;"",AC921&lt;&gt;"N/A"),"CONFORME - Control Efectivo ISO 27001","OBSERVACIÓN - Revisar Controles")))</f>
        <v/>
      </c>
    </row>
    <row r="922">
      <c r="A922" s="99"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c r="AD922">
        <f>IF(AND(Y922="",Z922="",AA922="",AB922="",AC922=""),"",IF(OR(LEFT(AA922,2)="L0",LEFT(AA922,2)="L1",Y922="No Iniciado"),"CRÍTICO - Incumplimiento Normativo SEPS",IF(AND(Y922="Implementado",Z922&lt;&gt;"",OR(LEFT(AA922,2)="L4",LEFT(AA922,2)="L5"),AB922&lt;&gt;"",AC922&lt;&gt;"",AC922&lt;&gt;"N/A"),"CONFORME - Control Efectivo ISO 27001","OBSERVACIÓN - Revisar Controles")))</f>
        <v/>
      </c>
    </row>
    <row r="923">
      <c r="A923" s="99"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c r="AD923">
        <f>IF(AND(Y923="",Z923="",AA923="",AB923="",AC923=""),"",IF(OR(LEFT(AA923,2)="L0",LEFT(AA923,2)="L1",Y923="No Iniciado"),"CRÍTICO - Incumplimiento Normativo SEPS",IF(AND(Y923="Implementado",Z923&lt;&gt;"",OR(LEFT(AA923,2)="L4",LEFT(AA923,2)="L5"),AB923&lt;&gt;"",AC923&lt;&gt;"",AC923&lt;&gt;"N/A"),"CONFORME - Control Efectivo ISO 27001","OBSERVACIÓN - Revisar Controles")))</f>
        <v/>
      </c>
    </row>
    <row r="924">
      <c r="A924" s="99"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c r="AD924">
        <f>IF(AND(Y924="",Z924="",AA924="",AB924="",AC924=""),"",IF(OR(LEFT(AA924,2)="L0",LEFT(AA924,2)="L1",Y924="No Iniciado"),"CRÍTICO - Incumplimiento Normativo SEPS",IF(AND(Y924="Implementado",Z924&lt;&gt;"",OR(LEFT(AA924,2)="L4",LEFT(AA924,2)="L5"),AB924&lt;&gt;"",AC924&lt;&gt;"",AC924&lt;&gt;"N/A"),"CONFORME - Control Efectivo ISO 27001","OBSERVACIÓN - Revisar Controles")))</f>
        <v/>
      </c>
    </row>
    <row r="925">
      <c r="A925" s="99"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c r="AD925">
        <f>IF(AND(Y925="",Z925="",AA925="",AB925="",AC925=""),"",IF(OR(LEFT(AA925,2)="L0",LEFT(AA925,2)="L1",Y925="No Iniciado"),"CRÍTICO - Incumplimiento Normativo SEPS",IF(AND(Y925="Implementado",Z925&lt;&gt;"",OR(LEFT(AA925,2)="L4",LEFT(AA925,2)="L5"),AB925&lt;&gt;"",AC925&lt;&gt;"",AC925&lt;&gt;"N/A"),"CONFORME - Control Efectivo ISO 27001","OBSERVACIÓN - Revisar Controles")))</f>
        <v/>
      </c>
    </row>
    <row r="926">
      <c r="A926" s="99"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c r="AD926">
        <f>IF(AND(Y926="",Z926="",AA926="",AB926="",AC926=""),"",IF(OR(LEFT(AA926,2)="L0",LEFT(AA926,2)="L1",Y926="No Iniciado"),"CRÍTICO - Incumplimiento Normativo SEPS",IF(AND(Y926="Implementado",Z926&lt;&gt;"",OR(LEFT(AA926,2)="L4",LEFT(AA926,2)="L5"),AB926&lt;&gt;"",AC926&lt;&gt;"",AC926&lt;&gt;"N/A"),"CONFORME - Control Efectivo ISO 27001","OBSERVACIÓN - Revisar Controles")))</f>
        <v/>
      </c>
    </row>
    <row r="927">
      <c r="A927" s="99"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c r="AD927">
        <f>IF(AND(Y927="",Z927="",AA927="",AB927="",AC927=""),"",IF(OR(LEFT(AA927,2)="L0",LEFT(AA927,2)="L1",Y927="No Iniciado"),"CRÍTICO - Incumplimiento Normativo SEPS",IF(AND(Y927="Implementado",Z927&lt;&gt;"",OR(LEFT(AA927,2)="L4",LEFT(AA927,2)="L5"),AB927&lt;&gt;"",AC927&lt;&gt;"",AC927&lt;&gt;"N/A"),"CONFORME - Control Efectivo ISO 27001","OBSERVACIÓN - Revisar Controles")))</f>
        <v/>
      </c>
    </row>
    <row r="928">
      <c r="A928" s="99"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c r="AD928">
        <f>IF(AND(Y928="",Z928="",AA928="",AB928="",AC928=""),"",IF(OR(LEFT(AA928,2)="L0",LEFT(AA928,2)="L1",Y928="No Iniciado"),"CRÍTICO - Incumplimiento Normativo SEPS",IF(AND(Y928="Implementado",Z928&lt;&gt;"",OR(LEFT(AA928,2)="L4",LEFT(AA928,2)="L5"),AB928&lt;&gt;"",AC928&lt;&gt;"",AC928&lt;&gt;"N/A"),"CONFORME - Control Efectivo ISO 27001","OBSERVACIÓN - Revisar Controles")))</f>
        <v/>
      </c>
    </row>
    <row r="929">
      <c r="A929" s="99"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c r="AD929">
        <f>IF(AND(Y929="",Z929="",AA929="",AB929="",AC929=""),"",IF(OR(LEFT(AA929,2)="L0",LEFT(AA929,2)="L1",Y929="No Iniciado"),"CRÍTICO - Incumplimiento Normativo SEPS",IF(AND(Y929="Implementado",Z929&lt;&gt;"",OR(LEFT(AA929,2)="L4",LEFT(AA929,2)="L5"),AB929&lt;&gt;"",AC929&lt;&gt;"",AC929&lt;&gt;"N/A"),"CONFORME - Control Efectivo ISO 27001","OBSERVACIÓN - Revisar Controles")))</f>
        <v/>
      </c>
    </row>
    <row r="930">
      <c r="A930" s="99"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c r="AD930">
        <f>IF(AND(Y930="",Z930="",AA930="",AB930="",AC930=""),"",IF(OR(LEFT(AA930,2)="L0",LEFT(AA930,2)="L1",Y930="No Iniciado"),"CRÍTICO - Incumplimiento Normativo SEPS",IF(AND(Y930="Implementado",Z930&lt;&gt;"",OR(LEFT(AA930,2)="L4",LEFT(AA930,2)="L5"),AB930&lt;&gt;"",AC930&lt;&gt;"",AC930&lt;&gt;"N/A"),"CONFORME - Control Efectivo ISO 27001","OBSERVACIÓN - Revisar Controles")))</f>
        <v/>
      </c>
    </row>
    <row r="931" ht="20.45" customHeight="1" s="106">
      <c r="A931" s="99"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c r="AD931">
        <f>IF(AND(Y931="",Z931="",AA931="",AB931="",AC931=""),"",IF(OR(LEFT(AA931,2)="L0",LEFT(AA931,2)="L1",Y931="No Iniciado"),"CRÍTICO - Incumplimiento Normativo SEPS",IF(AND(Y931="Implementado",Z931&lt;&gt;"",OR(LEFT(AA931,2)="L4",LEFT(AA931,2)="L5"),AB931&lt;&gt;"",AC931&lt;&gt;"",AC931&lt;&gt;"N/A"),"CONFORME - Control Efectivo ISO 27001","OBSERVACIÓN - Revisar Controles")))</f>
        <v/>
      </c>
    </row>
    <row r="932" ht="24" customHeight="1" s="106">
      <c r="A932" s="99"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c r="AD932">
        <f>IF(AND(Y932="",Z932="",AA932="",AB932="",AC932=""),"",IF(OR(LEFT(AA932,2)="L0",LEFT(AA932,2)="L1",Y932="No Iniciado"),"CRÍTICO - Incumplimiento Normativo SEPS",IF(AND(Y932="Implementado",Z932&lt;&gt;"",OR(LEFT(AA932,2)="L4",LEFT(AA932,2)="L5"),AB932&lt;&gt;"",AC932&lt;&gt;"",AC932&lt;&gt;"N/A"),"CONFORME - Control Efectivo ISO 27001","OBSERVACIÓN - Revisar Controles")))</f>
        <v/>
      </c>
    </row>
    <row r="933">
      <c r="A933" s="99"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c r="AD933">
        <f>IF(AND(Y933="",Z933="",AA933="",AB933="",AC933=""),"",IF(OR(LEFT(AA933,2)="L0",LEFT(AA933,2)="L1",Y933="No Iniciado"),"CRÍTICO - Incumplimiento Normativo SEPS",IF(AND(Y933="Implementado",Z933&lt;&gt;"",OR(LEFT(AA933,2)="L4",LEFT(AA933,2)="L5"),AB933&lt;&gt;"",AC933&lt;&gt;"",AC933&lt;&gt;"N/A"),"CONFORME - Control Efectivo ISO 27001","OBSERVACIÓN - Revisar Controles")))</f>
        <v/>
      </c>
    </row>
    <row r="934">
      <c r="A934" s="99"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c r="AD934">
        <f>IF(AND(Y934="",Z934="",AA934="",AB934="",AC934=""),"",IF(OR(LEFT(AA934,2)="L0",LEFT(AA934,2)="L1",Y934="No Iniciado"),"CRÍTICO - Incumplimiento Normativo SEPS",IF(AND(Y934="Implementado",Z934&lt;&gt;"",OR(LEFT(AA934,2)="L4",LEFT(AA934,2)="L5"),AB934&lt;&gt;"",AC934&lt;&gt;"",AC934&lt;&gt;"N/A"),"CONFORME - Control Efectivo ISO 27001","OBSERVACIÓN - Revisar Controles")))</f>
        <v/>
      </c>
    </row>
    <row r="935">
      <c r="A935" s="99"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c r="AD935">
        <f>IF(AND(Y935="",Z935="",AA935="",AB935="",AC935=""),"",IF(OR(LEFT(AA935,2)="L0",LEFT(AA935,2)="L1",Y935="No Iniciado"),"CRÍTICO - Incumplimiento Normativo SEPS",IF(AND(Y935="Implementado",Z935&lt;&gt;"",OR(LEFT(AA935,2)="L4",LEFT(AA935,2)="L5"),AB935&lt;&gt;"",AC935&lt;&gt;"",AC935&lt;&gt;"N/A"),"CONFORME - Control Efectivo ISO 27001","OBSERVACIÓN - Revisar Controles")))</f>
        <v/>
      </c>
    </row>
    <row r="936">
      <c r="A936" s="99"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c r="AD936">
        <f>IF(AND(Y936="",Z936="",AA936="",AB936="",AC936=""),"",IF(OR(LEFT(AA936,2)="L0",LEFT(AA936,2)="L1",Y936="No Iniciado"),"CRÍTICO - Incumplimiento Normativo SEPS",IF(AND(Y936="Implementado",Z936&lt;&gt;"",OR(LEFT(AA936,2)="L4",LEFT(AA936,2)="L5"),AB936&lt;&gt;"",AC936&lt;&gt;"",AC936&lt;&gt;"N/A"),"CONFORME - Control Efectivo ISO 27001","OBSERVACIÓN - Revisar Controles")))</f>
        <v/>
      </c>
    </row>
    <row r="937">
      <c r="A937" s="99"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c r="AD937">
        <f>IF(AND(Y937="",Z937="",AA937="",AB937="",AC937=""),"",IF(OR(LEFT(AA937,2)="L0",LEFT(AA937,2)="L1",Y937="No Iniciado"),"CRÍTICO - Incumplimiento Normativo SEPS",IF(AND(Y937="Implementado",Z937&lt;&gt;"",OR(LEFT(AA937,2)="L4",LEFT(AA937,2)="L5"),AB937&lt;&gt;"",AC937&lt;&gt;"",AC937&lt;&gt;"N/A"),"CONFORME - Control Efectivo ISO 27001","OBSERVACIÓN - Revisar Controles")))</f>
        <v/>
      </c>
    </row>
    <row r="938">
      <c r="A938" s="99"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c r="AD938">
        <f>IF(AND(Y938="",Z938="",AA938="",AB938="",AC938=""),"",IF(OR(LEFT(AA938,2)="L0",LEFT(AA938,2)="L1",Y938="No Iniciado"),"CRÍTICO - Incumplimiento Normativo SEPS",IF(AND(Y938="Implementado",Z938&lt;&gt;"",OR(LEFT(AA938,2)="L4",LEFT(AA938,2)="L5"),AB938&lt;&gt;"",AC938&lt;&gt;"",AC938&lt;&gt;"N/A"),"CONFORME - Control Efectivo ISO 27001","OBSERVACIÓN - Revisar Controles")))</f>
        <v/>
      </c>
    </row>
    <row r="939">
      <c r="A939" s="99"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c r="AD939">
        <f>IF(AND(Y939="",Z939="",AA939="",AB939="",AC939=""),"",IF(OR(LEFT(AA939,2)="L0",LEFT(AA939,2)="L1",Y939="No Iniciado"),"CRÍTICO - Incumplimiento Normativo SEPS",IF(AND(Y939="Implementado",Z939&lt;&gt;"",OR(LEFT(AA939,2)="L4",LEFT(AA939,2)="L5"),AB939&lt;&gt;"",AC939&lt;&gt;"",AC939&lt;&gt;"N/A"),"CONFORME - Control Efectivo ISO 27001","OBSERVACIÓN - Revisar Controles")))</f>
        <v/>
      </c>
    </row>
    <row r="940">
      <c r="A940" s="99"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c r="AD940">
        <f>IF(AND(Y940="",Z940="",AA940="",AB940="",AC940=""),"",IF(OR(LEFT(AA940,2)="L0",LEFT(AA940,2)="L1",Y940="No Iniciado"),"CRÍTICO - Incumplimiento Normativo SEPS",IF(AND(Y940="Implementado",Z940&lt;&gt;"",OR(LEFT(AA940,2)="L4",LEFT(AA940,2)="L5"),AB940&lt;&gt;"",AC940&lt;&gt;"",AC940&lt;&gt;"N/A"),"CONFORME - Control Efectivo ISO 27001","OBSERVACIÓN - Revisar Controles")))</f>
        <v/>
      </c>
    </row>
    <row r="941">
      <c r="A941" s="99"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c r="AD941">
        <f>IF(AND(Y941="",Z941="",AA941="",AB941="",AC941=""),"",IF(OR(LEFT(AA941,2)="L0",LEFT(AA941,2)="L1",Y941="No Iniciado"),"CRÍTICO - Incumplimiento Normativo SEPS",IF(AND(Y941="Implementado",Z941&lt;&gt;"",OR(LEFT(AA941,2)="L4",LEFT(AA941,2)="L5"),AB941&lt;&gt;"",AC941&lt;&gt;"",AC941&lt;&gt;"N/A"),"CONFORME - Control Efectivo ISO 27001","OBSERVACIÓN - Revisar Controles")))</f>
        <v/>
      </c>
    </row>
    <row r="942">
      <c r="A942" s="99"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c r="AD942">
        <f>IF(AND(Y942="",Z942="",AA942="",AB942="",AC942=""),"",IF(OR(LEFT(AA942,2)="L0",LEFT(AA942,2)="L1",Y942="No Iniciado"),"CRÍTICO - Incumplimiento Normativo SEPS",IF(AND(Y942="Implementado",Z942&lt;&gt;"",OR(LEFT(AA942,2)="L4",LEFT(AA942,2)="L5"),AB942&lt;&gt;"",AC942&lt;&gt;"",AC942&lt;&gt;"N/A"),"CONFORME - Control Efectivo ISO 27001","OBSERVACIÓN - Revisar Controles")))</f>
        <v/>
      </c>
    </row>
    <row r="943">
      <c r="A943" s="99"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c r="AD943">
        <f>IF(AND(Y943="",Z943="",AA943="",AB943="",AC943=""),"",IF(OR(LEFT(AA943,2)="L0",LEFT(AA943,2)="L1",Y943="No Iniciado"),"CRÍTICO - Incumplimiento Normativo SEPS",IF(AND(Y943="Implementado",Z943&lt;&gt;"",OR(LEFT(AA943,2)="L4",LEFT(AA943,2)="L5"),AB943&lt;&gt;"",AC943&lt;&gt;"",AC943&lt;&gt;"N/A"),"CONFORME - Control Efectivo ISO 27001","OBSERVACIÓN - Revisar Controles")))</f>
        <v/>
      </c>
    </row>
    <row r="944">
      <c r="A944" s="99"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c r="AD944">
        <f>IF(AND(Y944="",Z944="",AA944="",AB944="",AC944=""),"",IF(OR(LEFT(AA944,2)="L0",LEFT(AA944,2)="L1",Y944="No Iniciado"),"CRÍTICO - Incumplimiento Normativo SEPS",IF(AND(Y944="Implementado",Z944&lt;&gt;"",OR(LEFT(AA944,2)="L4",LEFT(AA944,2)="L5"),AB944&lt;&gt;"",AC944&lt;&gt;"",AC944&lt;&gt;"N/A"),"CONFORME - Control Efectivo ISO 27001","OBSERVACIÓN - Revisar Controles")))</f>
        <v/>
      </c>
    </row>
    <row r="945">
      <c r="A945" s="99"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c r="AD945">
        <f>IF(AND(Y945="",Z945="",AA945="",AB945="",AC945=""),"",IF(OR(LEFT(AA945,2)="L0",LEFT(AA945,2)="L1",Y945="No Iniciado"),"CRÍTICO - Incumplimiento Normativo SEPS",IF(AND(Y945="Implementado",Z945&lt;&gt;"",OR(LEFT(AA945,2)="L4",LEFT(AA945,2)="L5"),AB945&lt;&gt;"",AC945&lt;&gt;"",AC945&lt;&gt;"N/A"),"CONFORME - Control Efectivo ISO 27001","OBSERVACIÓN - Revisar Controles")))</f>
        <v/>
      </c>
    </row>
    <row r="946">
      <c r="A946" s="99"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c r="AD946">
        <f>IF(AND(Y946="",Z946="",AA946="",AB946="",AC946=""),"",IF(OR(LEFT(AA946,2)="L0",LEFT(AA946,2)="L1",Y946="No Iniciado"),"CRÍTICO - Incumplimiento Normativo SEPS",IF(AND(Y946="Implementado",Z946&lt;&gt;"",OR(LEFT(AA946,2)="L4",LEFT(AA946,2)="L5"),AB946&lt;&gt;"",AC946&lt;&gt;"",AC946&lt;&gt;"N/A"),"CONFORME - Control Efectivo ISO 27001","OBSERVACIÓN - Revisar Controles")))</f>
        <v/>
      </c>
    </row>
    <row r="947">
      <c r="A947" s="99"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c r="AD947">
        <f>IF(AND(Y947="",Z947="",AA947="",AB947="",AC947=""),"",IF(OR(LEFT(AA947,2)="L0",LEFT(AA947,2)="L1",Y947="No Iniciado"),"CRÍTICO - Incumplimiento Normativo SEPS",IF(AND(Y947="Implementado",Z947&lt;&gt;"",OR(LEFT(AA947,2)="L4",LEFT(AA947,2)="L5"),AB947&lt;&gt;"",AC947&lt;&gt;"",AC947&lt;&gt;"N/A"),"CONFORME - Control Efectivo ISO 27001","OBSERVACIÓN - Revisar Controles")))</f>
        <v/>
      </c>
    </row>
    <row r="948">
      <c r="A948" s="99"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c r="AD948">
        <f>IF(AND(Y948="",Z948="",AA948="",AB948="",AC948=""),"",IF(OR(LEFT(AA948,2)="L0",LEFT(AA948,2)="L1",Y948="No Iniciado"),"CRÍTICO - Incumplimiento Normativo SEPS",IF(AND(Y948="Implementado",Z948&lt;&gt;"",OR(LEFT(AA948,2)="L4",LEFT(AA948,2)="L5"),AB948&lt;&gt;"",AC948&lt;&gt;"",AC948&lt;&gt;"N/A"),"CONFORME - Control Efectivo ISO 27001","OBSERVACIÓN - Revisar Controles")))</f>
        <v/>
      </c>
    </row>
    <row r="949">
      <c r="A949" s="99"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c r="AD949">
        <f>IF(AND(Y949="",Z949="",AA949="",AB949="",AC949=""),"",IF(OR(LEFT(AA949,2)="L0",LEFT(AA949,2)="L1",Y949="No Iniciado"),"CRÍTICO - Incumplimiento Normativo SEPS",IF(AND(Y949="Implementado",Z949&lt;&gt;"",OR(LEFT(AA949,2)="L4",LEFT(AA949,2)="L5"),AB949&lt;&gt;"",AC949&lt;&gt;"",AC949&lt;&gt;"N/A"),"CONFORME - Control Efectivo ISO 27001","OBSERVACIÓN - Revisar Controles")))</f>
        <v/>
      </c>
    </row>
    <row r="950">
      <c r="A950" s="99"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c r="AD950">
        <f>IF(AND(Y950="",Z950="",AA950="",AB950="",AC950=""),"",IF(OR(LEFT(AA950,2)="L0",LEFT(AA950,2)="L1",Y950="No Iniciado"),"CRÍTICO - Incumplimiento Normativo SEPS",IF(AND(Y950="Implementado",Z950&lt;&gt;"",OR(LEFT(AA950,2)="L4",LEFT(AA950,2)="L5"),AB950&lt;&gt;"",AC950&lt;&gt;"",AC950&lt;&gt;"N/A"),"CONFORME - Control Efectivo ISO 27001","OBSERVACIÓN - Revisar Controles")))</f>
        <v/>
      </c>
    </row>
    <row r="951">
      <c r="A951" s="99"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c r="AD951">
        <f>IF(AND(Y951="",Z951="",AA951="",AB951="",AC951=""),"",IF(OR(LEFT(AA951,2)="L0",LEFT(AA951,2)="L1",Y951="No Iniciado"),"CRÍTICO - Incumplimiento Normativo SEPS",IF(AND(Y951="Implementado",Z951&lt;&gt;"",OR(LEFT(AA951,2)="L4",LEFT(AA951,2)="L5"),AB951&lt;&gt;"",AC951&lt;&gt;"",AC951&lt;&gt;"N/A"),"CONFORME - Control Efectivo ISO 27001","OBSERVACIÓN - Revisar Controles")))</f>
        <v/>
      </c>
    </row>
    <row r="952">
      <c r="A952" s="99"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c r="AD952">
        <f>IF(AND(Y952="",Z952="",AA952="",AB952="",AC952=""),"",IF(OR(LEFT(AA952,2)="L0",LEFT(AA952,2)="L1",Y952="No Iniciado"),"CRÍTICO - Incumplimiento Normativo SEPS",IF(AND(Y952="Implementado",Z952&lt;&gt;"",OR(LEFT(AA952,2)="L4",LEFT(AA952,2)="L5"),AB952&lt;&gt;"",AC952&lt;&gt;"",AC952&lt;&gt;"N/A"),"CONFORME - Control Efectivo ISO 27001","OBSERVACIÓN - Revisar Controles")))</f>
        <v/>
      </c>
    </row>
    <row r="953">
      <c r="A953" s="99"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c r="AD953">
        <f>IF(AND(Y953="",Z953="",AA953="",AB953="",AC953=""),"",IF(OR(LEFT(AA953,2)="L0",LEFT(AA953,2)="L1",Y953="No Iniciado"),"CRÍTICO - Incumplimiento Normativo SEPS",IF(AND(Y953="Implementado",Z953&lt;&gt;"",OR(LEFT(AA953,2)="L4",LEFT(AA953,2)="L5"),AB953&lt;&gt;"",AC953&lt;&gt;"",AC953&lt;&gt;"N/A"),"CONFORME - Control Efectivo ISO 27001","OBSERVACIÓN - Revisar Controles")))</f>
        <v/>
      </c>
    </row>
    <row r="954">
      <c r="A954" s="99"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c r="AD954">
        <f>IF(AND(Y954="",Z954="",AA954="",AB954="",AC954=""),"",IF(OR(LEFT(AA954,2)="L0",LEFT(AA954,2)="L1",Y954="No Iniciado"),"CRÍTICO - Incumplimiento Normativo SEPS",IF(AND(Y954="Implementado",Z954&lt;&gt;"",OR(LEFT(AA954,2)="L4",LEFT(AA954,2)="L5"),AB954&lt;&gt;"",AC954&lt;&gt;"",AC954&lt;&gt;"N/A"),"CONFORME - Control Efectivo ISO 27001","OBSERVACIÓN - Revisar Controles")))</f>
        <v/>
      </c>
    </row>
    <row r="955">
      <c r="A955" s="99"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c r="AD955">
        <f>IF(AND(Y955="",Z955="",AA955="",AB955="",AC955=""),"",IF(OR(LEFT(AA955,2)="L0",LEFT(AA955,2)="L1",Y955="No Iniciado"),"CRÍTICO - Incumplimiento Normativo SEPS",IF(AND(Y955="Implementado",Z955&lt;&gt;"",OR(LEFT(AA955,2)="L4",LEFT(AA955,2)="L5"),AB955&lt;&gt;"",AC955&lt;&gt;"",AC955&lt;&gt;"N/A"),"CONFORME - Control Efectivo ISO 27001","OBSERVACIÓN - Revisar Controles")))</f>
        <v/>
      </c>
    </row>
    <row r="956">
      <c r="A956" s="99"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c r="AD956">
        <f>IF(AND(Y956="",Z956="",AA956="",AB956="",AC956=""),"",IF(OR(LEFT(AA956,2)="L0",LEFT(AA956,2)="L1",Y956="No Iniciado"),"CRÍTICO - Incumplimiento Normativo SEPS",IF(AND(Y956="Implementado",Z956&lt;&gt;"",OR(LEFT(AA956,2)="L4",LEFT(AA956,2)="L5"),AB956&lt;&gt;"",AC956&lt;&gt;"",AC956&lt;&gt;"N/A"),"CONFORME - Control Efectivo ISO 27001","OBSERVACIÓN - Revisar Controles")))</f>
        <v/>
      </c>
    </row>
    <row r="957">
      <c r="A957" s="99"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c r="AD957">
        <f>IF(AND(Y957="",Z957="",AA957="",AB957="",AC957=""),"",IF(OR(LEFT(AA957,2)="L0",LEFT(AA957,2)="L1",Y957="No Iniciado"),"CRÍTICO - Incumplimiento Normativo SEPS",IF(AND(Y957="Implementado",Z957&lt;&gt;"",OR(LEFT(AA957,2)="L4",LEFT(AA957,2)="L5"),AB957&lt;&gt;"",AC957&lt;&gt;"",AC957&lt;&gt;"N/A"),"CONFORME - Control Efectivo ISO 27001","OBSERVACIÓN - Revisar Controles")))</f>
        <v/>
      </c>
    </row>
    <row r="958">
      <c r="A958" s="99"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c r="AD958">
        <f>IF(AND(Y958="",Z958="",AA958="",AB958="",AC958=""),"",IF(OR(LEFT(AA958,2)="L0",LEFT(AA958,2)="L1",Y958="No Iniciado"),"CRÍTICO - Incumplimiento Normativo SEPS",IF(AND(Y958="Implementado",Z958&lt;&gt;"",OR(LEFT(AA958,2)="L4",LEFT(AA958,2)="L5"),AB958&lt;&gt;"",AC958&lt;&gt;"",AC958&lt;&gt;"N/A"),"CONFORME - Control Efectivo ISO 27001","OBSERVACIÓN - Revisar Controles")))</f>
        <v/>
      </c>
    </row>
    <row r="959">
      <c r="A959" s="99"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c r="AD959">
        <f>IF(AND(Y959="",Z959="",AA959="",AB959="",AC959=""),"",IF(OR(LEFT(AA959,2)="L0",LEFT(AA959,2)="L1",Y959="No Iniciado"),"CRÍTICO - Incumplimiento Normativo SEPS",IF(AND(Y959="Implementado",Z959&lt;&gt;"",OR(LEFT(AA959,2)="L4",LEFT(AA959,2)="L5"),AB959&lt;&gt;"",AC959&lt;&gt;"",AC959&lt;&gt;"N/A"),"CONFORME - Control Efectivo ISO 27001","OBSERVACIÓN - Revisar Controles")))</f>
        <v/>
      </c>
    </row>
    <row r="960">
      <c r="A960" s="99"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c r="AD960">
        <f>IF(AND(Y960="",Z960="",AA960="",AB960="",AC960=""),"",IF(OR(LEFT(AA960,2)="L0",LEFT(AA960,2)="L1",Y960="No Iniciado"),"CRÍTICO - Incumplimiento Normativo SEPS",IF(AND(Y960="Implementado",Z960&lt;&gt;"",OR(LEFT(AA960,2)="L4",LEFT(AA960,2)="L5"),AB960&lt;&gt;"",AC960&lt;&gt;"",AC960&lt;&gt;"N/A"),"CONFORME - Control Efectivo ISO 27001","OBSERVACIÓN - Revisar Controles")))</f>
        <v/>
      </c>
    </row>
    <row r="961">
      <c r="A961" s="99"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c r="AD961">
        <f>IF(AND(Y961="",Z961="",AA961="",AB961="",AC961=""),"",IF(OR(LEFT(AA961,2)="L0",LEFT(AA961,2)="L1",Y961="No Iniciado"),"CRÍTICO - Incumplimiento Normativo SEPS",IF(AND(Y961="Implementado",Z961&lt;&gt;"",OR(LEFT(AA961,2)="L4",LEFT(AA961,2)="L5"),AB961&lt;&gt;"",AC961&lt;&gt;"",AC961&lt;&gt;"N/A"),"CONFORME - Control Efectivo ISO 27001","OBSERVACIÓN - Revisar Controles")))</f>
        <v/>
      </c>
    </row>
    <row r="962">
      <c r="A962" s="99"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c r="AD962">
        <f>IF(AND(Y962="",Z962="",AA962="",AB962="",AC962=""),"",IF(OR(LEFT(AA962,2)="L0",LEFT(AA962,2)="L1",Y962="No Iniciado"),"CRÍTICO - Incumplimiento Normativo SEPS",IF(AND(Y962="Implementado",Z962&lt;&gt;"",OR(LEFT(AA962,2)="L4",LEFT(AA962,2)="L5"),AB962&lt;&gt;"",AC962&lt;&gt;"",AC962&lt;&gt;"N/A"),"CONFORME - Control Efectivo ISO 27001","OBSERVACIÓN - Revisar Controles")))</f>
        <v/>
      </c>
    </row>
    <row r="963">
      <c r="A963" s="99"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c r="AD963">
        <f>IF(AND(Y963="",Z963="",AA963="",AB963="",AC963=""),"",IF(OR(LEFT(AA963,2)="L0",LEFT(AA963,2)="L1",Y963="No Iniciado"),"CRÍTICO - Incumplimiento Normativo SEPS",IF(AND(Y963="Implementado",Z963&lt;&gt;"",OR(LEFT(AA963,2)="L4",LEFT(AA963,2)="L5"),AB963&lt;&gt;"",AC963&lt;&gt;"",AC963&lt;&gt;"N/A"),"CONFORME - Control Efectivo ISO 27001","OBSERVACIÓN - Revisar Controles")))</f>
        <v/>
      </c>
    </row>
    <row r="964">
      <c r="A964" s="99"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c r="AD964">
        <f>IF(AND(Y964="",Z964="",AA964="",AB964="",AC964=""),"",IF(OR(LEFT(AA964,2)="L0",LEFT(AA964,2)="L1",Y964="No Iniciado"),"CRÍTICO - Incumplimiento Normativo SEPS",IF(AND(Y964="Implementado",Z964&lt;&gt;"",OR(LEFT(AA964,2)="L4",LEFT(AA964,2)="L5"),AB964&lt;&gt;"",AC964&lt;&gt;"",AC964&lt;&gt;"N/A"),"CONFORME - Control Efectivo ISO 27001","OBSERVACIÓN - Revisar Controles")))</f>
        <v/>
      </c>
    </row>
    <row r="965">
      <c r="A965" s="99"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c r="AD965">
        <f>IF(AND(Y965="",Z965="",AA965="",AB965="",AC965=""),"",IF(OR(LEFT(AA965,2)="L0",LEFT(AA965,2)="L1",Y965="No Iniciado"),"CRÍTICO - Incumplimiento Normativo SEPS",IF(AND(Y965="Implementado",Z965&lt;&gt;"",OR(LEFT(AA965,2)="L4",LEFT(AA965,2)="L5"),AB965&lt;&gt;"",AC965&lt;&gt;"",AC965&lt;&gt;"N/A"),"CONFORME - Control Efectivo ISO 27001","OBSERVACIÓN - Revisar Controles")))</f>
        <v/>
      </c>
    </row>
    <row r="966">
      <c r="A966" s="99"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c r="AD966">
        <f>IF(AND(Y966="",Z966="",AA966="",AB966="",AC966=""),"",IF(OR(LEFT(AA966,2)="L0",LEFT(AA966,2)="L1",Y966="No Iniciado"),"CRÍTICO - Incumplimiento Normativo SEPS",IF(AND(Y966="Implementado",Z966&lt;&gt;"",OR(LEFT(AA966,2)="L4",LEFT(AA966,2)="L5"),AB966&lt;&gt;"",AC966&lt;&gt;"",AC966&lt;&gt;"N/A"),"CONFORME - Control Efectivo ISO 27001","OBSERVACIÓN - Revisar Controles")))</f>
        <v/>
      </c>
    </row>
    <row r="967">
      <c r="A967" s="99"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c r="AD967">
        <f>IF(AND(Y967="",Z967="",AA967="",AB967="",AC967=""),"",IF(OR(LEFT(AA967,2)="L0",LEFT(AA967,2)="L1",Y967="No Iniciado"),"CRÍTICO - Incumplimiento Normativo SEPS",IF(AND(Y967="Implementado",Z967&lt;&gt;"",OR(LEFT(AA967,2)="L4",LEFT(AA967,2)="L5"),AB967&lt;&gt;"",AC967&lt;&gt;"",AC967&lt;&gt;"N/A"),"CONFORME - Control Efectivo ISO 27001","OBSERVACIÓN - Revisar Controles")))</f>
        <v/>
      </c>
    </row>
    <row r="968">
      <c r="A968" s="99"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c r="AD968">
        <f>IF(AND(Y968="",Z968="",AA968="",AB968="",AC968=""),"",IF(OR(LEFT(AA968,2)="L0",LEFT(AA968,2)="L1",Y968="No Iniciado"),"CRÍTICO - Incumplimiento Normativo SEPS",IF(AND(Y968="Implementado",Z968&lt;&gt;"",OR(LEFT(AA968,2)="L4",LEFT(AA968,2)="L5"),AB968&lt;&gt;"",AC968&lt;&gt;"",AC968&lt;&gt;"N/A"),"CONFORME - Control Efectivo ISO 27001","OBSERVACIÓN - Revisar Controles")))</f>
        <v/>
      </c>
    </row>
    <row r="969">
      <c r="A969" s="99"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c r="AD969">
        <f>IF(AND(Y969="",Z969="",AA969="",AB969="",AC969=""),"",IF(OR(LEFT(AA969,2)="L0",LEFT(AA969,2)="L1",Y969="No Iniciado"),"CRÍTICO - Incumplimiento Normativo SEPS",IF(AND(Y969="Implementado",Z969&lt;&gt;"",OR(LEFT(AA969,2)="L4",LEFT(AA969,2)="L5"),AB969&lt;&gt;"",AC969&lt;&gt;"",AC969&lt;&gt;"N/A"),"CONFORME - Control Efectivo ISO 27001","OBSERVACIÓN - Revisar Controles")))</f>
        <v/>
      </c>
    </row>
    <row r="970" ht="20.45" customHeight="1" s="106">
      <c r="A970" s="99"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c r="AD970">
        <f>IF(AND(Y970="",Z970="",AA970="",AB970="",AC970=""),"",IF(OR(LEFT(AA970,2)="L0",LEFT(AA970,2)="L1",Y970="No Iniciado"),"CRÍTICO - Incumplimiento Normativo SEPS",IF(AND(Y970="Implementado",Z970&lt;&gt;"",OR(LEFT(AA970,2)="L4",LEFT(AA970,2)="L5"),AB970&lt;&gt;"",AC970&lt;&gt;"",AC970&lt;&gt;"N/A"),"CONFORME - Control Efectivo ISO 27001","OBSERVACIÓN - Revisar Controles")))</f>
        <v/>
      </c>
    </row>
    <row r="971">
      <c r="A971" s="99"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c r="AD971">
        <f>IF(AND(Y971="",Z971="",AA971="",AB971="",AC971=""),"",IF(OR(LEFT(AA971,2)="L0",LEFT(AA971,2)="L1",Y971="No Iniciado"),"CRÍTICO - Incumplimiento Normativo SEPS",IF(AND(Y971="Implementado",Z971&lt;&gt;"",OR(LEFT(AA971,2)="L4",LEFT(AA971,2)="L5"),AB971&lt;&gt;"",AC971&lt;&gt;"",AC971&lt;&gt;"N/A"),"CONFORME - Control Efectivo ISO 27001","OBSERVACIÓN - Revisar Controles")))</f>
        <v/>
      </c>
    </row>
    <row r="972">
      <c r="A972" s="99"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c r="AD972">
        <f>IF(AND(Y972="",Z972="",AA972="",AB972="",AC972=""),"",IF(OR(LEFT(AA972,2)="L0",LEFT(AA972,2)="L1",Y972="No Iniciado"),"CRÍTICO - Incumplimiento Normativo SEPS",IF(AND(Y972="Implementado",Z972&lt;&gt;"",OR(LEFT(AA972,2)="L4",LEFT(AA972,2)="L5"),AB972&lt;&gt;"",AC972&lt;&gt;"",AC972&lt;&gt;"N/A"),"CONFORME - Control Efectivo ISO 27001","OBSERVACIÓN - Revisar Controles")))</f>
        <v/>
      </c>
    </row>
    <row r="973">
      <c r="A973" s="99"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c r="AD973">
        <f>IF(AND(Y973="",Z973="",AA973="",AB973="",AC973=""),"",IF(OR(LEFT(AA973,2)="L0",LEFT(AA973,2)="L1",Y973="No Iniciado"),"CRÍTICO - Incumplimiento Normativo SEPS",IF(AND(Y973="Implementado",Z973&lt;&gt;"",OR(LEFT(AA973,2)="L4",LEFT(AA973,2)="L5"),AB973&lt;&gt;"",AC973&lt;&gt;"",AC973&lt;&gt;"N/A"),"CONFORME - Control Efectivo ISO 27001","OBSERVACIÓN - Revisar Controles")))</f>
        <v/>
      </c>
    </row>
    <row r="974">
      <c r="A974" s="99"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c r="AD974">
        <f>IF(AND(Y974="",Z974="",AA974="",AB974="",AC974=""),"",IF(OR(LEFT(AA974,2)="L0",LEFT(AA974,2)="L1",Y974="No Iniciado"),"CRÍTICO - Incumplimiento Normativo SEPS",IF(AND(Y974="Implementado",Z974&lt;&gt;"",OR(LEFT(AA974,2)="L4",LEFT(AA974,2)="L5"),AB974&lt;&gt;"",AC974&lt;&gt;"",AC974&lt;&gt;"N/A"),"CONFORME - Control Efectivo ISO 27001","OBSERVACIÓN - Revisar Controles")))</f>
        <v/>
      </c>
    </row>
    <row r="975">
      <c r="A975" s="99"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c r="AD975">
        <f>IF(AND(Y975="",Z975="",AA975="",AB975="",AC975=""),"",IF(OR(LEFT(AA975,2)="L0",LEFT(AA975,2)="L1",Y975="No Iniciado"),"CRÍTICO - Incumplimiento Normativo SEPS",IF(AND(Y975="Implementado",Z975&lt;&gt;"",OR(LEFT(AA975,2)="L4",LEFT(AA975,2)="L5"),AB975&lt;&gt;"",AC975&lt;&gt;"",AC975&lt;&gt;"N/A"),"CONFORME - Control Efectivo ISO 27001","OBSERVACIÓN - Revisar Controles")))</f>
        <v/>
      </c>
    </row>
    <row r="976">
      <c r="A976" s="99"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c r="AD976">
        <f>IF(AND(Y976="",Z976="",AA976="",AB976="",AC976=""),"",IF(OR(LEFT(AA976,2)="L0",LEFT(AA976,2)="L1",Y976="No Iniciado"),"CRÍTICO - Incumplimiento Normativo SEPS",IF(AND(Y976="Implementado",Z976&lt;&gt;"",OR(LEFT(AA976,2)="L4",LEFT(AA976,2)="L5"),AB976&lt;&gt;"",AC976&lt;&gt;"",AC976&lt;&gt;"N/A"),"CONFORME - Control Efectivo ISO 27001","OBSERVACIÓN - Revisar Controles")))</f>
        <v/>
      </c>
    </row>
    <row r="977">
      <c r="A977" s="99"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c r="AD977">
        <f>IF(AND(Y977="",Z977="",AA977="",AB977="",AC977=""),"",IF(OR(LEFT(AA977,2)="L0",LEFT(AA977,2)="L1",Y977="No Iniciado"),"CRÍTICO - Incumplimiento Normativo SEPS",IF(AND(Y977="Implementado",Z977&lt;&gt;"",OR(LEFT(AA977,2)="L4",LEFT(AA977,2)="L5"),AB977&lt;&gt;"",AC977&lt;&gt;"",AC977&lt;&gt;"N/A"),"CONFORME - Control Efectivo ISO 27001","OBSERVACIÓN - Revisar Controles")))</f>
        <v/>
      </c>
    </row>
    <row r="978">
      <c r="A978" s="99"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c r="AD978">
        <f>IF(AND(Y978="",Z978="",AA978="",AB978="",AC978=""),"",IF(OR(LEFT(AA978,2)="L0",LEFT(AA978,2)="L1",Y978="No Iniciado"),"CRÍTICO - Incumplimiento Normativo SEPS",IF(AND(Y978="Implementado",Z978&lt;&gt;"",OR(LEFT(AA978,2)="L4",LEFT(AA978,2)="L5"),AB978&lt;&gt;"",AC978&lt;&gt;"",AC978&lt;&gt;"N/A"),"CONFORME - Control Efectivo ISO 27001","OBSERVACIÓN - Revisar Controles")))</f>
        <v/>
      </c>
    </row>
    <row r="979">
      <c r="A979" s="99"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c r="AD979">
        <f>IF(AND(Y979="",Z979="",AA979="",AB979="",AC979=""),"",IF(OR(LEFT(AA979,2)="L0",LEFT(AA979,2)="L1",Y979="No Iniciado"),"CRÍTICO - Incumplimiento Normativo SEPS",IF(AND(Y979="Implementado",Z979&lt;&gt;"",OR(LEFT(AA979,2)="L4",LEFT(AA979,2)="L5"),AB979&lt;&gt;"",AC979&lt;&gt;"",AC979&lt;&gt;"N/A"),"CONFORME - Control Efectivo ISO 27001","OBSERVACIÓN - Revisar Controles")))</f>
        <v/>
      </c>
    </row>
    <row r="980">
      <c r="A980" s="99"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c r="AD980">
        <f>IF(AND(Y980="",Z980="",AA980="",AB980="",AC980=""),"",IF(OR(LEFT(AA980,2)="L0",LEFT(AA980,2)="L1",Y980="No Iniciado"),"CRÍTICO - Incumplimiento Normativo SEPS",IF(AND(Y980="Implementado",Z980&lt;&gt;"",OR(LEFT(AA980,2)="L4",LEFT(AA980,2)="L5"),AB980&lt;&gt;"",AC980&lt;&gt;"",AC980&lt;&gt;"N/A"),"CONFORME - Control Efectivo ISO 27001","OBSERVACIÓN - Revisar Controles")))</f>
        <v/>
      </c>
    </row>
    <row r="981">
      <c r="A981" s="99"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c r="AD981">
        <f>IF(AND(Y981="",Z981="",AA981="",AB981="",AC981=""),"",IF(OR(LEFT(AA981,2)="L0",LEFT(AA981,2)="L1",Y981="No Iniciado"),"CRÍTICO - Incumplimiento Normativo SEPS",IF(AND(Y981="Implementado",Z981&lt;&gt;"",OR(LEFT(AA981,2)="L4",LEFT(AA981,2)="L5"),AB981&lt;&gt;"",AC981&lt;&gt;"",AC981&lt;&gt;"N/A"),"CONFORME - Control Efectivo ISO 27001","OBSERVACIÓN - Revisar Controles")))</f>
        <v/>
      </c>
    </row>
    <row r="982">
      <c r="A982" s="99"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c r="AD982">
        <f>IF(AND(Y982="",Z982="",AA982="",AB982="",AC982=""),"",IF(OR(LEFT(AA982,2)="L0",LEFT(AA982,2)="L1",Y982="No Iniciado"),"CRÍTICO - Incumplimiento Normativo SEPS",IF(AND(Y982="Implementado",Z982&lt;&gt;"",OR(LEFT(AA982,2)="L4",LEFT(AA982,2)="L5"),AB982&lt;&gt;"",AC982&lt;&gt;"",AC982&lt;&gt;"N/A"),"CONFORME - Control Efectivo ISO 27001","OBSERVACIÓN - Revisar Controles")))</f>
        <v/>
      </c>
    </row>
    <row r="983">
      <c r="A983" s="99"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c r="AD983">
        <f>IF(AND(Y983="",Z983="",AA983="",AB983="",AC983=""),"",IF(OR(LEFT(AA983,2)="L0",LEFT(AA983,2)="L1",Y983="No Iniciado"),"CRÍTICO - Incumplimiento Normativo SEPS",IF(AND(Y983="Implementado",Z983&lt;&gt;"",OR(LEFT(AA983,2)="L4",LEFT(AA983,2)="L5"),AB983&lt;&gt;"",AC983&lt;&gt;"",AC983&lt;&gt;"N/A"),"CONFORME - Control Efectivo ISO 27001","OBSERVACIÓN - Revisar Controles")))</f>
        <v/>
      </c>
    </row>
    <row r="984">
      <c r="A984" s="99"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c r="AD984">
        <f>IF(AND(Y984="",Z984="",AA984="",AB984="",AC984=""),"",IF(OR(LEFT(AA984,2)="L0",LEFT(AA984,2)="L1",Y984="No Iniciado"),"CRÍTICO - Incumplimiento Normativo SEPS",IF(AND(Y984="Implementado",Z984&lt;&gt;"",OR(LEFT(AA984,2)="L4",LEFT(AA984,2)="L5"),AB984&lt;&gt;"",AC984&lt;&gt;"",AC984&lt;&gt;"N/A"),"CONFORME - Control Efectivo ISO 27001","OBSERVACIÓN - Revisar Controles")))</f>
        <v/>
      </c>
    </row>
    <row r="985">
      <c r="A985" s="99"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c r="AD985">
        <f>IF(AND(Y985="",Z985="",AA985="",AB985="",AC985=""),"",IF(OR(LEFT(AA985,2)="L0",LEFT(AA985,2)="L1",Y985="No Iniciado"),"CRÍTICO - Incumplimiento Normativo SEPS",IF(AND(Y985="Implementado",Z985&lt;&gt;"",OR(LEFT(AA985,2)="L4",LEFT(AA985,2)="L5"),AB985&lt;&gt;"",AC985&lt;&gt;"",AC985&lt;&gt;"N/A"),"CONFORME - Control Efectivo ISO 27001","OBSERVACIÓN - Revisar Controles")))</f>
        <v/>
      </c>
    </row>
    <row r="986">
      <c r="A986" s="99"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c r="AD986">
        <f>IF(AND(Y986="",Z986="",AA986="",AB986="",AC986=""),"",IF(OR(LEFT(AA986,2)="L0",LEFT(AA986,2)="L1",Y986="No Iniciado"),"CRÍTICO - Incumplimiento Normativo SEPS",IF(AND(Y986="Implementado",Z986&lt;&gt;"",OR(LEFT(AA986,2)="L4",LEFT(AA986,2)="L5"),AB986&lt;&gt;"",AC986&lt;&gt;"",AC986&lt;&gt;"N/A"),"CONFORME - Control Efectivo ISO 27001","OBSERVACIÓN - Revisar Controles")))</f>
        <v/>
      </c>
    </row>
    <row r="987">
      <c r="A987" s="99"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c r="AD987">
        <f>IF(AND(Y987="",Z987="",AA987="",AB987="",AC987=""),"",IF(OR(LEFT(AA987,2)="L0",LEFT(AA987,2)="L1",Y987="No Iniciado"),"CRÍTICO - Incumplimiento Normativo SEPS",IF(AND(Y987="Implementado",Z987&lt;&gt;"",OR(LEFT(AA987,2)="L4",LEFT(AA987,2)="L5"),AB987&lt;&gt;"",AC987&lt;&gt;"",AC987&lt;&gt;"N/A"),"CONFORME - Control Efectivo ISO 27001","OBSERVACIÓN - Revisar Controles")))</f>
        <v/>
      </c>
    </row>
    <row r="988">
      <c r="A988" s="99"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c r="AD988">
        <f>IF(AND(Y988="",Z988="",AA988="",AB988="",AC988=""),"",IF(OR(LEFT(AA988,2)="L0",LEFT(AA988,2)="L1",Y988="No Iniciado"),"CRÍTICO - Incumplimiento Normativo SEPS",IF(AND(Y988="Implementado",Z988&lt;&gt;"",OR(LEFT(AA988,2)="L4",LEFT(AA988,2)="L5"),AB988&lt;&gt;"",AC988&lt;&gt;"",AC988&lt;&gt;"N/A"),"CONFORME - Control Efectivo ISO 27001","OBSERVACIÓN - Revisar Controles")))</f>
        <v/>
      </c>
    </row>
    <row r="989">
      <c r="A989" s="99"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c r="AD989">
        <f>IF(AND(Y989="",Z989="",AA989="",AB989="",AC989=""),"",IF(OR(LEFT(AA989,2)="L0",LEFT(AA989,2)="L1",Y989="No Iniciado"),"CRÍTICO - Incumplimiento Normativo SEPS",IF(AND(Y989="Implementado",Z989&lt;&gt;"",OR(LEFT(AA989,2)="L4",LEFT(AA989,2)="L5"),AB989&lt;&gt;"",AC989&lt;&gt;"",AC989&lt;&gt;"N/A"),"CONFORME - Control Efectivo ISO 27001","OBSERVACIÓN - Revisar Controles")))</f>
        <v/>
      </c>
    </row>
    <row r="990">
      <c r="A990" s="99"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c r="AD990">
        <f>IF(AND(Y990="",Z990="",AA990="",AB990="",AC990=""),"",IF(OR(LEFT(AA990,2)="L0",LEFT(AA990,2)="L1",Y990="No Iniciado"),"CRÍTICO - Incumplimiento Normativo SEPS",IF(AND(Y990="Implementado",Z990&lt;&gt;"",OR(LEFT(AA990,2)="L4",LEFT(AA990,2)="L5"),AB990&lt;&gt;"",AC990&lt;&gt;"",AC990&lt;&gt;"N/A"),"CONFORME - Control Efectivo ISO 27001","OBSERVACIÓN - Revisar Controles")))</f>
        <v/>
      </c>
    </row>
    <row r="991">
      <c r="A991" s="99"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c r="AD991">
        <f>IF(AND(Y991="",Z991="",AA991="",AB991="",AC991=""),"",IF(OR(LEFT(AA991,2)="L0",LEFT(AA991,2)="L1",Y991="No Iniciado"),"CRÍTICO - Incumplimiento Normativo SEPS",IF(AND(Y991="Implementado",Z991&lt;&gt;"",OR(LEFT(AA991,2)="L4",LEFT(AA991,2)="L5"),AB991&lt;&gt;"",AC991&lt;&gt;"",AC991&lt;&gt;"N/A"),"CONFORME - Control Efectivo ISO 27001","OBSERVACIÓN - Revisar Controles")))</f>
        <v/>
      </c>
    </row>
    <row r="992">
      <c r="A992" s="99"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c r="AD992">
        <f>IF(AND(Y992="",Z992="",AA992="",AB992="",AC992=""),"",IF(OR(LEFT(AA992,2)="L0",LEFT(AA992,2)="L1",Y992="No Iniciado"),"CRÍTICO - Incumplimiento Normativo SEPS",IF(AND(Y992="Implementado",Z992&lt;&gt;"",OR(LEFT(AA992,2)="L4",LEFT(AA992,2)="L5"),AB992&lt;&gt;"",AC992&lt;&gt;"",AC992&lt;&gt;"N/A"),"CONFORME - Control Efectivo ISO 27001","OBSERVACIÓN - Revisar Controles")))</f>
        <v/>
      </c>
    </row>
    <row r="993">
      <c r="A993" s="99"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c r="AD993">
        <f>IF(AND(Y993="",Z993="",AA993="",AB993="",AC993=""),"",IF(OR(LEFT(AA993,2)="L0",LEFT(AA993,2)="L1",Y993="No Iniciado"),"CRÍTICO - Incumplimiento Normativo SEPS",IF(AND(Y993="Implementado",Z993&lt;&gt;"",OR(LEFT(AA993,2)="L4",LEFT(AA993,2)="L5"),AB993&lt;&gt;"",AC993&lt;&gt;"",AC993&lt;&gt;"N/A"),"CONFORME - Control Efectivo ISO 27001","OBSERVACIÓN - Revisar Controles")))</f>
        <v/>
      </c>
    </row>
    <row r="994">
      <c r="A994" s="99"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c r="AD994">
        <f>IF(AND(Y994="",Z994="",AA994="",AB994="",AC994=""),"",IF(OR(LEFT(AA994,2)="L0",LEFT(AA994,2)="L1",Y994="No Iniciado"),"CRÍTICO - Incumplimiento Normativo SEPS",IF(AND(Y994="Implementado",Z994&lt;&gt;"",OR(LEFT(AA994,2)="L4",LEFT(AA994,2)="L5"),AB994&lt;&gt;"",AC994&lt;&gt;"",AC994&lt;&gt;"N/A"),"CONFORME - Control Efectivo ISO 27001","OBSERVACIÓN - Revisar Controles")))</f>
        <v/>
      </c>
    </row>
    <row r="995">
      <c r="A995" s="99"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c r="AD995">
        <f>IF(AND(Y995="",Z995="",AA995="",AB995="",AC995=""),"",IF(OR(LEFT(AA995,2)="L0",LEFT(AA995,2)="L1",Y995="No Iniciado"),"CRÍTICO - Incumplimiento Normativo SEPS",IF(AND(Y995="Implementado",Z995&lt;&gt;"",OR(LEFT(AA995,2)="L4",LEFT(AA995,2)="L5"),AB995&lt;&gt;"",AC995&lt;&gt;"",AC995&lt;&gt;"N/A"),"CONFORME - Control Efectivo ISO 27001","OBSERVACIÓN - Revisar Controles")))</f>
        <v/>
      </c>
    </row>
    <row r="996">
      <c r="A996" s="99"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c r="AD996">
        <f>IF(AND(Y996="",Z996="",AA996="",AB996="",AC996=""),"",IF(OR(LEFT(AA996,2)="L0",LEFT(AA996,2)="L1",Y996="No Iniciado"),"CRÍTICO - Incumplimiento Normativo SEPS",IF(AND(Y996="Implementado",Z996&lt;&gt;"",OR(LEFT(AA996,2)="L4",LEFT(AA996,2)="L5"),AB996&lt;&gt;"",AC996&lt;&gt;"",AC996&lt;&gt;"N/A"),"CONFORME - Control Efectivo ISO 27001","OBSERVACIÓN - Revisar Controles")))</f>
        <v/>
      </c>
    </row>
    <row r="997">
      <c r="A997" s="99"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c r="AD997">
        <f>IF(AND(Y997="",Z997="",AA997="",AB997="",AC997=""),"",IF(OR(LEFT(AA997,2)="L0",LEFT(AA997,2)="L1",Y997="No Iniciado"),"CRÍTICO - Incumplimiento Normativo SEPS",IF(AND(Y997="Implementado",Z997&lt;&gt;"",OR(LEFT(AA997,2)="L4",LEFT(AA997,2)="L5"),AB997&lt;&gt;"",AC997&lt;&gt;"",AC997&lt;&gt;"N/A"),"CONFORME - Control Efectivo ISO 27001","OBSERVACIÓN - Revisar Controles")))</f>
        <v/>
      </c>
    </row>
    <row r="998">
      <c r="A998" s="99"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c r="AD998">
        <f>IF(AND(Y998="",Z998="",AA998="",AB998="",AC998=""),"",IF(OR(LEFT(AA998,2)="L0",LEFT(AA998,2)="L1",Y998="No Iniciado"),"CRÍTICO - Incumplimiento Normativo SEPS",IF(AND(Y998="Implementado",Z998&lt;&gt;"",OR(LEFT(AA998,2)="L4",LEFT(AA998,2)="L5"),AB998&lt;&gt;"",AC998&lt;&gt;"",AC998&lt;&gt;"N/A"),"CONFORME - Control Efectivo ISO 27001","OBSERVACIÓN - Revisar Controles")))</f>
        <v/>
      </c>
    </row>
    <row r="999">
      <c r="A999" s="99"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c r="AD999">
        <f>IF(AND(Y999="",Z999="",AA999="",AB999="",AC999=""),"",IF(OR(LEFT(AA999,2)="L0",LEFT(AA999,2)="L1",Y999="No Iniciado"),"CRÍTICO - Incumplimiento Normativo SEPS",IF(AND(Y999="Implementado",Z999&lt;&gt;"",OR(LEFT(AA999,2)="L4",LEFT(AA999,2)="L5"),AB999&lt;&gt;"",AC999&lt;&gt;"",AC999&lt;&gt;"N/A"),"CONFORME - Control Efectivo ISO 27001","OBSERVACIÓN - Revisar Controles")))</f>
        <v/>
      </c>
    </row>
    <row r="1000">
      <c r="A1000" s="99"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c r="AD1000">
        <f>IF(AND(Y1000="",Z1000="",AA1000="",AB1000="",AC1000=""),"",IF(OR(LEFT(AA1000,2)="L0",LEFT(AA1000,2)="L1",Y1000="No Iniciado"),"CRÍTICO - Incumplimiento Normativo SEPS",IF(AND(Y1000="Implementado",Z1000&lt;&gt;"",OR(LEFT(AA1000,2)="L4",LEFT(AA1000,2)="L5"),AB1000&lt;&gt;"",AC1000&lt;&gt;"",AC1000&lt;&gt;"N/A"),"CONFORME - Control Efectivo ISO 27001","OBSERVACIÓN - Revisar Controles")))</f>
        <v/>
      </c>
    </row>
    <row r="1001">
      <c r="A1001" s="99"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c r="AD1001">
        <f>IF(AND(Y1001="",Z1001="",AA1001="",AB1001="",AC1001=""),"",IF(OR(LEFT(AA1001,2)="L0",LEFT(AA1001,2)="L1",Y1001="No Iniciado"),"CRÍTICO - Incumplimiento Normativo SEPS",IF(AND(Y1001="Implementado",Z1001&lt;&gt;"",OR(LEFT(AA1001,2)="L4",LEFT(AA1001,2)="L5"),AB1001&lt;&gt;"",AC1001&lt;&gt;"",AC1001&lt;&gt;"N/A"),"CONFORME - Control Efectivo ISO 27001","OBSERVACIÓN - Revisar Controles")))</f>
        <v/>
      </c>
    </row>
    <row r="1002">
      <c r="A1002" s="99"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c r="AD1002">
        <f>IF(AND(Y1002="",Z1002="",AA1002="",AB1002="",AC1002=""),"",IF(OR(LEFT(AA1002,2)="L0",LEFT(AA1002,2)="L1",Y1002="No Iniciado"),"CRÍTICO - Incumplimiento Normativo SEPS",IF(AND(Y1002="Implementado",Z1002&lt;&gt;"",OR(LEFT(AA1002,2)="L4",LEFT(AA1002,2)="L5"),AB1002&lt;&gt;"",AC1002&lt;&gt;"",AC1002&lt;&gt;"N/A"),"CONFORME - Control Efectivo ISO 27001","OBSERVACIÓN - Revisar Controles")))</f>
        <v/>
      </c>
    </row>
    <row r="1003">
      <c r="A1003" s="99"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c r="AD1003">
        <f>IF(AND(Y1003="",Z1003="",AA1003="",AB1003="",AC1003=""),"",IF(OR(LEFT(AA1003,2)="L0",LEFT(AA1003,2)="L1",Y1003="No Iniciado"),"CRÍTICO - Incumplimiento Normativo SEPS",IF(AND(Y1003="Implementado",Z1003&lt;&gt;"",OR(LEFT(AA1003,2)="L4",LEFT(AA1003,2)="L5"),AB1003&lt;&gt;"",AC1003&lt;&gt;"",AC1003&lt;&gt;"N/A"),"CONFORME - Control Efectivo ISO 27001","OBSERVACIÓN - Revisar Controles")))</f>
        <v/>
      </c>
    </row>
    <row r="1004">
      <c r="A1004" s="99"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c r="AD1004">
        <f>IF(AND(Y1004="",Z1004="",AA1004="",AB1004="",AC1004=""),"",IF(OR(LEFT(AA1004,2)="L0",LEFT(AA1004,2)="L1",Y1004="No Iniciado"),"CRÍTICO - Incumplimiento Normativo SEPS",IF(AND(Y1004="Implementado",Z1004&lt;&gt;"",OR(LEFT(AA1004,2)="L4",LEFT(AA1004,2)="L5"),AB1004&lt;&gt;"",AC1004&lt;&gt;"",AC1004&lt;&gt;"N/A"),"CONFORME - Control Efectivo ISO 27001","OBSERVACIÓN - Revisar Controles")))</f>
        <v/>
      </c>
    </row>
    <row r="1005">
      <c r="A1005" s="99"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c r="AD1005">
        <f>IF(AND(Y1005="",Z1005="",AA1005="",AB1005="",AC1005=""),"",IF(OR(LEFT(AA1005,2)="L0",LEFT(AA1005,2)="L1",Y1005="No Iniciado"),"CRÍTICO - Incumplimiento Normativo SEPS",IF(AND(Y1005="Implementado",Z1005&lt;&gt;"",OR(LEFT(AA1005,2)="L4",LEFT(AA1005,2)="L5"),AB1005&lt;&gt;"",AC1005&lt;&gt;"",AC1005&lt;&gt;"N/A"),"CONFORME - Control Efectivo ISO 27001","OBSERVACIÓN - Revisar Controles")))</f>
        <v/>
      </c>
    </row>
    <row r="1006">
      <c r="A1006" s="99"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c r="AD1006">
        <f>IF(AND(Y1006="",Z1006="",AA1006="",AB1006="",AC1006=""),"",IF(OR(LEFT(AA1006,2)="L0",LEFT(AA1006,2)="L1",Y1006="No Iniciado"),"CRÍTICO - Incumplimiento Normativo SEPS",IF(AND(Y1006="Implementado",Z1006&lt;&gt;"",OR(LEFT(AA1006,2)="L4",LEFT(AA1006,2)="L5"),AB1006&lt;&gt;"",AC1006&lt;&gt;"",AC1006&lt;&gt;"N/A"),"CONFORME - Control Efectivo ISO 27001","OBSERVACIÓN - Revisar Controles")))</f>
        <v/>
      </c>
    </row>
    <row r="1007">
      <c r="A1007" s="99"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c r="AD1007">
        <f>IF(AND(Y1007="",Z1007="",AA1007="",AB1007="",AC1007=""),"",IF(OR(LEFT(AA1007,2)="L0",LEFT(AA1007,2)="L1",Y1007="No Iniciado"),"CRÍTICO - Incumplimiento Normativo SEPS",IF(AND(Y1007="Implementado",Z1007&lt;&gt;"",OR(LEFT(AA1007,2)="L4",LEFT(AA1007,2)="L5"),AB1007&lt;&gt;"",AC1007&lt;&gt;"",AC1007&lt;&gt;"N/A"),"CONFORME - Control Efectivo ISO 27001","OBSERVACIÓN - Revisar Controles")))</f>
        <v/>
      </c>
    </row>
    <row r="1008">
      <c r="A1008" s="99"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c r="AD1008">
        <f>IF(AND(Y1008="",Z1008="",AA1008="",AB1008="",AC1008=""),"",IF(OR(LEFT(AA1008,2)="L0",LEFT(AA1008,2)="L1",Y1008="No Iniciado"),"CRÍTICO - Incumplimiento Normativo SEPS",IF(AND(Y1008="Implementado",Z1008&lt;&gt;"",OR(LEFT(AA1008,2)="L4",LEFT(AA1008,2)="L5"),AB1008&lt;&gt;"",AC1008&lt;&gt;"",AC1008&lt;&gt;"N/A"),"CONFORME - Control Efectivo ISO 27001","OBSERVACIÓN - Revisar Controles")))</f>
        <v/>
      </c>
    </row>
    <row r="1009">
      <c r="A1009" s="99"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c r="AD1009">
        <f>IF(AND(Y1009="",Z1009="",AA1009="",AB1009="",AC1009=""),"",IF(OR(LEFT(AA1009,2)="L0",LEFT(AA1009,2)="L1",Y1009="No Iniciado"),"CRÍTICO - Incumplimiento Normativo SEPS",IF(AND(Y1009="Implementado",Z1009&lt;&gt;"",OR(LEFT(AA1009,2)="L4",LEFT(AA1009,2)="L5"),AB1009&lt;&gt;"",AC1009&lt;&gt;"",AC1009&lt;&gt;"N/A"),"CONFORME - Control Efectivo ISO 27001","OBSERVACIÓN - Revisar Controles")))</f>
        <v/>
      </c>
    </row>
    <row r="1010">
      <c r="A1010" s="99"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c r="AD1010">
        <f>IF(AND(Y1010="",Z1010="",AA1010="",AB1010="",AC1010=""),"",IF(OR(LEFT(AA1010,2)="L0",LEFT(AA1010,2)="L1",Y1010="No Iniciado"),"CRÍTICO - Incumplimiento Normativo SEPS",IF(AND(Y1010="Implementado",Z1010&lt;&gt;"",OR(LEFT(AA1010,2)="L4",LEFT(AA1010,2)="L5"),AB1010&lt;&gt;"",AC1010&lt;&gt;"",AC1010&lt;&gt;"N/A"),"CONFORME - Control Efectivo ISO 27001","OBSERVACIÓN - Revisar Controles")))</f>
        <v/>
      </c>
    </row>
    <row r="1011">
      <c r="A1011" s="99"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c r="AD1011">
        <f>IF(AND(Y1011="",Z1011="",AA1011="",AB1011="",AC1011=""),"",IF(OR(LEFT(AA1011,2)="L0",LEFT(AA1011,2)="L1",Y1011="No Iniciado"),"CRÍTICO - Incumplimiento Normativo SEPS",IF(AND(Y1011="Implementado",Z1011&lt;&gt;"",OR(LEFT(AA1011,2)="L4",LEFT(AA1011,2)="L5"),AB1011&lt;&gt;"",AC1011&lt;&gt;"",AC1011&lt;&gt;"N/A"),"CONFORME - Control Efectivo ISO 27001","OBSERVACIÓN - Revisar Controles")))</f>
        <v/>
      </c>
    </row>
    <row r="1012">
      <c r="A1012" s="99"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c r="AD1012">
        <f>IF(AND(Y1012="",Z1012="",AA1012="",AB1012="",AC1012=""),"",IF(OR(LEFT(AA1012,2)="L0",LEFT(AA1012,2)="L1",Y1012="No Iniciado"),"CRÍTICO - Incumplimiento Normativo SEPS",IF(AND(Y1012="Implementado",Z1012&lt;&gt;"",OR(LEFT(AA1012,2)="L4",LEFT(AA1012,2)="L5"),AB1012&lt;&gt;"",AC1012&lt;&gt;"",AC1012&lt;&gt;"N/A"),"CONFORME - Control Efectivo ISO 27001","OBSERVACIÓN - Revisar Controles")))</f>
        <v/>
      </c>
    </row>
    <row r="1013">
      <c r="A1013" s="99"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c r="AD1013">
        <f>IF(AND(Y1013="",Z1013="",AA1013="",AB1013="",AC1013=""),"",IF(OR(LEFT(AA1013,2)="L0",LEFT(AA1013,2)="L1",Y1013="No Iniciado"),"CRÍTICO - Incumplimiento Normativo SEPS",IF(AND(Y1013="Implementado",Z1013&lt;&gt;"",OR(LEFT(AA1013,2)="L4",LEFT(AA1013,2)="L5"),AB1013&lt;&gt;"",AC1013&lt;&gt;"",AC1013&lt;&gt;"N/A"),"CONFORME - Control Efectivo ISO 27001","OBSERVACIÓN - Revisar Controles")))</f>
        <v/>
      </c>
    </row>
    <row r="1014">
      <c r="A1014" s="99"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c r="AD1014">
        <f>IF(AND(Y1014="",Z1014="",AA1014="",AB1014="",AC1014=""),"",IF(OR(LEFT(AA1014,2)="L0",LEFT(AA1014,2)="L1",Y1014="No Iniciado"),"CRÍTICO - Incumplimiento Normativo SEPS",IF(AND(Y1014="Implementado",Z1014&lt;&gt;"",OR(LEFT(AA1014,2)="L4",LEFT(AA1014,2)="L5"),AB1014&lt;&gt;"",AC1014&lt;&gt;"",AC1014&lt;&gt;"N/A"),"CONFORME - Control Efectivo ISO 27001","OBSERVACIÓN - Revisar Controles")))</f>
        <v/>
      </c>
    </row>
    <row r="1015">
      <c r="A1015" s="99"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c r="AD1015">
        <f>IF(AND(Y1015="",Z1015="",AA1015="",AB1015="",AC1015=""),"",IF(OR(LEFT(AA1015,2)="L0",LEFT(AA1015,2)="L1",Y1015="No Iniciado"),"CRÍTICO - Incumplimiento Normativo SEPS",IF(AND(Y1015="Implementado",Z1015&lt;&gt;"",OR(LEFT(AA1015,2)="L4",LEFT(AA1015,2)="L5"),AB1015&lt;&gt;"",AC1015&lt;&gt;"",AC1015&lt;&gt;"N/A"),"CONFORME - Control Efectivo ISO 27001","OBSERVACIÓN - Revisar Controles")))</f>
        <v/>
      </c>
    </row>
    <row r="1016">
      <c r="A1016" s="99"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c r="AD1016">
        <f>IF(AND(Y1016="",Z1016="",AA1016="",AB1016="",AC1016=""),"",IF(OR(LEFT(AA1016,2)="L0",LEFT(AA1016,2)="L1",Y1016="No Iniciado"),"CRÍTICO - Incumplimiento Normativo SEPS",IF(AND(Y1016="Implementado",Z1016&lt;&gt;"",OR(LEFT(AA1016,2)="L4",LEFT(AA1016,2)="L5"),AB1016&lt;&gt;"",AC1016&lt;&gt;"",AC1016&lt;&gt;"N/A"),"CONFORME - Control Efectivo ISO 27001","OBSERVACIÓN - Revisar Controles")))</f>
        <v/>
      </c>
    </row>
    <row r="1017">
      <c r="A1017" s="99"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c r="AD1017">
        <f>IF(AND(Y1017="",Z1017="",AA1017="",AB1017="",AC1017=""),"",IF(OR(LEFT(AA1017,2)="L0",LEFT(AA1017,2)="L1",Y1017="No Iniciado"),"CRÍTICO - Incumplimiento Normativo SEPS",IF(AND(Y1017="Implementado",Z1017&lt;&gt;"",OR(LEFT(AA1017,2)="L4",LEFT(AA1017,2)="L5"),AB1017&lt;&gt;"",AC1017&lt;&gt;"",AC1017&lt;&gt;"N/A"),"CONFORME - Control Efectivo ISO 27001","OBSERVACIÓN - Revisar Controles")))</f>
        <v/>
      </c>
    </row>
    <row r="1018">
      <c r="A1018" s="99"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c r="AD1018">
        <f>IF(AND(Y1018="",Z1018="",AA1018="",AB1018="",AC1018=""),"",IF(OR(LEFT(AA1018,2)="L0",LEFT(AA1018,2)="L1",Y1018="No Iniciado"),"CRÍTICO - Incumplimiento Normativo SEPS",IF(AND(Y1018="Implementado",Z1018&lt;&gt;"",OR(LEFT(AA1018,2)="L4",LEFT(AA1018,2)="L5"),AB1018&lt;&gt;"",AC1018&lt;&gt;"",AC1018&lt;&gt;"N/A"),"CONFORME - Control Efectivo ISO 27001","OBSERVACIÓN - Revisar Controles")))</f>
        <v/>
      </c>
    </row>
    <row r="1019">
      <c r="A1019" s="99"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c r="AD1019">
        <f>IF(AND(Y1019="",Z1019="",AA1019="",AB1019="",AC1019=""),"",IF(OR(LEFT(AA1019,2)="L0",LEFT(AA1019,2)="L1",Y1019="No Iniciado"),"CRÍTICO - Incumplimiento Normativo SEPS",IF(AND(Y1019="Implementado",Z1019&lt;&gt;"",OR(LEFT(AA1019,2)="L4",LEFT(AA1019,2)="L5"),AB1019&lt;&gt;"",AC1019&lt;&gt;"",AC1019&lt;&gt;"N/A"),"CONFORME - Control Efectivo ISO 27001","OBSERVACIÓN - Revisar Controles")))</f>
        <v/>
      </c>
    </row>
    <row r="1020">
      <c r="A1020" s="99"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c r="AD1020">
        <f>IF(AND(Y1020="",Z1020="",AA1020="",AB1020="",AC1020=""),"",IF(OR(LEFT(AA1020,2)="L0",LEFT(AA1020,2)="L1",Y1020="No Iniciado"),"CRÍTICO - Incumplimiento Normativo SEPS",IF(AND(Y1020="Implementado",Z1020&lt;&gt;"",OR(LEFT(AA1020,2)="L4",LEFT(AA1020,2)="L5"),AB1020&lt;&gt;"",AC1020&lt;&gt;"",AC1020&lt;&gt;"N/A"),"CONFORME - Control Efectivo ISO 27001","OBSERVACIÓN - Revisar Controles")))</f>
        <v/>
      </c>
    </row>
    <row r="1021">
      <c r="A1021" s="99"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c r="AD1021">
        <f>IF(AND(Y1021="",Z1021="",AA1021="",AB1021="",AC1021=""),"",IF(OR(LEFT(AA1021,2)="L0",LEFT(AA1021,2)="L1",Y1021="No Iniciado"),"CRÍTICO - Incumplimiento Normativo SEPS",IF(AND(Y1021="Implementado",Z1021&lt;&gt;"",OR(LEFT(AA1021,2)="L4",LEFT(AA1021,2)="L5"),AB1021&lt;&gt;"",AC1021&lt;&gt;"",AC1021&lt;&gt;"N/A"),"CONFORME - Control Efectivo ISO 27001","OBSERVACIÓN - Revisar Controles")))</f>
        <v/>
      </c>
    </row>
    <row r="1022">
      <c r="A1022" s="99"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c r="AD1022">
        <f>IF(AND(Y1022="",Z1022="",AA1022="",AB1022="",AC1022=""),"",IF(OR(LEFT(AA1022,2)="L0",LEFT(AA1022,2)="L1",Y1022="No Iniciado"),"CRÍTICO - Incumplimiento Normativo SEPS",IF(AND(Y1022="Implementado",Z1022&lt;&gt;"",OR(LEFT(AA1022,2)="L4",LEFT(AA1022,2)="L5"),AB1022&lt;&gt;"",AC1022&lt;&gt;"",AC1022&lt;&gt;"N/A"),"CONFORME - Control Efectivo ISO 27001","OBSERVACIÓN - Revisar Controles")))</f>
        <v/>
      </c>
    </row>
    <row r="1023">
      <c r="A1023" s="99"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c r="AD1023">
        <f>IF(AND(Y1023="",Z1023="",AA1023="",AB1023="",AC1023=""),"",IF(OR(LEFT(AA1023,2)="L0",LEFT(AA1023,2)="L1",Y1023="No Iniciado"),"CRÍTICO - Incumplimiento Normativo SEPS",IF(AND(Y1023="Implementado",Z1023&lt;&gt;"",OR(LEFT(AA1023,2)="L4",LEFT(AA1023,2)="L5"),AB1023&lt;&gt;"",AC1023&lt;&gt;"",AC1023&lt;&gt;"N/A"),"CONFORME - Control Efectivo ISO 27001","OBSERVACIÓN - Revisar Controles")))</f>
        <v/>
      </c>
    </row>
    <row r="1024">
      <c r="A1024" s="99"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c r="AD1024">
        <f>IF(AND(Y1024="",Z1024="",AA1024="",AB1024="",AC1024=""),"",IF(OR(LEFT(AA1024,2)="L0",LEFT(AA1024,2)="L1",Y1024="No Iniciado"),"CRÍTICO - Incumplimiento Normativo SEPS",IF(AND(Y1024="Implementado",Z1024&lt;&gt;"",OR(LEFT(AA1024,2)="L4",LEFT(AA1024,2)="L5"),AB1024&lt;&gt;"",AC1024&lt;&gt;"",AC1024&lt;&gt;"N/A"),"CONFORME - Control Efectivo ISO 27001","OBSERVACIÓN - Revisar Controles")))</f>
        <v/>
      </c>
    </row>
    <row r="1025">
      <c r="A1025" s="99"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c r="AD1025">
        <f>IF(AND(Y1025="",Z1025="",AA1025="",AB1025="",AC1025=""),"",IF(OR(LEFT(AA1025,2)="L0",LEFT(AA1025,2)="L1",Y1025="No Iniciado"),"CRÍTICO - Incumplimiento Normativo SEPS",IF(AND(Y1025="Implementado",Z1025&lt;&gt;"",OR(LEFT(AA1025,2)="L4",LEFT(AA1025,2)="L5"),AB1025&lt;&gt;"",AC1025&lt;&gt;"",AC1025&lt;&gt;"N/A"),"CONFORME - Control Efectivo ISO 27001","OBSERVACIÓN - Revisar Controles")))</f>
        <v/>
      </c>
    </row>
    <row r="1026">
      <c r="A1026" s="99"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c r="AD1026">
        <f>IF(AND(Y1026="",Z1026="",AA1026="",AB1026="",AC1026=""),"",IF(OR(LEFT(AA1026,2)="L0",LEFT(AA1026,2)="L1",Y1026="No Iniciado"),"CRÍTICO - Incumplimiento Normativo SEPS",IF(AND(Y1026="Implementado",Z1026&lt;&gt;"",OR(LEFT(AA1026,2)="L4",LEFT(AA1026,2)="L5"),AB1026&lt;&gt;"",AC1026&lt;&gt;"",AC1026&lt;&gt;"N/A"),"CONFORME - Control Efectivo ISO 27001","OBSERVACIÓN - Revisar Controles")))</f>
        <v/>
      </c>
    </row>
    <row r="1027">
      <c r="A1027" s="99"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c r="AD1027">
        <f>IF(AND(Y1027="",Z1027="",AA1027="",AB1027="",AC1027=""),"",IF(OR(LEFT(AA1027,2)="L0",LEFT(AA1027,2)="L1",Y1027="No Iniciado"),"CRÍTICO - Incumplimiento Normativo SEPS",IF(AND(Y1027="Implementado",Z1027&lt;&gt;"",OR(LEFT(AA1027,2)="L4",LEFT(AA1027,2)="L5"),AB1027&lt;&gt;"",AC1027&lt;&gt;"",AC1027&lt;&gt;"N/A"),"CONFORME - Control Efectivo ISO 27001","OBSERVACIÓN - Revisar Controles")))</f>
        <v/>
      </c>
    </row>
    <row r="1028">
      <c r="A1028" s="99"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c r="AD1028">
        <f>IF(AND(Y1028="",Z1028="",AA1028="",AB1028="",AC1028=""),"",IF(OR(LEFT(AA1028,2)="L0",LEFT(AA1028,2)="L1",Y1028="No Iniciado"),"CRÍTICO - Incumplimiento Normativo SEPS",IF(AND(Y1028="Implementado",Z1028&lt;&gt;"",OR(LEFT(AA1028,2)="L4",LEFT(AA1028,2)="L5"),AB1028&lt;&gt;"",AC1028&lt;&gt;"",AC1028&lt;&gt;"N/A"),"CONFORME - Control Efectivo ISO 27001","OBSERVACIÓN - Revisar Controles")))</f>
        <v/>
      </c>
    </row>
    <row r="1029">
      <c r="A1029" s="99"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c r="AD1029">
        <f>IF(AND(Y1029="",Z1029="",AA1029="",AB1029="",AC1029=""),"",IF(OR(LEFT(AA1029,2)="L0",LEFT(AA1029,2)="L1",Y1029="No Iniciado"),"CRÍTICO - Incumplimiento Normativo SEPS",IF(AND(Y1029="Implementado",Z1029&lt;&gt;"",OR(LEFT(AA1029,2)="L4",LEFT(AA1029,2)="L5"),AB1029&lt;&gt;"",AC1029&lt;&gt;"",AC1029&lt;&gt;"N/A"),"CONFORME - Control Efectivo ISO 27001","OBSERVACIÓN - Revisar Controles")))</f>
        <v/>
      </c>
    </row>
    <row r="1030">
      <c r="A1030" s="99"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c r="AD1030">
        <f>IF(AND(Y1030="",Z1030="",AA1030="",AB1030="",AC1030=""),"",IF(OR(LEFT(AA1030,2)="L0",LEFT(AA1030,2)="L1",Y1030="No Iniciado"),"CRÍTICO - Incumplimiento Normativo SEPS",IF(AND(Y1030="Implementado",Z1030&lt;&gt;"",OR(LEFT(AA1030,2)="L4",LEFT(AA1030,2)="L5"),AB1030&lt;&gt;"",AC1030&lt;&gt;"",AC1030&lt;&gt;"N/A"),"CONFORME - Control Efectivo ISO 27001","OBSERVACIÓN - Revisar Controles")))</f>
        <v/>
      </c>
    </row>
    <row r="1031">
      <c r="A1031" s="99"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c r="AD1031">
        <f>IF(AND(Y1031="",Z1031="",AA1031="",AB1031="",AC1031=""),"",IF(OR(LEFT(AA1031,2)="L0",LEFT(AA1031,2)="L1",Y1031="No Iniciado"),"CRÍTICO - Incumplimiento Normativo SEPS",IF(AND(Y1031="Implementado",Z1031&lt;&gt;"",OR(LEFT(AA1031,2)="L4",LEFT(AA1031,2)="L5"),AB1031&lt;&gt;"",AC1031&lt;&gt;"",AC1031&lt;&gt;"N/A"),"CONFORME - Control Efectivo ISO 27001","OBSERVACIÓN - Revisar Controles")))</f>
        <v/>
      </c>
    </row>
    <row r="1032">
      <c r="A1032" s="99"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c r="AD1032">
        <f>IF(AND(Y1032="",Z1032="",AA1032="",AB1032="",AC1032=""),"",IF(OR(LEFT(AA1032,2)="L0",LEFT(AA1032,2)="L1",Y1032="No Iniciado"),"CRÍTICO - Incumplimiento Normativo SEPS",IF(AND(Y1032="Implementado",Z1032&lt;&gt;"",OR(LEFT(AA1032,2)="L4",LEFT(AA1032,2)="L5"),AB1032&lt;&gt;"",AC1032&lt;&gt;"",AC1032&lt;&gt;"N/A"),"CONFORME - Control Efectivo ISO 27001","OBSERVACIÓN - Revisar Controles")))</f>
        <v/>
      </c>
    </row>
    <row r="1033">
      <c r="A1033" s="99"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c r="AD1033">
        <f>IF(AND(Y1033="",Z1033="",AA1033="",AB1033="",AC1033=""),"",IF(OR(LEFT(AA1033,2)="L0",LEFT(AA1033,2)="L1",Y1033="No Iniciado"),"CRÍTICO - Incumplimiento Normativo SEPS",IF(AND(Y1033="Implementado",Z1033&lt;&gt;"",OR(LEFT(AA1033,2)="L4",LEFT(AA1033,2)="L5"),AB1033&lt;&gt;"",AC1033&lt;&gt;"",AC1033&lt;&gt;"N/A"),"CONFORME - Control Efectivo ISO 27001","OBSERVACIÓN - Revisar Controles")))</f>
        <v/>
      </c>
    </row>
    <row r="1034">
      <c r="A1034" s="99"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c r="AD1034">
        <f>IF(AND(Y1034="",Z1034="",AA1034="",AB1034="",AC1034=""),"",IF(OR(LEFT(AA1034,2)="L0",LEFT(AA1034,2)="L1",Y1034="No Iniciado"),"CRÍTICO - Incumplimiento Normativo SEPS",IF(AND(Y1034="Implementado",Z1034&lt;&gt;"",OR(LEFT(AA1034,2)="L4",LEFT(AA1034,2)="L5"),AB1034&lt;&gt;"",AC1034&lt;&gt;"",AC1034&lt;&gt;"N/A"),"CONFORME - Control Efectivo ISO 27001","OBSERVACIÓN - Revisar Controles")))</f>
        <v/>
      </c>
    </row>
    <row r="1035">
      <c r="A1035" s="99"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c r="AD1035">
        <f>IF(AND(Y1035="",Z1035="",AA1035="",AB1035="",AC1035=""),"",IF(OR(LEFT(AA1035,2)="L0",LEFT(AA1035,2)="L1",Y1035="No Iniciado"),"CRÍTICO - Incumplimiento Normativo SEPS",IF(AND(Y1035="Implementado",Z1035&lt;&gt;"",OR(LEFT(AA1035,2)="L4",LEFT(AA1035,2)="L5"),AB1035&lt;&gt;"",AC1035&lt;&gt;"",AC1035&lt;&gt;"N/A"),"CONFORME - Control Efectivo ISO 27001","OBSERVACIÓN - Revisar Controles")))</f>
        <v/>
      </c>
    </row>
    <row r="1036">
      <c r="A1036" s="99"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c r="AD1036">
        <f>IF(AND(Y1036="",Z1036="",AA1036="",AB1036="",AC1036=""),"",IF(OR(LEFT(AA1036,2)="L0",LEFT(AA1036,2)="L1",Y1036="No Iniciado"),"CRÍTICO - Incumplimiento Normativo SEPS",IF(AND(Y1036="Implementado",Z1036&lt;&gt;"",OR(LEFT(AA1036,2)="L4",LEFT(AA1036,2)="L5"),AB1036&lt;&gt;"",AC1036&lt;&gt;"",AC1036&lt;&gt;"N/A"),"CONFORME - Control Efectivo ISO 27001","OBSERVACIÓN - Revisar Controles")))</f>
        <v/>
      </c>
    </row>
    <row r="1037">
      <c r="A1037" s="99"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c r="AD1037">
        <f>IF(AND(Y1037="",Z1037="",AA1037="",AB1037="",AC1037=""),"",IF(OR(LEFT(AA1037,2)="L0",LEFT(AA1037,2)="L1",Y1037="No Iniciado"),"CRÍTICO - Incumplimiento Normativo SEPS",IF(AND(Y1037="Implementado",Z1037&lt;&gt;"",OR(LEFT(AA1037,2)="L4",LEFT(AA1037,2)="L5"),AB1037&lt;&gt;"",AC1037&lt;&gt;"",AC1037&lt;&gt;"N/A"),"CONFORME - Control Efectivo ISO 27001","OBSERVACIÓN - Revisar Controles")))</f>
        <v/>
      </c>
    </row>
    <row r="1038">
      <c r="A1038" s="99"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c r="AD1038">
        <f>IF(AND(Y1038="",Z1038="",AA1038="",AB1038="",AC1038=""),"",IF(OR(LEFT(AA1038,2)="L0",LEFT(AA1038,2)="L1",Y1038="No Iniciado"),"CRÍTICO - Incumplimiento Normativo SEPS",IF(AND(Y1038="Implementado",Z1038&lt;&gt;"",OR(LEFT(AA1038,2)="L4",LEFT(AA1038,2)="L5"),AB1038&lt;&gt;"",AC1038&lt;&gt;"",AC1038&lt;&gt;"N/A"),"CONFORME - Control Efectivo ISO 27001","OBSERVACIÓN - Revisar Controles")))</f>
        <v/>
      </c>
    </row>
    <row r="1039">
      <c r="A1039" s="99"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c r="AD1039">
        <f>IF(AND(Y1039="",Z1039="",AA1039="",AB1039="",AC1039=""),"",IF(OR(LEFT(AA1039,2)="L0",LEFT(AA1039,2)="L1",Y1039="No Iniciado"),"CRÍTICO - Incumplimiento Normativo SEPS",IF(AND(Y1039="Implementado",Z1039&lt;&gt;"",OR(LEFT(AA1039,2)="L4",LEFT(AA1039,2)="L5"),AB1039&lt;&gt;"",AC1039&lt;&gt;"",AC1039&lt;&gt;"N/A"),"CONFORME - Control Efectivo ISO 27001","OBSERVACIÓN - Revisar Controles")))</f>
        <v/>
      </c>
    </row>
    <row r="1040">
      <c r="A1040" s="99"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c r="AD1040">
        <f>IF(AND(Y1040="",Z1040="",AA1040="",AB1040="",AC1040=""),"",IF(OR(LEFT(AA1040,2)="L0",LEFT(AA1040,2)="L1",Y1040="No Iniciado"),"CRÍTICO - Incumplimiento Normativo SEPS",IF(AND(Y1040="Implementado",Z1040&lt;&gt;"",OR(LEFT(AA1040,2)="L4",LEFT(AA1040,2)="L5"),AB1040&lt;&gt;"",AC1040&lt;&gt;"",AC1040&lt;&gt;"N/A"),"CONFORME - Control Efectivo ISO 27001","OBSERVACIÓN - Revisar Controles")))</f>
        <v/>
      </c>
    </row>
    <row r="1041">
      <c r="A1041" s="99"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c r="AD1041">
        <f>IF(AND(Y1041="",Z1041="",AA1041="",AB1041="",AC1041=""),"",IF(OR(LEFT(AA1041,2)="L0",LEFT(AA1041,2)="L1",Y1041="No Iniciado"),"CRÍTICO - Incumplimiento Normativo SEPS",IF(AND(Y1041="Implementado",Z1041&lt;&gt;"",OR(LEFT(AA1041,2)="L4",LEFT(AA1041,2)="L5"),AB1041&lt;&gt;"",AC1041&lt;&gt;"",AC1041&lt;&gt;"N/A"),"CONFORME - Control Efectivo ISO 27001","OBSERVACIÓN - Revisar Controles")))</f>
        <v/>
      </c>
    </row>
    <row r="1042">
      <c r="A1042" s="99"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c r="AD1042">
        <f>IF(AND(Y1042="",Z1042="",AA1042="",AB1042="",AC1042=""),"",IF(OR(LEFT(AA1042,2)="L0",LEFT(AA1042,2)="L1",Y1042="No Iniciado"),"CRÍTICO - Incumplimiento Normativo SEPS",IF(AND(Y1042="Implementado",Z1042&lt;&gt;"",OR(LEFT(AA1042,2)="L4",LEFT(AA1042,2)="L5"),AB1042&lt;&gt;"",AC1042&lt;&gt;"",AC1042&lt;&gt;"N/A"),"CONFORME - Control Efectivo ISO 27001","OBSERVACIÓN - Revisar Controles")))</f>
        <v/>
      </c>
    </row>
    <row r="1043">
      <c r="A1043" s="99"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c r="AD1043">
        <f>IF(AND(Y1043="",Z1043="",AA1043="",AB1043="",AC1043=""),"",IF(OR(LEFT(AA1043,2)="L0",LEFT(AA1043,2)="L1",Y1043="No Iniciado"),"CRÍTICO - Incumplimiento Normativo SEPS",IF(AND(Y1043="Implementado",Z1043&lt;&gt;"",OR(LEFT(AA1043,2)="L4",LEFT(AA1043,2)="L5"),AB1043&lt;&gt;"",AC1043&lt;&gt;"",AC1043&lt;&gt;"N/A"),"CONFORME - Control Efectivo ISO 27001","OBSERVACIÓN - Revisar Controles")))</f>
        <v/>
      </c>
    </row>
    <row r="1044">
      <c r="A1044" s="99"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c r="AD1044">
        <f>IF(AND(Y1044="",Z1044="",AA1044="",AB1044="",AC1044=""),"",IF(OR(LEFT(AA1044,2)="L0",LEFT(AA1044,2)="L1",Y1044="No Iniciado"),"CRÍTICO - Incumplimiento Normativo SEPS",IF(AND(Y1044="Implementado",Z1044&lt;&gt;"",OR(LEFT(AA1044,2)="L4",LEFT(AA1044,2)="L5"),AB1044&lt;&gt;"",AC1044&lt;&gt;"",AC1044&lt;&gt;"N/A"),"CONFORME - Control Efectivo ISO 27001","OBSERVACIÓN - Revisar Controles")))</f>
        <v/>
      </c>
    </row>
    <row r="1045">
      <c r="A1045" s="99"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c r="AD1045">
        <f>IF(AND(Y1045="",Z1045="",AA1045="",AB1045="",AC1045=""),"",IF(OR(LEFT(AA1045,2)="L0",LEFT(AA1045,2)="L1",Y1045="No Iniciado"),"CRÍTICO - Incumplimiento Normativo SEPS",IF(AND(Y1045="Implementado",Z1045&lt;&gt;"",OR(LEFT(AA1045,2)="L4",LEFT(AA1045,2)="L5"),AB1045&lt;&gt;"",AC1045&lt;&gt;"",AC1045&lt;&gt;"N/A"),"CONFORME - Control Efectivo ISO 27001","OBSERVACIÓN - Revisar Controles")))</f>
        <v/>
      </c>
    </row>
    <row r="1046">
      <c r="A1046" s="99"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c r="AD1046">
        <f>IF(AND(Y1046="",Z1046="",AA1046="",AB1046="",AC1046=""),"",IF(OR(LEFT(AA1046,2)="L0",LEFT(AA1046,2)="L1",Y1046="No Iniciado"),"CRÍTICO - Incumplimiento Normativo SEPS",IF(AND(Y1046="Implementado",Z1046&lt;&gt;"",OR(LEFT(AA1046,2)="L4",LEFT(AA1046,2)="L5"),AB1046&lt;&gt;"",AC1046&lt;&gt;"",AC1046&lt;&gt;"N/A"),"CONFORME - Control Efectivo ISO 27001","OBSERVACIÓN - Revisar Controles")))</f>
        <v/>
      </c>
    </row>
    <row r="1047">
      <c r="A1047" s="99"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c r="AD1047">
        <f>IF(AND(Y1047="",Z1047="",AA1047="",AB1047="",AC1047=""),"",IF(OR(LEFT(AA1047,2)="L0",LEFT(AA1047,2)="L1",Y1047="No Iniciado"),"CRÍTICO - Incumplimiento Normativo SEPS",IF(AND(Y1047="Implementado",Z1047&lt;&gt;"",OR(LEFT(AA1047,2)="L4",LEFT(AA1047,2)="L5"),AB1047&lt;&gt;"",AC1047&lt;&gt;"",AC1047&lt;&gt;"N/A"),"CONFORME - Control Efectivo ISO 27001","OBSERVACIÓN - Revisar Controles")))</f>
        <v/>
      </c>
    </row>
    <row r="1048">
      <c r="A1048" s="99"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c r="AD1048">
        <f>IF(AND(Y1048="",Z1048="",AA1048="",AB1048="",AC1048=""),"",IF(OR(LEFT(AA1048,2)="L0",LEFT(AA1048,2)="L1",Y1048="No Iniciado"),"CRÍTICO - Incumplimiento Normativo SEPS",IF(AND(Y1048="Implementado",Z1048&lt;&gt;"",OR(LEFT(AA1048,2)="L4",LEFT(AA1048,2)="L5"),AB1048&lt;&gt;"",AC1048&lt;&gt;"",AC1048&lt;&gt;"N/A"),"CONFORME - Control Efectivo ISO 27001","OBSERVACIÓN - Revisar Controles")))</f>
        <v/>
      </c>
    </row>
    <row r="1049">
      <c r="A1049" s="99"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c r="AD1049">
        <f>IF(AND(Y1049="",Z1049="",AA1049="",AB1049="",AC1049=""),"",IF(OR(LEFT(AA1049,2)="L0",LEFT(AA1049,2)="L1",Y1049="No Iniciado"),"CRÍTICO - Incumplimiento Normativo SEPS",IF(AND(Y1049="Implementado",Z1049&lt;&gt;"",OR(LEFT(AA1049,2)="L4",LEFT(AA1049,2)="L5"),AB1049&lt;&gt;"",AC1049&lt;&gt;"",AC1049&lt;&gt;"N/A"),"CONFORME - Control Efectivo ISO 27001","OBSERVACIÓN - Revisar Controles")))</f>
        <v/>
      </c>
    </row>
    <row r="1050">
      <c r="A1050" s="99"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c r="AD1050">
        <f>IF(AND(Y1050="",Z1050="",AA1050="",AB1050="",AC1050=""),"",IF(OR(LEFT(AA1050,2)="L0",LEFT(AA1050,2)="L1",Y1050="No Iniciado"),"CRÍTICO - Incumplimiento Normativo SEPS",IF(AND(Y1050="Implementado",Z1050&lt;&gt;"",OR(LEFT(AA1050,2)="L4",LEFT(AA1050,2)="L5"),AB1050&lt;&gt;"",AC1050&lt;&gt;"",AC1050&lt;&gt;"N/A"),"CONFORME - Control Efectivo ISO 27001","OBSERVACIÓN - Revisar Controles")))</f>
        <v/>
      </c>
    </row>
    <row r="1051">
      <c r="A1051" s="99"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c r="AD1051">
        <f>IF(AND(Y1051="",Z1051="",AA1051="",AB1051="",AC1051=""),"",IF(OR(LEFT(AA1051,2)="L0",LEFT(AA1051,2)="L1",Y1051="No Iniciado"),"CRÍTICO - Incumplimiento Normativo SEPS",IF(AND(Y1051="Implementado",Z1051&lt;&gt;"",OR(LEFT(AA1051,2)="L4",LEFT(AA1051,2)="L5"),AB1051&lt;&gt;"",AC1051&lt;&gt;"",AC1051&lt;&gt;"N/A"),"CONFORME - Control Efectivo ISO 27001","OBSERVACIÓN - Revisar Controles")))</f>
        <v/>
      </c>
    </row>
    <row r="1052">
      <c r="A1052" s="99"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c r="AD1052">
        <f>IF(AND(Y1052="",Z1052="",AA1052="",AB1052="",AC1052=""),"",IF(OR(LEFT(AA1052,2)="L0",LEFT(AA1052,2)="L1",Y1052="No Iniciado"),"CRÍTICO - Incumplimiento Normativo SEPS",IF(AND(Y1052="Implementado",Z1052&lt;&gt;"",OR(LEFT(AA1052,2)="L4",LEFT(AA1052,2)="L5"),AB1052&lt;&gt;"",AC1052&lt;&gt;"",AC1052&lt;&gt;"N/A"),"CONFORME - Control Efectivo ISO 27001","OBSERVACIÓN - Revisar Controles")))</f>
        <v/>
      </c>
    </row>
    <row r="1053">
      <c r="A1053" s="99"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c r="AD1053">
        <f>IF(AND(Y1053="",Z1053="",AA1053="",AB1053="",AC1053=""),"",IF(OR(LEFT(AA1053,2)="L0",LEFT(AA1053,2)="L1",Y1053="No Iniciado"),"CRÍTICO - Incumplimiento Normativo SEPS",IF(AND(Y1053="Implementado",Z1053&lt;&gt;"",OR(LEFT(AA1053,2)="L4",LEFT(AA1053,2)="L5"),AB1053&lt;&gt;"",AC1053&lt;&gt;"",AC1053&lt;&gt;"N/A"),"CONFORME - Control Efectivo ISO 27001","OBSERVACIÓN - Revisar Controles")))</f>
        <v/>
      </c>
    </row>
    <row r="1054">
      <c r="A1054" s="99"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c r="AD1054">
        <f>IF(AND(Y1054="",Z1054="",AA1054="",AB1054="",AC1054=""),"",IF(OR(LEFT(AA1054,2)="L0",LEFT(AA1054,2)="L1",Y1054="No Iniciado"),"CRÍTICO - Incumplimiento Normativo SEPS",IF(AND(Y1054="Implementado",Z1054&lt;&gt;"",OR(LEFT(AA1054,2)="L4",LEFT(AA1054,2)="L5"),AB1054&lt;&gt;"",AC1054&lt;&gt;"",AC1054&lt;&gt;"N/A"),"CONFORME - Control Efectivo ISO 27001","OBSERVACIÓN - Revisar Controles")))</f>
        <v/>
      </c>
    </row>
    <row r="1055">
      <c r="A1055" s="99"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c r="AD1055">
        <f>IF(AND(Y1055="",Z1055="",AA1055="",AB1055="",AC1055=""),"",IF(OR(LEFT(AA1055,2)="L0",LEFT(AA1055,2)="L1",Y1055="No Iniciado"),"CRÍTICO - Incumplimiento Normativo SEPS",IF(AND(Y1055="Implementado",Z1055&lt;&gt;"",OR(LEFT(AA1055,2)="L4",LEFT(AA1055,2)="L5"),AB1055&lt;&gt;"",AC1055&lt;&gt;"",AC1055&lt;&gt;"N/A"),"CONFORME - Control Efectivo ISO 27001","OBSERVACIÓN - Revisar Controles")))</f>
        <v/>
      </c>
    </row>
    <row r="1056">
      <c r="A1056" s="99"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c r="AD1056">
        <f>IF(AND(Y1056="",Z1056="",AA1056="",AB1056="",AC1056=""),"",IF(OR(LEFT(AA1056,2)="L0",LEFT(AA1056,2)="L1",Y1056="No Iniciado"),"CRÍTICO - Incumplimiento Normativo SEPS",IF(AND(Y1056="Implementado",Z1056&lt;&gt;"",OR(LEFT(AA1056,2)="L4",LEFT(AA1056,2)="L5"),AB1056&lt;&gt;"",AC1056&lt;&gt;"",AC1056&lt;&gt;"N/A"),"CONFORME - Control Efectivo ISO 27001","OBSERVACIÓN - Revisar Controles")))</f>
        <v/>
      </c>
    </row>
    <row r="1057">
      <c r="A1057" s="99"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c r="AD1057">
        <f>IF(AND(Y1057="",Z1057="",AA1057="",AB1057="",AC1057=""),"",IF(OR(LEFT(AA1057,2)="L0",LEFT(AA1057,2)="L1",Y1057="No Iniciado"),"CRÍTICO - Incumplimiento Normativo SEPS",IF(AND(Y1057="Implementado",Z1057&lt;&gt;"",OR(LEFT(AA1057,2)="L4",LEFT(AA1057,2)="L5"),AB1057&lt;&gt;"",AC1057&lt;&gt;"",AC1057&lt;&gt;"N/A"),"CONFORME - Control Efectivo ISO 27001","OBSERVACIÓN - Revisar Controles")))</f>
        <v/>
      </c>
    </row>
    <row r="1058">
      <c r="A1058" s="99"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c r="AD1058">
        <f>IF(AND(Y1058="",Z1058="",AA1058="",AB1058="",AC1058=""),"",IF(OR(LEFT(AA1058,2)="L0",LEFT(AA1058,2)="L1",Y1058="No Iniciado"),"CRÍTICO - Incumplimiento Normativo SEPS",IF(AND(Y1058="Implementado",Z1058&lt;&gt;"",OR(LEFT(AA1058,2)="L4",LEFT(AA1058,2)="L5"),AB1058&lt;&gt;"",AC1058&lt;&gt;"",AC1058&lt;&gt;"N/A"),"CONFORME - Control Efectivo ISO 27001","OBSERVACIÓN - Revisar Controles")))</f>
        <v/>
      </c>
    </row>
    <row r="1059">
      <c r="A1059" s="99"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c r="AD1059">
        <f>IF(AND(Y1059="",Z1059="",AA1059="",AB1059="",AC1059=""),"",IF(OR(LEFT(AA1059,2)="L0",LEFT(AA1059,2)="L1",Y1059="No Iniciado"),"CRÍTICO - Incumplimiento Normativo SEPS",IF(AND(Y1059="Implementado",Z1059&lt;&gt;"",OR(LEFT(AA1059,2)="L4",LEFT(AA1059,2)="L5"),AB1059&lt;&gt;"",AC1059&lt;&gt;"",AC1059&lt;&gt;"N/A"),"CONFORME - Control Efectivo ISO 27001","OBSERVACIÓN - Revisar Controles")))</f>
        <v/>
      </c>
    </row>
    <row r="1060">
      <c r="A1060" s="99"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c r="AD1060">
        <f>IF(AND(Y1060="",Z1060="",AA1060="",AB1060="",AC1060=""),"",IF(OR(LEFT(AA1060,2)="L0",LEFT(AA1060,2)="L1",Y1060="No Iniciado"),"CRÍTICO - Incumplimiento Normativo SEPS",IF(AND(Y1060="Implementado",Z1060&lt;&gt;"",OR(LEFT(AA1060,2)="L4",LEFT(AA1060,2)="L5"),AB1060&lt;&gt;"",AC1060&lt;&gt;"",AC1060&lt;&gt;"N/A"),"CONFORME - Control Efectivo ISO 27001","OBSERVACIÓN - Revisar Controles")))</f>
        <v/>
      </c>
    </row>
    <row r="1061">
      <c r="A1061" s="99"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c r="AD1061">
        <f>IF(AND(Y1061="",Z1061="",AA1061="",AB1061="",AC1061=""),"",IF(OR(LEFT(AA1061,2)="L0",LEFT(AA1061,2)="L1",Y1061="No Iniciado"),"CRÍTICO - Incumplimiento Normativo SEPS",IF(AND(Y1061="Implementado",Z1061&lt;&gt;"",OR(LEFT(AA1061,2)="L4",LEFT(AA1061,2)="L5"),AB1061&lt;&gt;"",AC1061&lt;&gt;"",AC1061&lt;&gt;"N/A"),"CONFORME - Control Efectivo ISO 27001","OBSERVACIÓN - Revisar Controles")))</f>
        <v/>
      </c>
    </row>
    <row r="1062">
      <c r="A1062" s="99"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c r="AD1062">
        <f>IF(AND(Y1062="",Z1062="",AA1062="",AB1062="",AC1062=""),"",IF(OR(LEFT(AA1062,2)="L0",LEFT(AA1062,2)="L1",Y1062="No Iniciado"),"CRÍTICO - Incumplimiento Normativo SEPS",IF(AND(Y1062="Implementado",Z1062&lt;&gt;"",OR(LEFT(AA1062,2)="L4",LEFT(AA1062,2)="L5"),AB1062&lt;&gt;"",AC1062&lt;&gt;"",AC1062&lt;&gt;"N/A"),"CONFORME - Control Efectivo ISO 27001","OBSERVACIÓN - Revisar Controles")))</f>
        <v/>
      </c>
    </row>
    <row r="1063">
      <c r="A1063" s="99"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c r="AD1063">
        <f>IF(AND(Y1063="",Z1063="",AA1063="",AB1063="",AC1063=""),"",IF(OR(LEFT(AA1063,2)="L0",LEFT(AA1063,2)="L1",Y1063="No Iniciado"),"CRÍTICO - Incumplimiento Normativo SEPS",IF(AND(Y1063="Implementado",Z1063&lt;&gt;"",OR(LEFT(AA1063,2)="L4",LEFT(AA1063,2)="L5"),AB1063&lt;&gt;"",AC1063&lt;&gt;"",AC1063&lt;&gt;"N/A"),"CONFORME - Control Efectivo ISO 27001","OBSERVACIÓN - Revisar Controles")))</f>
        <v/>
      </c>
    </row>
    <row r="1064">
      <c r="A1064" s="99"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c r="AD1064">
        <f>IF(AND(Y1064="",Z1064="",AA1064="",AB1064="",AC1064=""),"",IF(OR(LEFT(AA1064,2)="L0",LEFT(AA1064,2)="L1",Y1064="No Iniciado"),"CRÍTICO - Incumplimiento Normativo SEPS",IF(AND(Y1064="Implementado",Z1064&lt;&gt;"",OR(LEFT(AA1064,2)="L4",LEFT(AA1064,2)="L5"),AB1064&lt;&gt;"",AC1064&lt;&gt;"",AC1064&lt;&gt;"N/A"),"CONFORME - Control Efectivo ISO 27001","OBSERVACIÓN - Revisar Controles")))</f>
        <v/>
      </c>
    </row>
    <row r="1065">
      <c r="A1065" s="99"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c r="AD1065">
        <f>IF(AND(Y1065="",Z1065="",AA1065="",AB1065="",AC1065=""),"",IF(OR(LEFT(AA1065,2)="L0",LEFT(AA1065,2)="L1",Y1065="No Iniciado"),"CRÍTICO - Incumplimiento Normativo SEPS",IF(AND(Y1065="Implementado",Z1065&lt;&gt;"",OR(LEFT(AA1065,2)="L4",LEFT(AA1065,2)="L5"),AB1065&lt;&gt;"",AC1065&lt;&gt;"",AC1065&lt;&gt;"N/A"),"CONFORME - Control Efectivo ISO 27001","OBSERVACIÓN - Revisar Controles")))</f>
        <v/>
      </c>
    </row>
    <row r="1066">
      <c r="A1066" s="99"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c r="AD1066">
        <f>IF(AND(Y1066="",Z1066="",AA1066="",AB1066="",AC1066=""),"",IF(OR(LEFT(AA1066,2)="L0",LEFT(AA1066,2)="L1",Y1066="No Iniciado"),"CRÍTICO - Incumplimiento Normativo SEPS",IF(AND(Y1066="Implementado",Z1066&lt;&gt;"",OR(LEFT(AA1066,2)="L4",LEFT(AA1066,2)="L5"),AB1066&lt;&gt;"",AC1066&lt;&gt;"",AC1066&lt;&gt;"N/A"),"CONFORME - Control Efectivo ISO 27001","OBSERVACIÓN - Revisar Controles")))</f>
        <v/>
      </c>
    </row>
    <row r="1067">
      <c r="A1067" s="99"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c r="AD1067">
        <f>IF(AND(Y1067="",Z1067="",AA1067="",AB1067="",AC1067=""),"",IF(OR(LEFT(AA1067,2)="L0",LEFT(AA1067,2)="L1",Y1067="No Iniciado"),"CRÍTICO - Incumplimiento Normativo SEPS",IF(AND(Y1067="Implementado",Z1067&lt;&gt;"",OR(LEFT(AA1067,2)="L4",LEFT(AA1067,2)="L5"),AB1067&lt;&gt;"",AC1067&lt;&gt;"",AC1067&lt;&gt;"N/A"),"CONFORME - Control Efectivo ISO 27001","OBSERVACIÓN - Revisar Controles")))</f>
        <v/>
      </c>
    </row>
    <row r="1068">
      <c r="A1068" s="99"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c r="AD1068">
        <f>IF(AND(Y1068="",Z1068="",AA1068="",AB1068="",AC1068=""),"",IF(OR(LEFT(AA1068,2)="L0",LEFT(AA1068,2)="L1",Y1068="No Iniciado"),"CRÍTICO - Incumplimiento Normativo SEPS",IF(AND(Y1068="Implementado",Z1068&lt;&gt;"",OR(LEFT(AA1068,2)="L4",LEFT(AA1068,2)="L5"),AB1068&lt;&gt;"",AC1068&lt;&gt;"",AC1068&lt;&gt;"N/A"),"CONFORME - Control Efectivo ISO 27001","OBSERVACIÓN - Revisar Controles")))</f>
        <v/>
      </c>
    </row>
    <row r="1069">
      <c r="A1069" s="99"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c r="AD1069">
        <f>IF(AND(Y1069="",Z1069="",AA1069="",AB1069="",AC1069=""),"",IF(OR(LEFT(AA1069,2)="L0",LEFT(AA1069,2)="L1",Y1069="No Iniciado"),"CRÍTICO - Incumplimiento Normativo SEPS",IF(AND(Y1069="Implementado",Z1069&lt;&gt;"",OR(LEFT(AA1069,2)="L4",LEFT(AA1069,2)="L5"),AB1069&lt;&gt;"",AC1069&lt;&gt;"",AC1069&lt;&gt;"N/A"),"CONFORME - Control Efectivo ISO 27001","OBSERVACIÓN - Revisar Controles")))</f>
        <v/>
      </c>
    </row>
    <row r="1070">
      <c r="A1070" s="99"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c r="AD1070">
        <f>IF(AND(Y1070="",Z1070="",AA1070="",AB1070="",AC1070=""),"",IF(OR(LEFT(AA1070,2)="L0",LEFT(AA1070,2)="L1",Y1070="No Iniciado"),"CRÍTICO - Incumplimiento Normativo SEPS",IF(AND(Y1070="Implementado",Z1070&lt;&gt;"",OR(LEFT(AA1070,2)="L4",LEFT(AA1070,2)="L5"),AB1070&lt;&gt;"",AC1070&lt;&gt;"",AC1070&lt;&gt;"N/A"),"CONFORME - Control Efectivo ISO 27001","OBSERVACIÓN - Revisar Controles")))</f>
        <v/>
      </c>
    </row>
    <row r="1071">
      <c r="A1071" s="99"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c r="AD1071">
        <f>IF(AND(Y1071="",Z1071="",AA1071="",AB1071="",AC1071=""),"",IF(OR(LEFT(AA1071,2)="L0",LEFT(AA1071,2)="L1",Y1071="No Iniciado"),"CRÍTICO - Incumplimiento Normativo SEPS",IF(AND(Y1071="Implementado",Z1071&lt;&gt;"",OR(LEFT(AA1071,2)="L4",LEFT(AA1071,2)="L5"),AB1071&lt;&gt;"",AC1071&lt;&gt;"",AC1071&lt;&gt;"N/A"),"CONFORME - Control Efectivo ISO 27001","OBSERVACIÓN - Revisar Controles")))</f>
        <v/>
      </c>
    </row>
    <row r="1072">
      <c r="A1072" s="99"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c r="AD1072">
        <f>IF(AND(Y1072="",Z1072="",AA1072="",AB1072="",AC1072=""),"",IF(OR(LEFT(AA1072,2)="L0",LEFT(AA1072,2)="L1",Y1072="No Iniciado"),"CRÍTICO - Incumplimiento Normativo SEPS",IF(AND(Y1072="Implementado",Z1072&lt;&gt;"",OR(LEFT(AA1072,2)="L4",LEFT(AA1072,2)="L5"),AB1072&lt;&gt;"",AC1072&lt;&gt;"",AC1072&lt;&gt;"N/A"),"CONFORME - Control Efectivo ISO 27001","OBSERVACIÓN - Revisar Controles")))</f>
        <v/>
      </c>
    </row>
    <row r="1073">
      <c r="A1073" s="99"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c r="AD1073">
        <f>IF(AND(Y1073="",Z1073="",AA1073="",AB1073="",AC1073=""),"",IF(OR(LEFT(AA1073,2)="L0",LEFT(AA1073,2)="L1",Y1073="No Iniciado"),"CRÍTICO - Incumplimiento Normativo SEPS",IF(AND(Y1073="Implementado",Z1073&lt;&gt;"",OR(LEFT(AA1073,2)="L4",LEFT(AA1073,2)="L5"),AB1073&lt;&gt;"",AC1073&lt;&gt;"",AC1073&lt;&gt;"N/A"),"CONFORME - Control Efectivo ISO 27001","OBSERVACIÓN - Revisar Controles")))</f>
        <v/>
      </c>
    </row>
    <row r="1074">
      <c r="A1074" s="99"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c r="AD1074">
        <f>IF(AND(Y1074="",Z1074="",AA1074="",AB1074="",AC1074=""),"",IF(OR(LEFT(AA1074,2)="L0",LEFT(AA1074,2)="L1",Y1074="No Iniciado"),"CRÍTICO - Incumplimiento Normativo SEPS",IF(AND(Y1074="Implementado",Z1074&lt;&gt;"",OR(LEFT(AA1074,2)="L4",LEFT(AA1074,2)="L5"),AB1074&lt;&gt;"",AC1074&lt;&gt;"",AC1074&lt;&gt;"N/A"),"CONFORME - Control Efectivo ISO 27001","OBSERVACIÓN - Revisar Controles")))</f>
        <v/>
      </c>
    </row>
    <row r="1075">
      <c r="A1075" s="99"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c r="AD1075">
        <f>IF(AND(Y1075="",Z1075="",AA1075="",AB1075="",AC1075=""),"",IF(OR(LEFT(AA1075,2)="L0",LEFT(AA1075,2)="L1",Y1075="No Iniciado"),"CRÍTICO - Incumplimiento Normativo SEPS",IF(AND(Y1075="Implementado",Z1075&lt;&gt;"",OR(LEFT(AA1075,2)="L4",LEFT(AA1075,2)="L5"),AB1075&lt;&gt;"",AC1075&lt;&gt;"",AC1075&lt;&gt;"N/A"),"CONFORME - Control Efectivo ISO 27001","OBSERVACIÓN - Revisar Controles")))</f>
        <v/>
      </c>
    </row>
    <row r="1076">
      <c r="A1076" s="99"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c r="AD1076">
        <f>IF(AND(Y1076="",Z1076="",AA1076="",AB1076="",AC1076=""),"",IF(OR(LEFT(AA1076,2)="L0",LEFT(AA1076,2)="L1",Y1076="No Iniciado"),"CRÍTICO - Incumplimiento Normativo SEPS",IF(AND(Y1076="Implementado",Z1076&lt;&gt;"",OR(LEFT(AA1076,2)="L4",LEFT(AA1076,2)="L5"),AB1076&lt;&gt;"",AC1076&lt;&gt;"",AC1076&lt;&gt;"N/A"),"CONFORME - Control Efectivo ISO 27001","OBSERVACIÓN - Revisar Controles")))</f>
        <v/>
      </c>
    </row>
    <row r="1077">
      <c r="A1077" s="99"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c r="AD1077">
        <f>IF(AND(Y1077="",Z1077="",AA1077="",AB1077="",AC1077=""),"",IF(OR(LEFT(AA1077,2)="L0",LEFT(AA1077,2)="L1",Y1077="No Iniciado"),"CRÍTICO - Incumplimiento Normativo SEPS",IF(AND(Y1077="Implementado",Z1077&lt;&gt;"",OR(LEFT(AA1077,2)="L4",LEFT(AA1077,2)="L5"),AB1077&lt;&gt;"",AC1077&lt;&gt;"",AC1077&lt;&gt;"N/A"),"CONFORME - Control Efectivo ISO 27001","OBSERVACIÓN - Revisar Controles")))</f>
        <v/>
      </c>
    </row>
    <row r="1078">
      <c r="A1078" s="99"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c r="AD1078">
        <f>IF(AND(Y1078="",Z1078="",AA1078="",AB1078="",AC1078=""),"",IF(OR(LEFT(AA1078,2)="L0",LEFT(AA1078,2)="L1",Y1078="No Iniciado"),"CRÍTICO - Incumplimiento Normativo SEPS",IF(AND(Y1078="Implementado",Z1078&lt;&gt;"",OR(LEFT(AA1078,2)="L4",LEFT(AA1078,2)="L5"),AB1078&lt;&gt;"",AC1078&lt;&gt;"",AC1078&lt;&gt;"N/A"),"CONFORME - Control Efectivo ISO 27001","OBSERVACIÓN - Revisar Controles")))</f>
        <v/>
      </c>
    </row>
    <row r="1079">
      <c r="A1079" s="99"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c r="AD1079">
        <f>IF(AND(Y1079="",Z1079="",AA1079="",AB1079="",AC1079=""),"",IF(OR(LEFT(AA1079,2)="L0",LEFT(AA1079,2)="L1",Y1079="No Iniciado"),"CRÍTICO - Incumplimiento Normativo SEPS",IF(AND(Y1079="Implementado",Z1079&lt;&gt;"",OR(LEFT(AA1079,2)="L4",LEFT(AA1079,2)="L5"),AB1079&lt;&gt;"",AC1079&lt;&gt;"",AC1079&lt;&gt;"N/A"),"CONFORME - Control Efectivo ISO 27001","OBSERVACIÓN - Revisar Controles")))</f>
        <v/>
      </c>
    </row>
    <row r="1080">
      <c r="A1080" s="99"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c r="AD1080">
        <f>IF(AND(Y1080="",Z1080="",AA1080="",AB1080="",AC1080=""),"",IF(OR(LEFT(AA1080,2)="L0",LEFT(AA1080,2)="L1",Y1080="No Iniciado"),"CRÍTICO - Incumplimiento Normativo SEPS",IF(AND(Y1080="Implementado",Z1080&lt;&gt;"",OR(LEFT(AA1080,2)="L4",LEFT(AA1080,2)="L5"),AB1080&lt;&gt;"",AC1080&lt;&gt;"",AC1080&lt;&gt;"N/A"),"CONFORME - Control Efectivo ISO 27001","OBSERVACIÓN - Revisar Controles")))</f>
        <v/>
      </c>
    </row>
    <row r="1081">
      <c r="A1081" s="99"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c r="AD1081">
        <f>IF(AND(Y1081="",Z1081="",AA1081="",AB1081="",AC1081=""),"",IF(OR(LEFT(AA1081,2)="L0",LEFT(AA1081,2)="L1",Y1081="No Iniciado"),"CRÍTICO - Incumplimiento Normativo SEPS",IF(AND(Y1081="Implementado",Z1081&lt;&gt;"",OR(LEFT(AA1081,2)="L4",LEFT(AA1081,2)="L5"),AB1081&lt;&gt;"",AC1081&lt;&gt;"",AC1081&lt;&gt;"N/A"),"CONFORME - Control Efectivo ISO 27001","OBSERVACIÓN - Revisar Controles")))</f>
        <v/>
      </c>
    </row>
    <row r="1082">
      <c r="A1082" s="99"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c r="AD1082">
        <f>IF(AND(Y1082="",Z1082="",AA1082="",AB1082="",AC1082=""),"",IF(OR(LEFT(AA1082,2)="L0",LEFT(AA1082,2)="L1",Y1082="No Iniciado"),"CRÍTICO - Incumplimiento Normativo SEPS",IF(AND(Y1082="Implementado",Z1082&lt;&gt;"",OR(LEFT(AA1082,2)="L4",LEFT(AA1082,2)="L5"),AB1082&lt;&gt;"",AC1082&lt;&gt;"",AC1082&lt;&gt;"N/A"),"CONFORME - Control Efectivo ISO 27001","OBSERVACIÓN - Revisar Controles")))</f>
        <v/>
      </c>
    </row>
    <row r="1083">
      <c r="A1083" s="99"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c r="AD1083">
        <f>IF(AND(Y1083="",Z1083="",AA1083="",AB1083="",AC1083=""),"",IF(OR(LEFT(AA1083,2)="L0",LEFT(AA1083,2)="L1",Y1083="No Iniciado"),"CRÍTICO - Incumplimiento Normativo SEPS",IF(AND(Y1083="Implementado",Z1083&lt;&gt;"",OR(LEFT(AA1083,2)="L4",LEFT(AA1083,2)="L5"),AB1083&lt;&gt;"",AC1083&lt;&gt;"",AC1083&lt;&gt;"N/A"),"CONFORME - Control Efectivo ISO 27001","OBSERVACIÓN - Revisar Controles")))</f>
        <v/>
      </c>
    </row>
    <row r="1084">
      <c r="A1084" s="99"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c r="AD1084">
        <f>IF(AND(Y1084="",Z1084="",AA1084="",AB1084="",AC1084=""),"",IF(OR(LEFT(AA1084,2)="L0",LEFT(AA1084,2)="L1",Y1084="No Iniciado"),"CRÍTICO - Incumplimiento Normativo SEPS",IF(AND(Y1084="Implementado",Z1084&lt;&gt;"",OR(LEFT(AA1084,2)="L4",LEFT(AA1084,2)="L5"),AB1084&lt;&gt;"",AC1084&lt;&gt;"",AC1084&lt;&gt;"N/A"),"CONFORME - Control Efectivo ISO 27001","OBSERVACIÓN - Revisar Controles")))</f>
        <v/>
      </c>
    </row>
    <row r="1085">
      <c r="A1085" s="99"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c r="AD1085">
        <f>IF(AND(Y1085="",Z1085="",AA1085="",AB1085="",AC1085=""),"",IF(OR(LEFT(AA1085,2)="L0",LEFT(AA1085,2)="L1",Y1085="No Iniciado"),"CRÍTICO - Incumplimiento Normativo SEPS",IF(AND(Y1085="Implementado",Z1085&lt;&gt;"",OR(LEFT(AA1085,2)="L4",LEFT(AA1085,2)="L5"),AB1085&lt;&gt;"",AC1085&lt;&gt;"",AC1085&lt;&gt;"N/A"),"CONFORME - Control Efectivo ISO 27001","OBSERVACIÓN - Revisar Controles")))</f>
        <v/>
      </c>
    </row>
    <row r="1086">
      <c r="A1086" s="99"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c r="AD1086">
        <f>IF(AND(Y1086="",Z1086="",AA1086="",AB1086="",AC1086=""),"",IF(OR(LEFT(AA1086,2)="L0",LEFT(AA1086,2)="L1",Y1086="No Iniciado"),"CRÍTICO - Incumplimiento Normativo SEPS",IF(AND(Y1086="Implementado",Z1086&lt;&gt;"",OR(LEFT(AA1086,2)="L4",LEFT(AA1086,2)="L5"),AB1086&lt;&gt;"",AC1086&lt;&gt;"",AC1086&lt;&gt;"N/A"),"CONFORME - Control Efectivo ISO 27001","OBSERVACIÓN - Revisar Controles")))</f>
        <v/>
      </c>
    </row>
    <row r="1087">
      <c r="A1087" s="99"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c r="AD1087">
        <f>IF(AND(Y1087="",Z1087="",AA1087="",AB1087="",AC1087=""),"",IF(OR(LEFT(AA1087,2)="L0",LEFT(AA1087,2)="L1",Y1087="No Iniciado"),"CRÍTICO - Incumplimiento Normativo SEPS",IF(AND(Y1087="Implementado",Z1087&lt;&gt;"",OR(LEFT(AA1087,2)="L4",LEFT(AA1087,2)="L5"),AB1087&lt;&gt;"",AC1087&lt;&gt;"",AC1087&lt;&gt;"N/A"),"CONFORME - Control Efectivo ISO 27001","OBSERVACIÓN - Revisar Controles")))</f>
        <v/>
      </c>
    </row>
    <row r="1088">
      <c r="A1088" s="99"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c r="AD1088">
        <f>IF(AND(Y1088="",Z1088="",AA1088="",AB1088="",AC1088=""),"",IF(OR(LEFT(AA1088,2)="L0",LEFT(AA1088,2)="L1",Y1088="No Iniciado"),"CRÍTICO - Incumplimiento Normativo SEPS",IF(AND(Y1088="Implementado",Z1088&lt;&gt;"",OR(LEFT(AA1088,2)="L4",LEFT(AA1088,2)="L5"),AB1088&lt;&gt;"",AC1088&lt;&gt;"",AC1088&lt;&gt;"N/A"),"CONFORME - Control Efectivo ISO 27001","OBSERVACIÓN - Revisar Controles")))</f>
        <v/>
      </c>
    </row>
    <row r="1089">
      <c r="A1089" s="99"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c r="AD1089">
        <f>IF(AND(Y1089="",Z1089="",AA1089="",AB1089="",AC1089=""),"",IF(OR(LEFT(AA1089,2)="L0",LEFT(AA1089,2)="L1",Y1089="No Iniciado"),"CRÍTICO - Incumplimiento Normativo SEPS",IF(AND(Y1089="Implementado",Z1089&lt;&gt;"",OR(LEFT(AA1089,2)="L4",LEFT(AA1089,2)="L5"),AB1089&lt;&gt;"",AC1089&lt;&gt;"",AC1089&lt;&gt;"N/A"),"CONFORME - Control Efectivo ISO 27001","OBSERVACIÓN - Revisar Controles")))</f>
        <v/>
      </c>
    </row>
    <row r="1090">
      <c r="A1090" s="99"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c r="AD1090">
        <f>IF(AND(Y1090="",Z1090="",AA1090="",AB1090="",AC1090=""),"",IF(OR(LEFT(AA1090,2)="L0",LEFT(AA1090,2)="L1",Y1090="No Iniciado"),"CRÍTICO - Incumplimiento Normativo SEPS",IF(AND(Y1090="Implementado",Z1090&lt;&gt;"",OR(LEFT(AA1090,2)="L4",LEFT(AA1090,2)="L5"),AB1090&lt;&gt;"",AC1090&lt;&gt;"",AC1090&lt;&gt;"N/A"),"CONFORME - Control Efectivo ISO 27001","OBSERVACIÓN - Revisar Controles")))</f>
        <v/>
      </c>
    </row>
    <row r="1091">
      <c r="A1091" s="99"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c r="AD1091">
        <f>IF(AND(Y1091="",Z1091="",AA1091="",AB1091="",AC1091=""),"",IF(OR(LEFT(AA1091,2)="L0",LEFT(AA1091,2)="L1",Y1091="No Iniciado"),"CRÍTICO - Incumplimiento Normativo SEPS",IF(AND(Y1091="Implementado",Z1091&lt;&gt;"",OR(LEFT(AA1091,2)="L4",LEFT(AA1091,2)="L5"),AB1091&lt;&gt;"",AC1091&lt;&gt;"",AC1091&lt;&gt;"N/A"),"CONFORME - Control Efectivo ISO 27001","OBSERVACIÓN - Revisar Controles")))</f>
        <v/>
      </c>
    </row>
    <row r="1092">
      <c r="A1092" s="99"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c r="AD1092">
        <f>IF(AND(Y1092="",Z1092="",AA1092="",AB1092="",AC1092=""),"",IF(OR(LEFT(AA1092,2)="L0",LEFT(AA1092,2)="L1",Y1092="No Iniciado"),"CRÍTICO - Incumplimiento Normativo SEPS",IF(AND(Y1092="Implementado",Z1092&lt;&gt;"",OR(LEFT(AA1092,2)="L4",LEFT(AA1092,2)="L5"),AB1092&lt;&gt;"",AC1092&lt;&gt;"",AC1092&lt;&gt;"N/A"),"CONFORME - Control Efectivo ISO 27001","OBSERVACIÓN - Revisar Controles")))</f>
        <v/>
      </c>
    </row>
    <row r="1093">
      <c r="A1093" s="99"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c r="AD1093">
        <f>IF(AND(Y1093="",Z1093="",AA1093="",AB1093="",AC1093=""),"",IF(OR(LEFT(AA1093,2)="L0",LEFT(AA1093,2)="L1",Y1093="No Iniciado"),"CRÍTICO - Incumplimiento Normativo SEPS",IF(AND(Y1093="Implementado",Z1093&lt;&gt;"",OR(LEFT(AA1093,2)="L4",LEFT(AA1093,2)="L5"),AB1093&lt;&gt;"",AC1093&lt;&gt;"",AC1093&lt;&gt;"N/A"),"CONFORME - Control Efectivo ISO 27001","OBSERVACIÓN - Revisar Controles")))</f>
        <v/>
      </c>
    </row>
    <row r="1094">
      <c r="A1094" s="99"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c r="AD1094">
        <f>IF(AND(Y1094="",Z1094="",AA1094="",AB1094="",AC1094=""),"",IF(OR(LEFT(AA1094,2)="L0",LEFT(AA1094,2)="L1",Y1094="No Iniciado"),"CRÍTICO - Incumplimiento Normativo SEPS",IF(AND(Y1094="Implementado",Z1094&lt;&gt;"",OR(LEFT(AA1094,2)="L4",LEFT(AA1094,2)="L5"),AB1094&lt;&gt;"",AC1094&lt;&gt;"",AC1094&lt;&gt;"N/A"),"CONFORME - Control Efectivo ISO 27001","OBSERVACIÓN - Revisar Controles")))</f>
        <v/>
      </c>
    </row>
    <row r="1095">
      <c r="A1095" s="99"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c r="AD1095">
        <f>IF(AND(Y1095="",Z1095="",AA1095="",AB1095="",AC1095=""),"",IF(OR(LEFT(AA1095,2)="L0",LEFT(AA1095,2)="L1",Y1095="No Iniciado"),"CRÍTICO - Incumplimiento Normativo SEPS",IF(AND(Y1095="Implementado",Z1095&lt;&gt;"",OR(LEFT(AA1095,2)="L4",LEFT(AA1095,2)="L5"),AB1095&lt;&gt;"",AC1095&lt;&gt;"",AC1095&lt;&gt;"N/A"),"CONFORME - Control Efectivo ISO 27001","OBSERVACIÓN - Revisar Controles")))</f>
        <v/>
      </c>
    </row>
    <row r="1096">
      <c r="A1096" s="99"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c r="AD1096">
        <f>IF(AND(Y1096="",Z1096="",AA1096="",AB1096="",AC1096=""),"",IF(OR(LEFT(AA1096,2)="L0",LEFT(AA1096,2)="L1",Y1096="No Iniciado"),"CRÍTICO - Incumplimiento Normativo SEPS",IF(AND(Y1096="Implementado",Z1096&lt;&gt;"",OR(LEFT(AA1096,2)="L4",LEFT(AA1096,2)="L5"),AB1096&lt;&gt;"",AC1096&lt;&gt;"",AC1096&lt;&gt;"N/A"),"CONFORME - Control Efectivo ISO 27001","OBSERVACIÓN - Revisar Controles")))</f>
        <v/>
      </c>
    </row>
    <row r="1097">
      <c r="A1097" s="99"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c r="AD1097">
        <f>IF(AND(Y1097="",Z1097="",AA1097="",AB1097="",AC1097=""),"",IF(OR(LEFT(AA1097,2)="L0",LEFT(AA1097,2)="L1",Y1097="No Iniciado"),"CRÍTICO - Incumplimiento Normativo SEPS",IF(AND(Y1097="Implementado",Z1097&lt;&gt;"",OR(LEFT(AA1097,2)="L4",LEFT(AA1097,2)="L5"),AB1097&lt;&gt;"",AC1097&lt;&gt;"",AC1097&lt;&gt;"N/A"),"CONFORME - Control Efectivo ISO 27001","OBSERVACIÓN - Revisar Controles")))</f>
        <v/>
      </c>
    </row>
    <row r="1098">
      <c r="A1098" s="99"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c r="AD1098">
        <f>IF(AND(Y1098="",Z1098="",AA1098="",AB1098="",AC1098=""),"",IF(OR(LEFT(AA1098,2)="L0",LEFT(AA1098,2)="L1",Y1098="No Iniciado"),"CRÍTICO - Incumplimiento Normativo SEPS",IF(AND(Y1098="Implementado",Z1098&lt;&gt;"",OR(LEFT(AA1098,2)="L4",LEFT(AA1098,2)="L5"),AB1098&lt;&gt;"",AC1098&lt;&gt;"",AC1098&lt;&gt;"N/A"),"CONFORME - Control Efectivo ISO 27001","OBSERVACIÓN - Revisar Controles")))</f>
        <v/>
      </c>
    </row>
    <row r="1099">
      <c r="A1099" s="99"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c r="AD1099">
        <f>IF(AND(Y1099="",Z1099="",AA1099="",AB1099="",AC1099=""),"",IF(OR(LEFT(AA1099,2)="L0",LEFT(AA1099,2)="L1",Y1099="No Iniciado"),"CRÍTICO - Incumplimiento Normativo SEPS",IF(AND(Y1099="Implementado",Z1099&lt;&gt;"",OR(LEFT(AA1099,2)="L4",LEFT(AA1099,2)="L5"),AB1099&lt;&gt;"",AC1099&lt;&gt;"",AC1099&lt;&gt;"N/A"),"CONFORME - Control Efectivo ISO 27001","OBSERVACIÓN - Revisar Controles")))</f>
        <v/>
      </c>
    </row>
    <row r="1100">
      <c r="A1100" s="99"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c r="AD1100">
        <f>IF(AND(Y1100="",Z1100="",AA1100="",AB1100="",AC1100=""),"",IF(OR(LEFT(AA1100,2)="L0",LEFT(AA1100,2)="L1",Y1100="No Iniciado"),"CRÍTICO - Incumplimiento Normativo SEPS",IF(AND(Y1100="Implementado",Z1100&lt;&gt;"",OR(LEFT(AA1100,2)="L4",LEFT(AA1100,2)="L5"),AB1100&lt;&gt;"",AC1100&lt;&gt;"",AC1100&lt;&gt;"N/A"),"CONFORME - Control Efectivo ISO 27001","OBSERVACIÓN - Revisar Controles")))</f>
        <v/>
      </c>
    </row>
    <row r="1101">
      <c r="A1101" s="99"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c r="AD1101">
        <f>IF(AND(Y1101="",Z1101="",AA1101="",AB1101="",AC1101=""),"",IF(OR(LEFT(AA1101,2)="L0",LEFT(AA1101,2)="L1",Y1101="No Iniciado"),"CRÍTICO - Incumplimiento Normativo SEPS",IF(AND(Y1101="Implementado",Z1101&lt;&gt;"",OR(LEFT(AA1101,2)="L4",LEFT(AA1101,2)="L5"),AB1101&lt;&gt;"",AC1101&lt;&gt;"",AC1101&lt;&gt;"N/A"),"CONFORME - Control Efectivo ISO 27001","OBSERVACIÓN - Revisar Controles")))</f>
        <v/>
      </c>
    </row>
    <row r="1102">
      <c r="A1102" s="99"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c r="AD1102">
        <f>IF(AND(Y1102="",Z1102="",AA1102="",AB1102="",AC1102=""),"",IF(OR(LEFT(AA1102,2)="L0",LEFT(AA1102,2)="L1",Y1102="No Iniciado"),"CRÍTICO - Incumplimiento Normativo SEPS",IF(AND(Y1102="Implementado",Z1102&lt;&gt;"",OR(LEFT(AA1102,2)="L4",LEFT(AA1102,2)="L5"),AB1102&lt;&gt;"",AC1102&lt;&gt;"",AC1102&lt;&gt;"N/A"),"CONFORME - Control Efectivo ISO 27001","OBSERVACIÓN - Revisar Controles")))</f>
        <v/>
      </c>
    </row>
    <row r="1103">
      <c r="A1103" s="99"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c r="AD1103">
        <f>IF(AND(Y1103="",Z1103="",AA1103="",AB1103="",AC1103=""),"",IF(OR(LEFT(AA1103,2)="L0",LEFT(AA1103,2)="L1",Y1103="No Iniciado"),"CRÍTICO - Incumplimiento Normativo SEPS",IF(AND(Y1103="Implementado",Z1103&lt;&gt;"",OR(LEFT(AA1103,2)="L4",LEFT(AA1103,2)="L5"),AB1103&lt;&gt;"",AC1103&lt;&gt;"",AC1103&lt;&gt;"N/A"),"CONFORME - Control Efectivo ISO 27001","OBSERVACIÓN - Revisar Controles")))</f>
        <v/>
      </c>
    </row>
    <row r="1104">
      <c r="A1104" s="99"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c r="AD1104">
        <f>IF(AND(Y1104="",Z1104="",AA1104="",AB1104="",AC1104=""),"",IF(OR(LEFT(AA1104,2)="L0",LEFT(AA1104,2)="L1",Y1104="No Iniciado"),"CRÍTICO - Incumplimiento Normativo SEPS",IF(AND(Y1104="Implementado",Z1104&lt;&gt;"",OR(LEFT(AA1104,2)="L4",LEFT(AA1104,2)="L5"),AB1104&lt;&gt;"",AC1104&lt;&gt;"",AC1104&lt;&gt;"N/A"),"CONFORME - Control Efectivo ISO 27001","OBSERVACIÓN - Revisar Controles")))</f>
        <v/>
      </c>
    </row>
    <row r="1105">
      <c r="A1105" s="99"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c r="AD1105">
        <f>IF(AND(Y1105="",Z1105="",AA1105="",AB1105="",AC1105=""),"",IF(OR(LEFT(AA1105,2)="L0",LEFT(AA1105,2)="L1",Y1105="No Iniciado"),"CRÍTICO - Incumplimiento Normativo SEPS",IF(AND(Y1105="Implementado",Z1105&lt;&gt;"",OR(LEFT(AA1105,2)="L4",LEFT(AA1105,2)="L5"),AB1105&lt;&gt;"",AC1105&lt;&gt;"",AC1105&lt;&gt;"N/A"),"CONFORME - Control Efectivo ISO 27001","OBSERVACIÓN - Revisar Controles")))</f>
        <v/>
      </c>
    </row>
    <row r="1106">
      <c r="A1106" s="99"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c r="AD1106">
        <f>IF(AND(Y1106="",Z1106="",AA1106="",AB1106="",AC1106=""),"",IF(OR(LEFT(AA1106,2)="L0",LEFT(AA1106,2)="L1",Y1106="No Iniciado"),"CRÍTICO - Incumplimiento Normativo SEPS",IF(AND(Y1106="Implementado",Z1106&lt;&gt;"",OR(LEFT(AA1106,2)="L4",LEFT(AA1106,2)="L5"),AB1106&lt;&gt;"",AC1106&lt;&gt;"",AC1106&lt;&gt;"N/A"),"CONFORME - Control Efectivo ISO 27001","OBSERVACIÓN - Revisar Controles")))</f>
        <v/>
      </c>
    </row>
    <row r="1107">
      <c r="A1107" s="99"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c r="AD1107">
        <f>IF(AND(Y1107="",Z1107="",AA1107="",AB1107="",AC1107=""),"",IF(OR(LEFT(AA1107,2)="L0",LEFT(AA1107,2)="L1",Y1107="No Iniciado"),"CRÍTICO - Incumplimiento Normativo SEPS",IF(AND(Y1107="Implementado",Z1107&lt;&gt;"",OR(LEFT(AA1107,2)="L4",LEFT(AA1107,2)="L5"),AB1107&lt;&gt;"",AC1107&lt;&gt;"",AC1107&lt;&gt;"N/A"),"CONFORME - Control Efectivo ISO 27001","OBSERVACIÓN - Revisar Controles")))</f>
        <v/>
      </c>
    </row>
    <row r="1108">
      <c r="A1108" s="99"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c r="AD1108">
        <f>IF(AND(Y1108="",Z1108="",AA1108="",AB1108="",AC1108=""),"",IF(OR(LEFT(AA1108,2)="L0",LEFT(AA1108,2)="L1",Y1108="No Iniciado"),"CRÍTICO - Incumplimiento Normativo SEPS",IF(AND(Y1108="Implementado",Z1108&lt;&gt;"",OR(LEFT(AA1108,2)="L4",LEFT(AA1108,2)="L5"),AB1108&lt;&gt;"",AC1108&lt;&gt;"",AC1108&lt;&gt;"N/A"),"CONFORME - Control Efectivo ISO 27001","OBSERVACIÓN - Revisar Controles")))</f>
        <v/>
      </c>
    </row>
    <row r="1109">
      <c r="A1109" s="99"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c r="AD1109">
        <f>IF(AND(Y1109="",Z1109="",AA1109="",AB1109="",AC1109=""),"",IF(OR(LEFT(AA1109,2)="L0",LEFT(AA1109,2)="L1",Y1109="No Iniciado"),"CRÍTICO - Incumplimiento Normativo SEPS",IF(AND(Y1109="Implementado",Z1109&lt;&gt;"",OR(LEFT(AA1109,2)="L4",LEFT(AA1109,2)="L5"),AB1109&lt;&gt;"",AC1109&lt;&gt;"",AC1109&lt;&gt;"N/A"),"CONFORME - Control Efectivo ISO 27001","OBSERVACIÓN - Revisar Controles")))</f>
        <v/>
      </c>
    </row>
    <row r="1110">
      <c r="A1110" s="99"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c r="AD1110">
        <f>IF(AND(Y1110="",Z1110="",AA1110="",AB1110="",AC1110=""),"",IF(OR(LEFT(AA1110,2)="L0",LEFT(AA1110,2)="L1",Y1110="No Iniciado"),"CRÍTICO - Incumplimiento Normativo SEPS",IF(AND(Y1110="Implementado",Z1110&lt;&gt;"",OR(LEFT(AA1110,2)="L4",LEFT(AA1110,2)="L5"),AB1110&lt;&gt;"",AC1110&lt;&gt;"",AC1110&lt;&gt;"N/A"),"CONFORME - Control Efectivo ISO 27001","OBSERVACIÓN - Revisar Controles")))</f>
        <v/>
      </c>
    </row>
    <row r="1111">
      <c r="A1111" s="99"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c r="AD1111">
        <f>IF(AND(Y1111="",Z1111="",AA1111="",AB1111="",AC1111=""),"",IF(OR(LEFT(AA1111,2)="L0",LEFT(AA1111,2)="L1",Y1111="No Iniciado"),"CRÍTICO - Incumplimiento Normativo SEPS",IF(AND(Y1111="Implementado",Z1111&lt;&gt;"",OR(LEFT(AA1111,2)="L4",LEFT(AA1111,2)="L5"),AB1111&lt;&gt;"",AC1111&lt;&gt;"",AC1111&lt;&gt;"N/A"),"CONFORME - Control Efectivo ISO 27001","OBSERVACIÓN - Revisar Controles")))</f>
        <v/>
      </c>
    </row>
    <row r="1112">
      <c r="A1112" s="99"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c r="AD1112">
        <f>IF(AND(Y1112="",Z1112="",AA1112="",AB1112="",AC1112=""),"",IF(OR(LEFT(AA1112,2)="L0",LEFT(AA1112,2)="L1",Y1112="No Iniciado"),"CRÍTICO - Incumplimiento Normativo SEPS",IF(AND(Y1112="Implementado",Z1112&lt;&gt;"",OR(LEFT(AA1112,2)="L4",LEFT(AA1112,2)="L5"),AB1112&lt;&gt;"",AC1112&lt;&gt;"",AC1112&lt;&gt;"N/A"),"CONFORME - Control Efectivo ISO 27001","OBSERVACIÓN - Revisar Controles")))</f>
        <v/>
      </c>
    </row>
    <row r="1113">
      <c r="A1113" s="99"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c r="AD1113">
        <f>IF(AND(Y1113="",Z1113="",AA1113="",AB1113="",AC1113=""),"",IF(OR(LEFT(AA1113,2)="L0",LEFT(AA1113,2)="L1",Y1113="No Iniciado"),"CRÍTICO - Incumplimiento Normativo SEPS",IF(AND(Y1113="Implementado",Z1113&lt;&gt;"",OR(LEFT(AA1113,2)="L4",LEFT(AA1113,2)="L5"),AB1113&lt;&gt;"",AC1113&lt;&gt;"",AC1113&lt;&gt;"N/A"),"CONFORME - Control Efectivo ISO 27001","OBSERVACIÓN - Revisar Controles")))</f>
        <v/>
      </c>
    </row>
    <row r="1114">
      <c r="A1114" s="99"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c r="AD1114">
        <f>IF(AND(Y1114="",Z1114="",AA1114="",AB1114="",AC1114=""),"",IF(OR(LEFT(AA1114,2)="L0",LEFT(AA1114,2)="L1",Y1114="No Iniciado"),"CRÍTICO - Incumplimiento Normativo SEPS",IF(AND(Y1114="Implementado",Z1114&lt;&gt;"",OR(LEFT(AA1114,2)="L4",LEFT(AA1114,2)="L5"),AB1114&lt;&gt;"",AC1114&lt;&gt;"",AC1114&lt;&gt;"N/A"),"CONFORME - Control Efectivo ISO 27001","OBSERVACIÓN - Revisar Controles")))</f>
        <v/>
      </c>
    </row>
    <row r="1115">
      <c r="A1115" s="99"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c r="AD1115">
        <f>IF(AND(Y1115="",Z1115="",AA1115="",AB1115="",AC1115=""),"",IF(OR(LEFT(AA1115,2)="L0",LEFT(AA1115,2)="L1",Y1115="No Iniciado"),"CRÍTICO - Incumplimiento Normativo SEPS",IF(AND(Y1115="Implementado",Z1115&lt;&gt;"",OR(LEFT(AA1115,2)="L4",LEFT(AA1115,2)="L5"),AB1115&lt;&gt;"",AC1115&lt;&gt;"",AC1115&lt;&gt;"N/A"),"CONFORME - Control Efectivo ISO 27001","OBSERVACIÓN - Revisar Controles")))</f>
        <v/>
      </c>
    </row>
    <row r="1116">
      <c r="A1116" s="99"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c r="AD1116">
        <f>IF(AND(Y1116="",Z1116="",AA1116="",AB1116="",AC1116=""),"",IF(OR(LEFT(AA1116,2)="L0",LEFT(AA1116,2)="L1",Y1116="No Iniciado"),"CRÍTICO - Incumplimiento Normativo SEPS",IF(AND(Y1116="Implementado",Z1116&lt;&gt;"",OR(LEFT(AA1116,2)="L4",LEFT(AA1116,2)="L5"),AB1116&lt;&gt;"",AC1116&lt;&gt;"",AC1116&lt;&gt;"N/A"),"CONFORME - Control Efectivo ISO 27001","OBSERVACIÓN - Revisar Controles")))</f>
        <v/>
      </c>
    </row>
    <row r="1117">
      <c r="A1117" s="99"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c r="AD1117">
        <f>IF(AND(Y1117="",Z1117="",AA1117="",AB1117="",AC1117=""),"",IF(OR(LEFT(AA1117,2)="L0",LEFT(AA1117,2)="L1",Y1117="No Iniciado"),"CRÍTICO - Incumplimiento Normativo SEPS",IF(AND(Y1117="Implementado",Z1117&lt;&gt;"",OR(LEFT(AA1117,2)="L4",LEFT(AA1117,2)="L5"),AB1117&lt;&gt;"",AC1117&lt;&gt;"",AC1117&lt;&gt;"N/A"),"CONFORME - Control Efectivo ISO 27001","OBSERVACIÓN - Revisar Controles")))</f>
        <v/>
      </c>
    </row>
    <row r="1118">
      <c r="A1118" s="99"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c r="AD1118">
        <f>IF(AND(Y1118="",Z1118="",AA1118="",AB1118="",AC1118=""),"",IF(OR(LEFT(AA1118,2)="L0",LEFT(AA1118,2)="L1",Y1118="No Iniciado"),"CRÍTICO - Incumplimiento Normativo SEPS",IF(AND(Y1118="Implementado",Z1118&lt;&gt;"",OR(LEFT(AA1118,2)="L4",LEFT(AA1118,2)="L5"),AB1118&lt;&gt;"",AC1118&lt;&gt;"",AC1118&lt;&gt;"N/A"),"CONFORME - Control Efectivo ISO 27001","OBSERVACIÓN - Revisar Controles")))</f>
        <v/>
      </c>
    </row>
    <row r="1119">
      <c r="A1119" s="99"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c r="AD1119">
        <f>IF(AND(Y1119="",Z1119="",AA1119="",AB1119="",AC1119=""),"",IF(OR(LEFT(AA1119,2)="L0",LEFT(AA1119,2)="L1",Y1119="No Iniciado"),"CRÍTICO - Incumplimiento Normativo SEPS",IF(AND(Y1119="Implementado",Z1119&lt;&gt;"",OR(LEFT(AA1119,2)="L4",LEFT(AA1119,2)="L5"),AB1119&lt;&gt;"",AC1119&lt;&gt;"",AC1119&lt;&gt;"N/A"),"CONFORME - Control Efectivo ISO 27001","OBSERVACIÓN - Revisar Controles")))</f>
        <v/>
      </c>
    </row>
    <row r="1120">
      <c r="A1120" s="99"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c r="AD1120">
        <f>IF(AND(Y1120="",Z1120="",AA1120="",AB1120="",AC1120=""),"",IF(OR(LEFT(AA1120,2)="L0",LEFT(AA1120,2)="L1",Y1120="No Iniciado"),"CRÍTICO - Incumplimiento Normativo SEPS",IF(AND(Y1120="Implementado",Z1120&lt;&gt;"",OR(LEFT(AA1120,2)="L4",LEFT(AA1120,2)="L5"),AB1120&lt;&gt;"",AC1120&lt;&gt;"",AC1120&lt;&gt;"N/A"),"CONFORME - Control Efectivo ISO 27001","OBSERVACIÓN - Revisar Controles")))</f>
        <v/>
      </c>
    </row>
    <row r="1121">
      <c r="A1121" s="99"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c r="AD1121">
        <f>IF(AND(Y1121="",Z1121="",AA1121="",AB1121="",AC1121=""),"",IF(OR(LEFT(AA1121,2)="L0",LEFT(AA1121,2)="L1",Y1121="No Iniciado"),"CRÍTICO - Incumplimiento Normativo SEPS",IF(AND(Y1121="Implementado",Z1121&lt;&gt;"",OR(LEFT(AA1121,2)="L4",LEFT(AA1121,2)="L5"),AB1121&lt;&gt;"",AC1121&lt;&gt;"",AC1121&lt;&gt;"N/A"),"CONFORME - Control Efectivo ISO 27001","OBSERVACIÓN - Revisar Controles")))</f>
        <v/>
      </c>
    </row>
    <row r="1122">
      <c r="A1122" s="99"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c r="AD1122">
        <f>IF(AND(Y1122="",Z1122="",AA1122="",AB1122="",AC1122=""),"",IF(OR(LEFT(AA1122,2)="L0",LEFT(AA1122,2)="L1",Y1122="No Iniciado"),"CRÍTICO - Incumplimiento Normativo SEPS",IF(AND(Y1122="Implementado",Z1122&lt;&gt;"",OR(LEFT(AA1122,2)="L4",LEFT(AA1122,2)="L5"),AB1122&lt;&gt;"",AC1122&lt;&gt;"",AC1122&lt;&gt;"N/A"),"CONFORME - Control Efectivo ISO 27001","OBSERVACIÓN - Revisar Controles")))</f>
        <v/>
      </c>
    </row>
    <row r="1123">
      <c r="A1123" s="99"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c r="AD1123">
        <f>IF(AND(Y1123="",Z1123="",AA1123="",AB1123="",AC1123=""),"",IF(OR(LEFT(AA1123,2)="L0",LEFT(AA1123,2)="L1",Y1123="No Iniciado"),"CRÍTICO - Incumplimiento Normativo SEPS",IF(AND(Y1123="Implementado",Z1123&lt;&gt;"",OR(LEFT(AA1123,2)="L4",LEFT(AA1123,2)="L5"),AB1123&lt;&gt;"",AC1123&lt;&gt;"",AC1123&lt;&gt;"N/A"),"CONFORME - Control Efectivo ISO 27001","OBSERVACIÓN - Revisar Controles")))</f>
        <v/>
      </c>
    </row>
    <row r="1124">
      <c r="A1124" s="99"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c r="AD1124">
        <f>IF(AND(Y1124="",Z1124="",AA1124="",AB1124="",AC1124=""),"",IF(OR(LEFT(AA1124,2)="L0",LEFT(AA1124,2)="L1",Y1124="No Iniciado"),"CRÍTICO - Incumplimiento Normativo SEPS",IF(AND(Y1124="Implementado",Z1124&lt;&gt;"",OR(LEFT(AA1124,2)="L4",LEFT(AA1124,2)="L5"),AB1124&lt;&gt;"",AC1124&lt;&gt;"",AC1124&lt;&gt;"N/A"),"CONFORME - Control Efectivo ISO 27001","OBSERVACIÓN - Revisar Controles")))</f>
        <v/>
      </c>
    </row>
    <row r="1125">
      <c r="A1125" s="99"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c r="AD1125">
        <f>IF(AND(Y1125="",Z1125="",AA1125="",AB1125="",AC1125=""),"",IF(OR(LEFT(AA1125,2)="L0",LEFT(AA1125,2)="L1",Y1125="No Iniciado"),"CRÍTICO - Incumplimiento Normativo SEPS",IF(AND(Y1125="Implementado",Z1125&lt;&gt;"",OR(LEFT(AA1125,2)="L4",LEFT(AA1125,2)="L5"),AB1125&lt;&gt;"",AC1125&lt;&gt;"",AC1125&lt;&gt;"N/A"),"CONFORME - Control Efectivo ISO 27001","OBSERVACIÓN - Revisar Controles")))</f>
        <v/>
      </c>
    </row>
    <row r="1126">
      <c r="A1126" s="99"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c r="AD1126">
        <f>IF(AND(Y1126="",Z1126="",AA1126="",AB1126="",AC1126=""),"",IF(OR(LEFT(AA1126,2)="L0",LEFT(AA1126,2)="L1",Y1126="No Iniciado"),"CRÍTICO - Incumplimiento Normativo SEPS",IF(AND(Y1126="Implementado",Z1126&lt;&gt;"",OR(LEFT(AA1126,2)="L4",LEFT(AA1126,2)="L5"),AB1126&lt;&gt;"",AC1126&lt;&gt;"",AC1126&lt;&gt;"N/A"),"CONFORME - Control Efectivo ISO 27001","OBSERVACIÓN - Revisar Controles")))</f>
        <v/>
      </c>
    </row>
    <row r="1127">
      <c r="A1127" s="99"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c r="AD1127">
        <f>IF(AND(Y1127="",Z1127="",AA1127="",AB1127="",AC1127=""),"",IF(OR(LEFT(AA1127,2)="L0",LEFT(AA1127,2)="L1",Y1127="No Iniciado"),"CRÍTICO - Incumplimiento Normativo SEPS",IF(AND(Y1127="Implementado",Z1127&lt;&gt;"",OR(LEFT(AA1127,2)="L4",LEFT(AA1127,2)="L5"),AB1127&lt;&gt;"",AC1127&lt;&gt;"",AC1127&lt;&gt;"N/A"),"CONFORME - Control Efectivo ISO 27001","OBSERVACIÓN - Revisar Controles")))</f>
        <v/>
      </c>
    </row>
    <row r="1128">
      <c r="A1128" s="99"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c r="AD1128">
        <f>IF(AND(Y1128="",Z1128="",AA1128="",AB1128="",AC1128=""),"",IF(OR(LEFT(AA1128,2)="L0",LEFT(AA1128,2)="L1",Y1128="No Iniciado"),"CRÍTICO - Incumplimiento Normativo SEPS",IF(AND(Y1128="Implementado",Z1128&lt;&gt;"",OR(LEFT(AA1128,2)="L4",LEFT(AA1128,2)="L5"),AB1128&lt;&gt;"",AC1128&lt;&gt;"",AC1128&lt;&gt;"N/A"),"CONFORME - Control Efectivo ISO 27001","OBSERVACIÓN - Revisar Controles")))</f>
        <v/>
      </c>
    </row>
    <row r="1129">
      <c r="A1129" s="99"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c r="AD1129">
        <f>IF(AND(Y1129="",Z1129="",AA1129="",AB1129="",AC1129=""),"",IF(OR(LEFT(AA1129,2)="L0",LEFT(AA1129,2)="L1",Y1129="No Iniciado"),"CRÍTICO - Incumplimiento Normativo SEPS",IF(AND(Y1129="Implementado",Z1129&lt;&gt;"",OR(LEFT(AA1129,2)="L4",LEFT(AA1129,2)="L5"),AB1129&lt;&gt;"",AC1129&lt;&gt;"",AC1129&lt;&gt;"N/A"),"CONFORME - Control Efectivo ISO 27001","OBSERVACIÓN - Revisar Controles")))</f>
        <v/>
      </c>
    </row>
    <row r="1130">
      <c r="A1130" s="99"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c r="AD1130">
        <f>IF(AND(Y1130="",Z1130="",AA1130="",AB1130="",AC1130=""),"",IF(OR(LEFT(AA1130,2)="L0",LEFT(AA1130,2)="L1",Y1130="No Iniciado"),"CRÍTICO - Incumplimiento Normativo SEPS",IF(AND(Y1130="Implementado",Z1130&lt;&gt;"",OR(LEFT(AA1130,2)="L4",LEFT(AA1130,2)="L5"),AB1130&lt;&gt;"",AC1130&lt;&gt;"",AC1130&lt;&gt;"N/A"),"CONFORME - Control Efectivo ISO 27001","OBSERVACIÓN - Revisar Controles")))</f>
        <v/>
      </c>
    </row>
    <row r="1131">
      <c r="A1131" s="99"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c r="AD1131">
        <f>IF(AND(Y1131="",Z1131="",AA1131="",AB1131="",AC1131=""),"",IF(OR(LEFT(AA1131,2)="L0",LEFT(AA1131,2)="L1",Y1131="No Iniciado"),"CRÍTICO - Incumplimiento Normativo SEPS",IF(AND(Y1131="Implementado",Z1131&lt;&gt;"",OR(LEFT(AA1131,2)="L4",LEFT(AA1131,2)="L5"),AB1131&lt;&gt;"",AC1131&lt;&gt;"",AC1131&lt;&gt;"N/A"),"CONFORME - Control Efectivo ISO 27001","OBSERVACIÓN - Revisar Controles")))</f>
        <v/>
      </c>
    </row>
    <row r="1132">
      <c r="A1132" s="99"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c r="AD1132">
        <f>IF(AND(Y1132="",Z1132="",AA1132="",AB1132="",AC1132=""),"",IF(OR(LEFT(AA1132,2)="L0",LEFT(AA1132,2)="L1",Y1132="No Iniciado"),"CRÍTICO - Incumplimiento Normativo SEPS",IF(AND(Y1132="Implementado",Z1132&lt;&gt;"",OR(LEFT(AA1132,2)="L4",LEFT(AA1132,2)="L5"),AB1132&lt;&gt;"",AC1132&lt;&gt;"",AC1132&lt;&gt;"N/A"),"CONFORME - Control Efectivo ISO 27001","OBSERVACIÓN - Revisar Controles")))</f>
        <v/>
      </c>
    </row>
    <row r="1133">
      <c r="A1133" s="99"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c r="AD1133">
        <f>IF(AND(Y1133="",Z1133="",AA1133="",AB1133="",AC1133=""),"",IF(OR(LEFT(AA1133,2)="L0",LEFT(AA1133,2)="L1",Y1133="No Iniciado"),"CRÍTICO - Incumplimiento Normativo SEPS",IF(AND(Y1133="Implementado",Z1133&lt;&gt;"",OR(LEFT(AA1133,2)="L4",LEFT(AA1133,2)="L5"),AB1133&lt;&gt;"",AC1133&lt;&gt;"",AC1133&lt;&gt;"N/A"),"CONFORME - Control Efectivo ISO 27001","OBSERVACIÓN - Revisar Controles")))</f>
        <v/>
      </c>
    </row>
    <row r="1134">
      <c r="A1134" s="99"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c r="AD1134">
        <f>IF(AND(Y1134="",Z1134="",AA1134="",AB1134="",AC1134=""),"",IF(OR(LEFT(AA1134,2)="L0",LEFT(AA1134,2)="L1",Y1134="No Iniciado"),"CRÍTICO - Incumplimiento Normativo SEPS",IF(AND(Y1134="Implementado",Z1134&lt;&gt;"",OR(LEFT(AA1134,2)="L4",LEFT(AA1134,2)="L5"),AB1134&lt;&gt;"",AC1134&lt;&gt;"",AC1134&lt;&gt;"N/A"),"CONFORME - Control Efectivo ISO 27001","OBSERVACIÓN - Revisar Controles")))</f>
        <v/>
      </c>
    </row>
    <row r="1135">
      <c r="A1135" s="99"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c r="AD1135">
        <f>IF(AND(Y1135="",Z1135="",AA1135="",AB1135="",AC1135=""),"",IF(OR(LEFT(AA1135,2)="L0",LEFT(AA1135,2)="L1",Y1135="No Iniciado"),"CRÍTICO - Incumplimiento Normativo SEPS",IF(AND(Y1135="Implementado",Z1135&lt;&gt;"",OR(LEFT(AA1135,2)="L4",LEFT(AA1135,2)="L5"),AB1135&lt;&gt;"",AC1135&lt;&gt;"",AC1135&lt;&gt;"N/A"),"CONFORME - Control Efectivo ISO 27001","OBSERVACIÓN - Revisar Controles")))</f>
        <v/>
      </c>
    </row>
    <row r="1136">
      <c r="A1136" s="99"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c r="AD1136">
        <f>IF(AND(Y1136="",Z1136="",AA1136="",AB1136="",AC1136=""),"",IF(OR(LEFT(AA1136,2)="L0",LEFT(AA1136,2)="L1",Y1136="No Iniciado"),"CRÍTICO - Incumplimiento Normativo SEPS",IF(AND(Y1136="Implementado",Z1136&lt;&gt;"",OR(LEFT(AA1136,2)="L4",LEFT(AA1136,2)="L5"),AB1136&lt;&gt;"",AC1136&lt;&gt;"",AC1136&lt;&gt;"N/A"),"CONFORME - Control Efectivo ISO 27001","OBSERVACIÓN - Revisar Controles")))</f>
        <v/>
      </c>
    </row>
    <row r="1137">
      <c r="A1137" s="99"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c r="AD1137">
        <f>IF(AND(Y1137="",Z1137="",AA1137="",AB1137="",AC1137=""),"",IF(OR(LEFT(AA1137,2)="L0",LEFT(AA1137,2)="L1",Y1137="No Iniciado"),"CRÍTICO - Incumplimiento Normativo SEPS",IF(AND(Y1137="Implementado",Z1137&lt;&gt;"",OR(LEFT(AA1137,2)="L4",LEFT(AA1137,2)="L5"),AB1137&lt;&gt;"",AC1137&lt;&gt;"",AC1137&lt;&gt;"N/A"),"CONFORME - Control Efectivo ISO 27001","OBSERVACIÓN - Revisar Controles")))</f>
        <v/>
      </c>
    </row>
    <row r="1138">
      <c r="A1138" s="99"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c r="AD1138">
        <f>IF(AND(Y1138="",Z1138="",AA1138="",AB1138="",AC1138=""),"",IF(OR(LEFT(AA1138,2)="L0",LEFT(AA1138,2)="L1",Y1138="No Iniciado"),"CRÍTICO - Incumplimiento Normativo SEPS",IF(AND(Y1138="Implementado",Z1138&lt;&gt;"",OR(LEFT(AA1138,2)="L4",LEFT(AA1138,2)="L5"),AB1138&lt;&gt;"",AC1138&lt;&gt;"",AC1138&lt;&gt;"N/A"),"CONFORME - Control Efectivo ISO 27001","OBSERVACIÓN - Revisar Controles")))</f>
        <v/>
      </c>
    </row>
    <row r="1139">
      <c r="A1139" s="99"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c r="AD1139">
        <f>IF(AND(Y1139="",Z1139="",AA1139="",AB1139="",AC1139=""),"",IF(OR(LEFT(AA1139,2)="L0",LEFT(AA1139,2)="L1",Y1139="No Iniciado"),"CRÍTICO - Incumplimiento Normativo SEPS",IF(AND(Y1139="Implementado",Z1139&lt;&gt;"",OR(LEFT(AA1139,2)="L4",LEFT(AA1139,2)="L5"),AB1139&lt;&gt;"",AC1139&lt;&gt;"",AC1139&lt;&gt;"N/A"),"CONFORME - Control Efectivo ISO 27001","OBSERVACIÓN - Revisar Controles")))</f>
        <v/>
      </c>
    </row>
    <row r="1140">
      <c r="A1140" s="99"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c r="AD1140">
        <f>IF(AND(Y1140="",Z1140="",AA1140="",AB1140="",AC1140=""),"",IF(OR(LEFT(AA1140,2)="L0",LEFT(AA1140,2)="L1",Y1140="No Iniciado"),"CRÍTICO - Incumplimiento Normativo SEPS",IF(AND(Y1140="Implementado",Z1140&lt;&gt;"",OR(LEFT(AA1140,2)="L4",LEFT(AA1140,2)="L5"),AB1140&lt;&gt;"",AC1140&lt;&gt;"",AC1140&lt;&gt;"N/A"),"CONFORME - Control Efectivo ISO 27001","OBSERVACIÓN - Revisar Controles")))</f>
        <v/>
      </c>
    </row>
    <row r="1141">
      <c r="A1141" s="99"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c r="AD1141">
        <f>IF(AND(Y1141="",Z1141="",AA1141="",AB1141="",AC1141=""),"",IF(OR(LEFT(AA1141,2)="L0",LEFT(AA1141,2)="L1",Y1141="No Iniciado"),"CRÍTICO - Incumplimiento Normativo SEPS",IF(AND(Y1141="Implementado",Z1141&lt;&gt;"",OR(LEFT(AA1141,2)="L4",LEFT(AA1141,2)="L5"),AB1141&lt;&gt;"",AC1141&lt;&gt;"",AC1141&lt;&gt;"N/A"),"CONFORME - Control Efectivo ISO 27001","OBSERVACIÓN - Revisar Controles")))</f>
        <v/>
      </c>
    </row>
    <row r="1142">
      <c r="A1142" s="99"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c r="AD1142">
        <f>IF(AND(Y1142="",Z1142="",AA1142="",AB1142="",AC1142=""),"",IF(OR(LEFT(AA1142,2)="L0",LEFT(AA1142,2)="L1",Y1142="No Iniciado"),"CRÍTICO - Incumplimiento Normativo SEPS",IF(AND(Y1142="Implementado",Z1142&lt;&gt;"",OR(LEFT(AA1142,2)="L4",LEFT(AA1142,2)="L5"),AB1142&lt;&gt;"",AC1142&lt;&gt;"",AC1142&lt;&gt;"N/A"),"CONFORME - Control Efectivo ISO 27001","OBSERVACIÓN - Revisar Controles")))</f>
        <v/>
      </c>
    </row>
    <row r="1143">
      <c r="A1143" s="99"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c r="AD1143">
        <f>IF(AND(Y1143="",Z1143="",AA1143="",AB1143="",AC1143=""),"",IF(OR(LEFT(AA1143,2)="L0",LEFT(AA1143,2)="L1",Y1143="No Iniciado"),"CRÍTICO - Incumplimiento Normativo SEPS",IF(AND(Y1143="Implementado",Z1143&lt;&gt;"",OR(LEFT(AA1143,2)="L4",LEFT(AA1143,2)="L5"),AB1143&lt;&gt;"",AC1143&lt;&gt;"",AC1143&lt;&gt;"N/A"),"CONFORME - Control Efectivo ISO 27001","OBSERVACIÓN - Revisar Controles")))</f>
        <v/>
      </c>
    </row>
    <row r="1144">
      <c r="A1144" s="99"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c r="AD1144">
        <f>IF(AND(Y1144="",Z1144="",AA1144="",AB1144="",AC1144=""),"",IF(OR(LEFT(AA1144,2)="L0",LEFT(AA1144,2)="L1",Y1144="No Iniciado"),"CRÍTICO - Incumplimiento Normativo SEPS",IF(AND(Y1144="Implementado",Z1144&lt;&gt;"",OR(LEFT(AA1144,2)="L4",LEFT(AA1144,2)="L5"),AB1144&lt;&gt;"",AC1144&lt;&gt;"",AC1144&lt;&gt;"N/A"),"CONFORME - Control Efectivo ISO 27001","OBSERVACIÓN - Revisar Controles")))</f>
        <v/>
      </c>
    </row>
    <row r="1145">
      <c r="A1145" s="99"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c r="AD1145">
        <f>IF(AND(Y1145="",Z1145="",AA1145="",AB1145="",AC1145=""),"",IF(OR(LEFT(AA1145,2)="L0",LEFT(AA1145,2)="L1",Y1145="No Iniciado"),"CRÍTICO - Incumplimiento Normativo SEPS",IF(AND(Y1145="Implementado",Z1145&lt;&gt;"",OR(LEFT(AA1145,2)="L4",LEFT(AA1145,2)="L5"),AB1145&lt;&gt;"",AC1145&lt;&gt;"",AC1145&lt;&gt;"N/A"),"CONFORME - Control Efectivo ISO 27001","OBSERVACIÓN - Revisar Controles")))</f>
        <v/>
      </c>
    </row>
    <row r="1146">
      <c r="A1146" s="99"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c r="AD1146">
        <f>IF(AND(Y1146="",Z1146="",AA1146="",AB1146="",AC1146=""),"",IF(OR(LEFT(AA1146,2)="L0",LEFT(AA1146,2)="L1",Y1146="No Iniciado"),"CRÍTICO - Incumplimiento Normativo SEPS",IF(AND(Y1146="Implementado",Z1146&lt;&gt;"",OR(LEFT(AA1146,2)="L4",LEFT(AA1146,2)="L5"),AB1146&lt;&gt;"",AC1146&lt;&gt;"",AC1146&lt;&gt;"N/A"),"CONFORME - Control Efectivo ISO 27001","OBSERVACIÓN - Revisar Controles")))</f>
        <v/>
      </c>
    </row>
    <row r="1147">
      <c r="A1147" s="99"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c r="AD1147">
        <f>IF(AND(Y1147="",Z1147="",AA1147="",AB1147="",AC1147=""),"",IF(OR(LEFT(AA1147,2)="L0",LEFT(AA1147,2)="L1",Y1147="No Iniciado"),"CRÍTICO - Incumplimiento Normativo SEPS",IF(AND(Y1147="Implementado",Z1147&lt;&gt;"",OR(LEFT(AA1147,2)="L4",LEFT(AA1147,2)="L5"),AB1147&lt;&gt;"",AC1147&lt;&gt;"",AC1147&lt;&gt;"N/A"),"CONFORME - Control Efectivo ISO 27001","OBSERVACIÓN - Revisar Controles")))</f>
        <v/>
      </c>
    </row>
    <row r="1148">
      <c r="A1148" s="99"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c r="AD1148">
        <f>IF(AND(Y1148="",Z1148="",AA1148="",AB1148="",AC1148=""),"",IF(OR(LEFT(AA1148,2)="L0",LEFT(AA1148,2)="L1",Y1148="No Iniciado"),"CRÍTICO - Incumplimiento Normativo SEPS",IF(AND(Y1148="Implementado",Z1148&lt;&gt;"",OR(LEFT(AA1148,2)="L4",LEFT(AA1148,2)="L5"),AB1148&lt;&gt;"",AC1148&lt;&gt;"",AC1148&lt;&gt;"N/A"),"CONFORME - Control Efectivo ISO 27001","OBSERVACIÓN - Revisar Controles")))</f>
        <v/>
      </c>
    </row>
    <row r="1149">
      <c r="A1149" s="99"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c r="AD1149">
        <f>IF(AND(Y1149="",Z1149="",AA1149="",AB1149="",AC1149=""),"",IF(OR(LEFT(AA1149,2)="L0",LEFT(AA1149,2)="L1",Y1149="No Iniciado"),"CRÍTICO - Incumplimiento Normativo SEPS",IF(AND(Y1149="Implementado",Z1149&lt;&gt;"",OR(LEFT(AA1149,2)="L4",LEFT(AA1149,2)="L5"),AB1149&lt;&gt;"",AC1149&lt;&gt;"",AC1149&lt;&gt;"N/A"),"CONFORME - Control Efectivo ISO 27001","OBSERVACIÓN - Revisar Controles")))</f>
        <v/>
      </c>
    </row>
    <row r="1150">
      <c r="A1150" s="99"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c r="AD1150">
        <f>IF(AND(Y1150="",Z1150="",AA1150="",AB1150="",AC1150=""),"",IF(OR(LEFT(AA1150,2)="L0",LEFT(AA1150,2)="L1",Y1150="No Iniciado"),"CRÍTICO - Incumplimiento Normativo SEPS",IF(AND(Y1150="Implementado",Z1150&lt;&gt;"",OR(LEFT(AA1150,2)="L4",LEFT(AA1150,2)="L5"),AB1150&lt;&gt;"",AC1150&lt;&gt;"",AC1150&lt;&gt;"N/A"),"CONFORME - Control Efectivo ISO 27001","OBSERVACIÓN - Revisar Controles")))</f>
        <v/>
      </c>
    </row>
    <row r="1151">
      <c r="A1151" s="99"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c r="AD1151">
        <f>IF(AND(Y1151="",Z1151="",AA1151="",AB1151="",AC1151=""),"",IF(OR(LEFT(AA1151,2)="L0",LEFT(AA1151,2)="L1",Y1151="No Iniciado"),"CRÍTICO - Incumplimiento Normativo SEPS",IF(AND(Y1151="Implementado",Z1151&lt;&gt;"",OR(LEFT(AA1151,2)="L4",LEFT(AA1151,2)="L5"),AB1151&lt;&gt;"",AC1151&lt;&gt;"",AC1151&lt;&gt;"N/A"),"CONFORME - Control Efectivo ISO 27001","OBSERVACIÓN - Revisar Controles")))</f>
        <v/>
      </c>
    </row>
    <row r="1152">
      <c r="A1152" s="99"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c r="AD1152">
        <f>IF(AND(Y1152="",Z1152="",AA1152="",AB1152="",AC1152=""),"",IF(OR(LEFT(AA1152,2)="L0",LEFT(AA1152,2)="L1",Y1152="No Iniciado"),"CRÍTICO - Incumplimiento Normativo SEPS",IF(AND(Y1152="Implementado",Z1152&lt;&gt;"",OR(LEFT(AA1152,2)="L4",LEFT(AA1152,2)="L5"),AB1152&lt;&gt;"",AC1152&lt;&gt;"",AC1152&lt;&gt;"N/A"),"CONFORME - Control Efectivo ISO 27001","OBSERVACIÓN - Revisar Controles")))</f>
        <v/>
      </c>
    </row>
    <row r="1153">
      <c r="A1153" s="99"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c r="AD1153">
        <f>IF(AND(Y1153="",Z1153="",AA1153="",AB1153="",AC1153=""),"",IF(OR(LEFT(AA1153,2)="L0",LEFT(AA1153,2)="L1",Y1153="No Iniciado"),"CRÍTICO - Incumplimiento Normativo SEPS",IF(AND(Y1153="Implementado",Z1153&lt;&gt;"",OR(LEFT(AA1153,2)="L4",LEFT(AA1153,2)="L5"),AB1153&lt;&gt;"",AC1153&lt;&gt;"",AC1153&lt;&gt;"N/A"),"CONFORME - Control Efectivo ISO 27001","OBSERVACIÓN - Revisar Controles")))</f>
        <v/>
      </c>
    </row>
    <row r="1154">
      <c r="A1154" s="99"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c r="AD1154">
        <f>IF(AND(Y1154="",Z1154="",AA1154="",AB1154="",AC1154=""),"",IF(OR(LEFT(AA1154,2)="L0",LEFT(AA1154,2)="L1",Y1154="No Iniciado"),"CRÍTICO - Incumplimiento Normativo SEPS",IF(AND(Y1154="Implementado",Z1154&lt;&gt;"",OR(LEFT(AA1154,2)="L4",LEFT(AA1154,2)="L5"),AB1154&lt;&gt;"",AC1154&lt;&gt;"",AC1154&lt;&gt;"N/A"),"CONFORME - Control Efectivo ISO 27001","OBSERVACIÓN - Revisar Controles")))</f>
        <v/>
      </c>
    </row>
    <row r="1155">
      <c r="A1155" s="99"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c r="AD1155">
        <f>IF(AND(Y1155="",Z1155="",AA1155="",AB1155="",AC1155=""),"",IF(OR(LEFT(AA1155,2)="L0",LEFT(AA1155,2)="L1",Y1155="No Iniciado"),"CRÍTICO - Incumplimiento Normativo SEPS",IF(AND(Y1155="Implementado",Z1155&lt;&gt;"",OR(LEFT(AA1155,2)="L4",LEFT(AA1155,2)="L5"),AB1155&lt;&gt;"",AC1155&lt;&gt;"",AC1155&lt;&gt;"N/A"),"CONFORME - Control Efectivo ISO 27001","OBSERVACIÓN - Revisar Controles")))</f>
        <v/>
      </c>
    </row>
    <row r="1156">
      <c r="A1156" s="99"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c r="AD1156">
        <f>IF(AND(Y1156="",Z1156="",AA1156="",AB1156="",AC1156=""),"",IF(OR(LEFT(AA1156,2)="L0",LEFT(AA1156,2)="L1",Y1156="No Iniciado"),"CRÍTICO - Incumplimiento Normativo SEPS",IF(AND(Y1156="Implementado",Z1156&lt;&gt;"",OR(LEFT(AA1156,2)="L4",LEFT(AA1156,2)="L5"),AB1156&lt;&gt;"",AC1156&lt;&gt;"",AC1156&lt;&gt;"N/A"),"CONFORME - Control Efectivo ISO 27001","OBSERVACIÓN - Revisar Controles")))</f>
        <v/>
      </c>
    </row>
    <row r="1157">
      <c r="A1157" s="99"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c r="AD1157">
        <f>IF(AND(Y1157="",Z1157="",AA1157="",AB1157="",AC1157=""),"",IF(OR(LEFT(AA1157,2)="L0",LEFT(AA1157,2)="L1",Y1157="No Iniciado"),"CRÍTICO - Incumplimiento Normativo SEPS",IF(AND(Y1157="Implementado",Z1157&lt;&gt;"",OR(LEFT(AA1157,2)="L4",LEFT(AA1157,2)="L5"),AB1157&lt;&gt;"",AC1157&lt;&gt;"",AC1157&lt;&gt;"N/A"),"CONFORME - Control Efectivo ISO 27001","OBSERVACIÓN - Revisar Controles")))</f>
        <v/>
      </c>
    </row>
    <row r="1158">
      <c r="A1158" s="99"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c r="AD1158">
        <f>IF(AND(Y1158="",Z1158="",AA1158="",AB1158="",AC1158=""),"",IF(OR(LEFT(AA1158,2)="L0",LEFT(AA1158,2)="L1",Y1158="No Iniciado"),"CRÍTICO - Incumplimiento Normativo SEPS",IF(AND(Y1158="Implementado",Z1158&lt;&gt;"",OR(LEFT(AA1158,2)="L4",LEFT(AA1158,2)="L5"),AB1158&lt;&gt;"",AC1158&lt;&gt;"",AC1158&lt;&gt;"N/A"),"CONFORME - Control Efectivo ISO 27001","OBSERVACIÓN - Revisar Controles")))</f>
        <v/>
      </c>
    </row>
    <row r="1159">
      <c r="A1159" s="99"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c r="AD1159">
        <f>IF(AND(Y1159="",Z1159="",AA1159="",AB1159="",AC1159=""),"",IF(OR(LEFT(AA1159,2)="L0",LEFT(AA1159,2)="L1",Y1159="No Iniciado"),"CRÍTICO - Incumplimiento Normativo SEPS",IF(AND(Y1159="Implementado",Z1159&lt;&gt;"",OR(LEFT(AA1159,2)="L4",LEFT(AA1159,2)="L5"),AB1159&lt;&gt;"",AC1159&lt;&gt;"",AC1159&lt;&gt;"N/A"),"CONFORME - Control Efectivo ISO 27001","OBSERVACIÓN - Revisar Controles")))</f>
        <v/>
      </c>
    </row>
    <row r="1160">
      <c r="A1160" s="99"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c r="AD1160">
        <f>IF(AND(Y1160="",Z1160="",AA1160="",AB1160="",AC1160=""),"",IF(OR(LEFT(AA1160,2)="L0",LEFT(AA1160,2)="L1",Y1160="No Iniciado"),"CRÍTICO - Incumplimiento Normativo SEPS",IF(AND(Y1160="Implementado",Z1160&lt;&gt;"",OR(LEFT(AA1160,2)="L4",LEFT(AA1160,2)="L5"),AB1160&lt;&gt;"",AC1160&lt;&gt;"",AC1160&lt;&gt;"N/A"),"CONFORME - Control Efectivo ISO 27001","OBSERVACIÓN - Revisar Controles")))</f>
        <v/>
      </c>
    </row>
    <row r="1161">
      <c r="A1161" s="99"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c r="AD1161">
        <f>IF(AND(Y1161="",Z1161="",AA1161="",AB1161="",AC1161=""),"",IF(OR(LEFT(AA1161,2)="L0",LEFT(AA1161,2)="L1",Y1161="No Iniciado"),"CRÍTICO - Incumplimiento Normativo SEPS",IF(AND(Y1161="Implementado",Z1161&lt;&gt;"",OR(LEFT(AA1161,2)="L4",LEFT(AA1161,2)="L5"),AB1161&lt;&gt;"",AC1161&lt;&gt;"",AC1161&lt;&gt;"N/A"),"CONFORME - Control Efectivo ISO 27001","OBSERVACIÓN - Revisar Controles")))</f>
        <v/>
      </c>
    </row>
    <row r="1162">
      <c r="A1162" s="99"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c r="AD1162">
        <f>IF(AND(Y1162="",Z1162="",AA1162="",AB1162="",AC1162=""),"",IF(OR(LEFT(AA1162,2)="L0",LEFT(AA1162,2)="L1",Y1162="No Iniciado"),"CRÍTICO - Incumplimiento Normativo SEPS",IF(AND(Y1162="Implementado",Z1162&lt;&gt;"",OR(LEFT(AA1162,2)="L4",LEFT(AA1162,2)="L5"),AB1162&lt;&gt;"",AC1162&lt;&gt;"",AC1162&lt;&gt;"N/A"),"CONFORME - Control Efectivo ISO 27001","OBSERVACIÓN - Revisar Controles")))</f>
        <v/>
      </c>
    </row>
    <row r="1163">
      <c r="A1163" s="99"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c r="AD1163">
        <f>IF(AND(Y1163="",Z1163="",AA1163="",AB1163="",AC1163=""),"",IF(OR(LEFT(AA1163,2)="L0",LEFT(AA1163,2)="L1",Y1163="No Iniciado"),"CRÍTICO - Incumplimiento Normativo SEPS",IF(AND(Y1163="Implementado",Z1163&lt;&gt;"",OR(LEFT(AA1163,2)="L4",LEFT(AA1163,2)="L5"),AB1163&lt;&gt;"",AC1163&lt;&gt;"",AC1163&lt;&gt;"N/A"),"CONFORME - Control Efectivo ISO 27001","OBSERVACIÓN - Revisar Controles")))</f>
        <v/>
      </c>
    </row>
    <row r="1164">
      <c r="A1164" s="99"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c r="AD1164">
        <f>IF(AND(Y1164="",Z1164="",AA1164="",AB1164="",AC1164=""),"",IF(OR(LEFT(AA1164,2)="L0",LEFT(AA1164,2)="L1",Y1164="No Iniciado"),"CRÍTICO - Incumplimiento Normativo SEPS",IF(AND(Y1164="Implementado",Z1164&lt;&gt;"",OR(LEFT(AA1164,2)="L4",LEFT(AA1164,2)="L5"),AB1164&lt;&gt;"",AC1164&lt;&gt;"",AC1164&lt;&gt;"N/A"),"CONFORME - Control Efectivo ISO 27001","OBSERVACIÓN - Revisar Controles")))</f>
        <v/>
      </c>
    </row>
    <row r="1165">
      <c r="A1165" s="99"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c r="AD1165">
        <f>IF(AND(Y1165="",Z1165="",AA1165="",AB1165="",AC1165=""),"",IF(OR(LEFT(AA1165,2)="L0",LEFT(AA1165,2)="L1",Y1165="No Iniciado"),"CRÍTICO - Incumplimiento Normativo SEPS",IF(AND(Y1165="Implementado",Z1165&lt;&gt;"",OR(LEFT(AA1165,2)="L4",LEFT(AA1165,2)="L5"),AB1165&lt;&gt;"",AC1165&lt;&gt;"",AC1165&lt;&gt;"N/A"),"CONFORME - Control Efectivo ISO 27001","OBSERVACIÓN - Revisar Controles")))</f>
        <v/>
      </c>
    </row>
    <row r="1166">
      <c r="A1166" s="99"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c r="AD1166">
        <f>IF(AND(Y1166="",Z1166="",AA1166="",AB1166="",AC1166=""),"",IF(OR(LEFT(AA1166,2)="L0",LEFT(AA1166,2)="L1",Y1166="No Iniciado"),"CRÍTICO - Incumplimiento Normativo SEPS",IF(AND(Y1166="Implementado",Z1166&lt;&gt;"",OR(LEFT(AA1166,2)="L4",LEFT(AA1166,2)="L5"),AB1166&lt;&gt;"",AC1166&lt;&gt;"",AC1166&lt;&gt;"N/A"),"CONFORME - Control Efectivo ISO 27001","OBSERVACIÓN - Revisar Controles")))</f>
        <v/>
      </c>
    </row>
    <row r="1167">
      <c r="A1167" s="99"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c r="AD1167">
        <f>IF(AND(Y1167="",Z1167="",AA1167="",AB1167="",AC1167=""),"",IF(OR(LEFT(AA1167,2)="L0",LEFT(AA1167,2)="L1",Y1167="No Iniciado"),"CRÍTICO - Incumplimiento Normativo SEPS",IF(AND(Y1167="Implementado",Z1167&lt;&gt;"",OR(LEFT(AA1167,2)="L4",LEFT(AA1167,2)="L5"),AB1167&lt;&gt;"",AC1167&lt;&gt;"",AC1167&lt;&gt;"N/A"),"CONFORME - Control Efectivo ISO 27001","OBSERVACIÓN - Revisar Controles")))</f>
        <v/>
      </c>
    </row>
    <row r="1168">
      <c r="A1168" s="99"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c r="AD1168">
        <f>IF(AND(Y1168="",Z1168="",AA1168="",AB1168="",AC1168=""),"",IF(OR(LEFT(AA1168,2)="L0",LEFT(AA1168,2)="L1",Y1168="No Iniciado"),"CRÍTICO - Incumplimiento Normativo SEPS",IF(AND(Y1168="Implementado",Z1168&lt;&gt;"",OR(LEFT(AA1168,2)="L4",LEFT(AA1168,2)="L5"),AB1168&lt;&gt;"",AC1168&lt;&gt;"",AC1168&lt;&gt;"N/A"),"CONFORME - Control Efectivo ISO 27001","OBSERVACIÓN - Revisar Controles")))</f>
        <v/>
      </c>
    </row>
    <row r="1169">
      <c r="A1169" s="99"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c r="AD1169">
        <f>IF(AND(Y1169="",Z1169="",AA1169="",AB1169="",AC1169=""),"",IF(OR(LEFT(AA1169,2)="L0",LEFT(AA1169,2)="L1",Y1169="No Iniciado"),"CRÍTICO - Incumplimiento Normativo SEPS",IF(AND(Y1169="Implementado",Z1169&lt;&gt;"",OR(LEFT(AA1169,2)="L4",LEFT(AA1169,2)="L5"),AB1169&lt;&gt;"",AC1169&lt;&gt;"",AC1169&lt;&gt;"N/A"),"CONFORME - Control Efectivo ISO 27001","OBSERVACIÓN - Revisar Controles")))</f>
        <v/>
      </c>
    </row>
    <row r="1170">
      <c r="A1170" s="99"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c r="AD1170">
        <f>IF(AND(Y1170="",Z1170="",AA1170="",AB1170="",AC1170=""),"",IF(OR(LEFT(AA1170,2)="L0",LEFT(AA1170,2)="L1",Y1170="No Iniciado"),"CRÍTICO - Incumplimiento Normativo SEPS",IF(AND(Y1170="Implementado",Z1170&lt;&gt;"",OR(LEFT(AA1170,2)="L4",LEFT(AA1170,2)="L5"),AB1170&lt;&gt;"",AC1170&lt;&gt;"",AC1170&lt;&gt;"N/A"),"CONFORME - Control Efectivo ISO 27001","OBSERVACIÓN - Revisar Controles")))</f>
        <v/>
      </c>
    </row>
    <row r="1171">
      <c r="A1171" s="99"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c r="AD1171">
        <f>IF(AND(Y1171="",Z1171="",AA1171="",AB1171="",AC1171=""),"",IF(OR(LEFT(AA1171,2)="L0",LEFT(AA1171,2)="L1",Y1171="No Iniciado"),"CRÍTICO - Incumplimiento Normativo SEPS",IF(AND(Y1171="Implementado",Z1171&lt;&gt;"",OR(LEFT(AA1171,2)="L4",LEFT(AA1171,2)="L5"),AB1171&lt;&gt;"",AC1171&lt;&gt;"",AC1171&lt;&gt;"N/A"),"CONFORME - Control Efectivo ISO 27001","OBSERVACIÓN - Revisar Controles")))</f>
        <v/>
      </c>
    </row>
    <row r="1172">
      <c r="A1172" s="99"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c r="AD1172">
        <f>IF(AND(Y1172="",Z1172="",AA1172="",AB1172="",AC1172=""),"",IF(OR(LEFT(AA1172,2)="L0",LEFT(AA1172,2)="L1",Y1172="No Iniciado"),"CRÍTICO - Incumplimiento Normativo SEPS",IF(AND(Y1172="Implementado",Z1172&lt;&gt;"",OR(LEFT(AA1172,2)="L4",LEFT(AA1172,2)="L5"),AB1172&lt;&gt;"",AC1172&lt;&gt;"",AC1172&lt;&gt;"N/A"),"CONFORME - Control Efectivo ISO 27001","OBSERVACIÓN - Revisar Controles")))</f>
        <v/>
      </c>
    </row>
    <row r="1173">
      <c r="A1173" s="99"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c r="AD1173">
        <f>IF(AND(Y1173="",Z1173="",AA1173="",AB1173="",AC1173=""),"",IF(OR(LEFT(AA1173,2)="L0",LEFT(AA1173,2)="L1",Y1173="No Iniciado"),"CRÍTICO - Incumplimiento Normativo SEPS",IF(AND(Y1173="Implementado",Z1173&lt;&gt;"",OR(LEFT(AA1173,2)="L4",LEFT(AA1173,2)="L5"),AB1173&lt;&gt;"",AC1173&lt;&gt;"",AC1173&lt;&gt;"N/A"),"CONFORME - Control Efectivo ISO 27001","OBSERVACIÓN - Revisar Controles")))</f>
        <v/>
      </c>
    </row>
    <row r="1174">
      <c r="A1174" s="99"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c r="AD1174">
        <f>IF(AND(Y1174="",Z1174="",AA1174="",AB1174="",AC1174=""),"",IF(OR(LEFT(AA1174,2)="L0",LEFT(AA1174,2)="L1",Y1174="No Iniciado"),"CRÍTICO - Incumplimiento Normativo SEPS",IF(AND(Y1174="Implementado",Z1174&lt;&gt;"",OR(LEFT(AA1174,2)="L4",LEFT(AA1174,2)="L5"),AB1174&lt;&gt;"",AC1174&lt;&gt;"",AC1174&lt;&gt;"N/A"),"CONFORME - Control Efectivo ISO 27001","OBSERVACIÓN - Revisar Controles")))</f>
        <v/>
      </c>
    </row>
    <row r="1175">
      <c r="A1175" s="99"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c r="AD1175">
        <f>IF(AND(Y1175="",Z1175="",AA1175="",AB1175="",AC1175=""),"",IF(OR(LEFT(AA1175,2)="L0",LEFT(AA1175,2)="L1",Y1175="No Iniciado"),"CRÍTICO - Incumplimiento Normativo SEPS",IF(AND(Y1175="Implementado",Z1175&lt;&gt;"",OR(LEFT(AA1175,2)="L4",LEFT(AA1175,2)="L5"),AB1175&lt;&gt;"",AC1175&lt;&gt;"",AC1175&lt;&gt;"N/A"),"CONFORME - Control Efectivo ISO 27001","OBSERVACIÓN - Revisar Controles")))</f>
        <v/>
      </c>
    </row>
    <row r="1176">
      <c r="A1176" s="99"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c r="AD1176">
        <f>IF(AND(Y1176="",Z1176="",AA1176="",AB1176="",AC1176=""),"",IF(OR(LEFT(AA1176,2)="L0",LEFT(AA1176,2)="L1",Y1176="No Iniciado"),"CRÍTICO - Incumplimiento Normativo SEPS",IF(AND(Y1176="Implementado",Z1176&lt;&gt;"",OR(LEFT(AA1176,2)="L4",LEFT(AA1176,2)="L5"),AB1176&lt;&gt;"",AC1176&lt;&gt;"",AC1176&lt;&gt;"N/A"),"CONFORME - Control Efectivo ISO 27001","OBSERVACIÓN - Revisar Controles")))</f>
        <v/>
      </c>
    </row>
    <row r="1177">
      <c r="A1177" s="99"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c r="AD1177">
        <f>IF(AND(Y1177="",Z1177="",AA1177="",AB1177="",AC1177=""),"",IF(OR(LEFT(AA1177,2)="L0",LEFT(AA1177,2)="L1",Y1177="No Iniciado"),"CRÍTICO - Incumplimiento Normativo SEPS",IF(AND(Y1177="Implementado",Z1177&lt;&gt;"",OR(LEFT(AA1177,2)="L4",LEFT(AA1177,2)="L5"),AB1177&lt;&gt;"",AC1177&lt;&gt;"",AC1177&lt;&gt;"N/A"),"CONFORME - Control Efectivo ISO 27001","OBSERVACIÓN - Revisar Controles")))</f>
        <v/>
      </c>
    </row>
    <row r="1178">
      <c r="A1178" s="99"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c r="AD1178">
        <f>IF(AND(Y1178="",Z1178="",AA1178="",AB1178="",AC1178=""),"",IF(OR(LEFT(AA1178,2)="L0",LEFT(AA1178,2)="L1",Y1178="No Iniciado"),"CRÍTICO - Incumplimiento Normativo SEPS",IF(AND(Y1178="Implementado",Z1178&lt;&gt;"",OR(LEFT(AA1178,2)="L4",LEFT(AA1178,2)="L5"),AB1178&lt;&gt;"",AC1178&lt;&gt;"",AC1178&lt;&gt;"N/A"),"CONFORME - Control Efectivo ISO 27001","OBSERVACIÓN - Revisar Controles")))</f>
        <v/>
      </c>
    </row>
    <row r="1179">
      <c r="A1179" s="99"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c r="AD1179">
        <f>IF(AND(Y1179="",Z1179="",AA1179="",AB1179="",AC1179=""),"",IF(OR(LEFT(AA1179,2)="L0",LEFT(AA1179,2)="L1",Y1179="No Iniciado"),"CRÍTICO - Incumplimiento Normativo SEPS",IF(AND(Y1179="Implementado",Z1179&lt;&gt;"",OR(LEFT(AA1179,2)="L4",LEFT(AA1179,2)="L5"),AB1179&lt;&gt;"",AC1179&lt;&gt;"",AC1179&lt;&gt;"N/A"),"CONFORME - Control Efectivo ISO 27001","OBSERVACIÓN - Revisar Controles")))</f>
        <v/>
      </c>
    </row>
    <row r="1180">
      <c r="A1180" s="99"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c r="AD1180">
        <f>IF(AND(Y1180="",Z1180="",AA1180="",AB1180="",AC1180=""),"",IF(OR(LEFT(AA1180,2)="L0",LEFT(AA1180,2)="L1",Y1180="No Iniciado"),"CRÍTICO - Incumplimiento Normativo SEPS",IF(AND(Y1180="Implementado",Z1180&lt;&gt;"",OR(LEFT(AA1180,2)="L4",LEFT(AA1180,2)="L5"),AB1180&lt;&gt;"",AC1180&lt;&gt;"",AC1180&lt;&gt;"N/A"),"CONFORME - Control Efectivo ISO 27001","OBSERVACIÓN - Revisar Controles")))</f>
        <v/>
      </c>
    </row>
    <row r="1181">
      <c r="A1181" s="99"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c r="AD1181">
        <f>IF(AND(Y1181="",Z1181="",AA1181="",AB1181="",AC1181=""),"",IF(OR(LEFT(AA1181,2)="L0",LEFT(AA1181,2)="L1",Y1181="No Iniciado"),"CRÍTICO - Incumplimiento Normativo SEPS",IF(AND(Y1181="Implementado",Z1181&lt;&gt;"",OR(LEFT(AA1181,2)="L4",LEFT(AA1181,2)="L5"),AB1181&lt;&gt;"",AC1181&lt;&gt;"",AC1181&lt;&gt;"N/A"),"CONFORME - Control Efectivo ISO 27001","OBSERVACIÓN - Revisar Controles")))</f>
        <v/>
      </c>
    </row>
    <row r="1182">
      <c r="A1182" s="99"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c r="AD1182">
        <f>IF(AND(Y1182="",Z1182="",AA1182="",AB1182="",AC1182=""),"",IF(OR(LEFT(AA1182,2)="L0",LEFT(AA1182,2)="L1",Y1182="No Iniciado"),"CRÍTICO - Incumplimiento Normativo SEPS",IF(AND(Y1182="Implementado",Z1182&lt;&gt;"",OR(LEFT(AA1182,2)="L4",LEFT(AA1182,2)="L5"),AB1182&lt;&gt;"",AC1182&lt;&gt;"",AC1182&lt;&gt;"N/A"),"CONFORME - Control Efectivo ISO 27001","OBSERVACIÓN - Revisar Controles")))</f>
        <v/>
      </c>
    </row>
    <row r="1183">
      <c r="A1183" s="99"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c r="AD1183">
        <f>IF(AND(Y1183="",Z1183="",AA1183="",AB1183="",AC1183=""),"",IF(OR(LEFT(AA1183,2)="L0",LEFT(AA1183,2)="L1",Y1183="No Iniciado"),"CRÍTICO - Incumplimiento Normativo SEPS",IF(AND(Y1183="Implementado",Z1183&lt;&gt;"",OR(LEFT(AA1183,2)="L4",LEFT(AA1183,2)="L5"),AB1183&lt;&gt;"",AC1183&lt;&gt;"",AC1183&lt;&gt;"N/A"),"CONFORME - Control Efectivo ISO 27001","OBSERVACIÓN - Revisar Controles")))</f>
        <v/>
      </c>
    </row>
    <row r="1184">
      <c r="A1184" s="99"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c r="AD1184">
        <f>IF(AND(Y1184="",Z1184="",AA1184="",AB1184="",AC1184=""),"",IF(OR(LEFT(AA1184,2)="L0",LEFT(AA1184,2)="L1",Y1184="No Iniciado"),"CRÍTICO - Incumplimiento Normativo SEPS",IF(AND(Y1184="Implementado",Z1184&lt;&gt;"",OR(LEFT(AA1184,2)="L4",LEFT(AA1184,2)="L5"),AB1184&lt;&gt;"",AC1184&lt;&gt;"",AC1184&lt;&gt;"N/A"),"CONFORME - Control Efectivo ISO 27001","OBSERVACIÓN - Revisar Controles")))</f>
        <v/>
      </c>
    </row>
    <row r="1185">
      <c r="A1185" s="99"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c r="AD1185">
        <f>IF(AND(Y1185="",Z1185="",AA1185="",AB1185="",AC1185=""),"",IF(OR(LEFT(AA1185,2)="L0",LEFT(AA1185,2)="L1",Y1185="No Iniciado"),"CRÍTICO - Incumplimiento Normativo SEPS",IF(AND(Y1185="Implementado",Z1185&lt;&gt;"",OR(LEFT(AA1185,2)="L4",LEFT(AA1185,2)="L5"),AB1185&lt;&gt;"",AC1185&lt;&gt;"",AC1185&lt;&gt;"N/A"),"CONFORME - Control Efectivo ISO 27001","OBSERVACIÓN - Revisar Controles")))</f>
        <v/>
      </c>
    </row>
    <row r="1186">
      <c r="A1186" s="99"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c r="AD1186">
        <f>IF(AND(Y1186="",Z1186="",AA1186="",AB1186="",AC1186=""),"",IF(OR(LEFT(AA1186,2)="L0",LEFT(AA1186,2)="L1",Y1186="No Iniciado"),"CRÍTICO - Incumplimiento Normativo SEPS",IF(AND(Y1186="Implementado",Z1186&lt;&gt;"",OR(LEFT(AA1186,2)="L4",LEFT(AA1186,2)="L5"),AB1186&lt;&gt;"",AC1186&lt;&gt;"",AC1186&lt;&gt;"N/A"),"CONFORME - Control Efectivo ISO 27001","OBSERVACIÓN - Revisar Controles")))</f>
        <v/>
      </c>
    </row>
    <row r="1187">
      <c r="A1187" s="99"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c r="AD1187">
        <f>IF(AND(Y1187="",Z1187="",AA1187="",AB1187="",AC1187=""),"",IF(OR(LEFT(AA1187,2)="L0",LEFT(AA1187,2)="L1",Y1187="No Iniciado"),"CRÍTICO - Incumplimiento Normativo SEPS",IF(AND(Y1187="Implementado",Z1187&lt;&gt;"",OR(LEFT(AA1187,2)="L4",LEFT(AA1187,2)="L5"),AB1187&lt;&gt;"",AC1187&lt;&gt;"",AC1187&lt;&gt;"N/A"),"CONFORME - Control Efectivo ISO 27001","OBSERVACIÓN - Revisar Controles")))</f>
        <v/>
      </c>
    </row>
    <row r="1188">
      <c r="A1188" s="99"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c r="AD1188">
        <f>IF(AND(Y1188="",Z1188="",AA1188="",AB1188="",AC1188=""),"",IF(OR(LEFT(AA1188,2)="L0",LEFT(AA1188,2)="L1",Y1188="No Iniciado"),"CRÍTICO - Incumplimiento Normativo SEPS",IF(AND(Y1188="Implementado",Z1188&lt;&gt;"",OR(LEFT(AA1188,2)="L4",LEFT(AA1188,2)="L5"),AB1188&lt;&gt;"",AC1188&lt;&gt;"",AC1188&lt;&gt;"N/A"),"CONFORME - Control Efectivo ISO 27001","OBSERVACIÓN - Revisar Controles")))</f>
        <v/>
      </c>
    </row>
    <row r="1189">
      <c r="A1189" s="99"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c r="AD1189">
        <f>IF(AND(Y1189="",Z1189="",AA1189="",AB1189="",AC1189=""),"",IF(OR(LEFT(AA1189,2)="L0",LEFT(AA1189,2)="L1",Y1189="No Iniciado"),"CRÍTICO - Incumplimiento Normativo SEPS",IF(AND(Y1189="Implementado",Z1189&lt;&gt;"",OR(LEFT(AA1189,2)="L4",LEFT(AA1189,2)="L5"),AB1189&lt;&gt;"",AC1189&lt;&gt;"",AC1189&lt;&gt;"N/A"),"CONFORME - Control Efectivo ISO 27001","OBSERVACIÓN - Revisar Controles")))</f>
        <v/>
      </c>
    </row>
    <row r="1190">
      <c r="A1190" s="99"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c r="AD1190">
        <f>IF(AND(Y1190="",Z1190="",AA1190="",AB1190="",AC1190=""),"",IF(OR(LEFT(AA1190,2)="L0",LEFT(AA1190,2)="L1",Y1190="No Iniciado"),"CRÍTICO - Incumplimiento Normativo SEPS",IF(AND(Y1190="Implementado",Z1190&lt;&gt;"",OR(LEFT(AA1190,2)="L4",LEFT(AA1190,2)="L5"),AB1190&lt;&gt;"",AC1190&lt;&gt;"",AC1190&lt;&gt;"N/A"),"CONFORME - Control Efectivo ISO 27001","OBSERVACIÓN - Revisar Controles")))</f>
        <v/>
      </c>
    </row>
    <row r="1191">
      <c r="A1191" s="99"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c r="AD1191">
        <f>IF(AND(Y1191="",Z1191="",AA1191="",AB1191="",AC1191=""),"",IF(OR(LEFT(AA1191,2)="L0",LEFT(AA1191,2)="L1",Y1191="No Iniciado"),"CRÍTICO - Incumplimiento Normativo SEPS",IF(AND(Y1191="Implementado",Z1191&lt;&gt;"",OR(LEFT(AA1191,2)="L4",LEFT(AA1191,2)="L5"),AB1191&lt;&gt;"",AC1191&lt;&gt;"",AC1191&lt;&gt;"N/A"),"CONFORME - Control Efectivo ISO 27001","OBSERVACIÓN - Revisar Controles")))</f>
        <v/>
      </c>
    </row>
    <row r="1192">
      <c r="A1192" s="99"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c r="AD1192">
        <f>IF(AND(Y1192="",Z1192="",AA1192="",AB1192="",AC1192=""),"",IF(OR(LEFT(AA1192,2)="L0",LEFT(AA1192,2)="L1",Y1192="No Iniciado"),"CRÍTICO - Incumplimiento Normativo SEPS",IF(AND(Y1192="Implementado",Z1192&lt;&gt;"",OR(LEFT(AA1192,2)="L4",LEFT(AA1192,2)="L5"),AB1192&lt;&gt;"",AC1192&lt;&gt;"",AC1192&lt;&gt;"N/A"),"CONFORME - Control Efectivo ISO 27001","OBSERVACIÓN - Revisar Controles")))</f>
        <v/>
      </c>
    </row>
    <row r="1193">
      <c r="A1193" s="99"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c r="AD1193">
        <f>IF(AND(Y1193="",Z1193="",AA1193="",AB1193="",AC1193=""),"",IF(OR(LEFT(AA1193,2)="L0",LEFT(AA1193,2)="L1",Y1193="No Iniciado"),"CRÍTICO - Incumplimiento Normativo SEPS",IF(AND(Y1193="Implementado",Z1193&lt;&gt;"",OR(LEFT(AA1193,2)="L4",LEFT(AA1193,2)="L5"),AB1193&lt;&gt;"",AC1193&lt;&gt;"",AC1193&lt;&gt;"N/A"),"CONFORME - Control Efectivo ISO 27001","OBSERVACIÓN - Revisar Controles")))</f>
        <v/>
      </c>
    </row>
    <row r="1194">
      <c r="A1194" s="99"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c r="AD1194">
        <f>IF(AND(Y1194="",Z1194="",AA1194="",AB1194="",AC1194=""),"",IF(OR(LEFT(AA1194,2)="L0",LEFT(AA1194,2)="L1",Y1194="No Iniciado"),"CRÍTICO - Incumplimiento Normativo SEPS",IF(AND(Y1194="Implementado",Z1194&lt;&gt;"",OR(LEFT(AA1194,2)="L4",LEFT(AA1194,2)="L5"),AB1194&lt;&gt;"",AC1194&lt;&gt;"",AC1194&lt;&gt;"N/A"),"CONFORME - Control Efectivo ISO 27001","OBSERVACIÓN - Revisar Controles")))</f>
        <v/>
      </c>
    </row>
    <row r="1195">
      <c r="A1195" s="99"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c r="AD1195">
        <f>IF(AND(Y1195="",Z1195="",AA1195="",AB1195="",AC1195=""),"",IF(OR(LEFT(AA1195,2)="L0",LEFT(AA1195,2)="L1",Y1195="No Iniciado"),"CRÍTICO - Incumplimiento Normativo SEPS",IF(AND(Y1195="Implementado",Z1195&lt;&gt;"",OR(LEFT(AA1195,2)="L4",LEFT(AA1195,2)="L5"),AB1195&lt;&gt;"",AC1195&lt;&gt;"",AC1195&lt;&gt;"N/A"),"CONFORME - Control Efectivo ISO 27001","OBSERVACIÓN - Revisar Controles")))</f>
        <v/>
      </c>
    </row>
    <row r="1196">
      <c r="A1196" s="99"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c r="AD1196">
        <f>IF(AND(Y1196="",Z1196="",AA1196="",AB1196="",AC1196=""),"",IF(OR(LEFT(AA1196,2)="L0",LEFT(AA1196,2)="L1",Y1196="No Iniciado"),"CRÍTICO - Incumplimiento Normativo SEPS",IF(AND(Y1196="Implementado",Z1196&lt;&gt;"",OR(LEFT(AA1196,2)="L4",LEFT(AA1196,2)="L5"),AB1196&lt;&gt;"",AC1196&lt;&gt;"",AC1196&lt;&gt;"N/A"),"CONFORME - Control Efectivo ISO 27001","OBSERVACIÓN - Revisar Controles")))</f>
        <v/>
      </c>
    </row>
    <row r="1197">
      <c r="A1197" s="99"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c r="AD1197">
        <f>IF(AND(Y1197="",Z1197="",AA1197="",AB1197="",AC1197=""),"",IF(OR(LEFT(AA1197,2)="L0",LEFT(AA1197,2)="L1",Y1197="No Iniciado"),"CRÍTICO - Incumplimiento Normativo SEPS",IF(AND(Y1197="Implementado",Z1197&lt;&gt;"",OR(LEFT(AA1197,2)="L4",LEFT(AA1197,2)="L5"),AB1197&lt;&gt;"",AC1197&lt;&gt;"",AC1197&lt;&gt;"N/A"),"CONFORME - Control Efectivo ISO 27001","OBSERVACIÓN - Revisar Controles")))</f>
        <v/>
      </c>
    </row>
    <row r="1198">
      <c r="A1198" s="99"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c r="AD1198">
        <f>IF(AND(Y1198="",Z1198="",AA1198="",AB1198="",AC1198=""),"",IF(OR(LEFT(AA1198,2)="L0",LEFT(AA1198,2)="L1",Y1198="No Iniciado"),"CRÍTICO - Incumplimiento Normativo SEPS",IF(AND(Y1198="Implementado",Z1198&lt;&gt;"",OR(LEFT(AA1198,2)="L4",LEFT(AA1198,2)="L5"),AB1198&lt;&gt;"",AC1198&lt;&gt;"",AC1198&lt;&gt;"N/A"),"CONFORME - Control Efectivo ISO 27001","OBSERVACIÓN - Revisar Controles")))</f>
        <v/>
      </c>
    </row>
    <row r="1199">
      <c r="A1199" s="99"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c r="AD1199">
        <f>IF(AND(Y1199="",Z1199="",AA1199="",AB1199="",AC1199=""),"",IF(OR(LEFT(AA1199,2)="L0",LEFT(AA1199,2)="L1",Y1199="No Iniciado"),"CRÍTICO - Incumplimiento Normativo SEPS",IF(AND(Y1199="Implementado",Z1199&lt;&gt;"",OR(LEFT(AA1199,2)="L4",LEFT(AA1199,2)="L5"),AB1199&lt;&gt;"",AC1199&lt;&gt;"",AC1199&lt;&gt;"N/A"),"CONFORME - Control Efectivo ISO 27001","OBSERVACIÓN - Revisar Controles")))</f>
        <v/>
      </c>
    </row>
    <row r="1200">
      <c r="A1200" s="99"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c r="AD1200">
        <f>IF(AND(Y1200="",Z1200="",AA1200="",AB1200="",AC1200=""),"",IF(OR(LEFT(AA1200,2)="L0",LEFT(AA1200,2)="L1",Y1200="No Iniciado"),"CRÍTICO - Incumplimiento Normativo SEPS",IF(AND(Y1200="Implementado",Z1200&lt;&gt;"",OR(LEFT(AA1200,2)="L4",LEFT(AA1200,2)="L5"),AB1200&lt;&gt;"",AC1200&lt;&gt;"",AC1200&lt;&gt;"N/A"),"CONFORME - Control Efectivo ISO 27001","OBSERVACIÓN - Revisar Controles")))</f>
        <v/>
      </c>
    </row>
    <row r="1201">
      <c r="A1201" s="99"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c r="AD1201">
        <f>IF(AND(Y1201="",Z1201="",AA1201="",AB1201="",AC1201=""),"",IF(OR(LEFT(AA1201,2)="L0",LEFT(AA1201,2)="L1",Y1201="No Iniciado"),"CRÍTICO - Incumplimiento Normativo SEPS",IF(AND(Y1201="Implementado",Z1201&lt;&gt;"",OR(LEFT(AA1201,2)="L4",LEFT(AA1201,2)="L5"),AB1201&lt;&gt;"",AC1201&lt;&gt;"",AC1201&lt;&gt;"N/A"),"CONFORME - Control Efectivo ISO 27001","OBSERVACIÓN - Revisar Controles")))</f>
        <v/>
      </c>
    </row>
    <row r="1202">
      <c r="A1202" s="99"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c r="AD1202">
        <f>IF(AND(Y1202="",Z1202="",AA1202="",AB1202="",AC1202=""),"",IF(OR(LEFT(AA1202,2)="L0",LEFT(AA1202,2)="L1",Y1202="No Iniciado"),"CRÍTICO - Incumplimiento Normativo SEPS",IF(AND(Y1202="Implementado",Z1202&lt;&gt;"",OR(LEFT(AA1202,2)="L4",LEFT(AA1202,2)="L5"),AB1202&lt;&gt;"",AC1202&lt;&gt;"",AC1202&lt;&gt;"N/A"),"CONFORME - Control Efectivo ISO 27001","OBSERVACIÓN - Revisar Controles")))</f>
        <v/>
      </c>
    </row>
    <row r="1203">
      <c r="A1203" s="99"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c r="AD1203">
        <f>IF(AND(Y1203="",Z1203="",AA1203="",AB1203="",AC1203=""),"",IF(OR(LEFT(AA1203,2)="L0",LEFT(AA1203,2)="L1",Y1203="No Iniciado"),"CRÍTICO - Incumplimiento Normativo SEPS",IF(AND(Y1203="Implementado",Z1203&lt;&gt;"",OR(LEFT(AA1203,2)="L4",LEFT(AA1203,2)="L5"),AB1203&lt;&gt;"",AC1203&lt;&gt;"",AC1203&lt;&gt;"N/A"),"CONFORME - Control Efectivo ISO 27001","OBSERVACIÓN - Revisar Controles")))</f>
        <v/>
      </c>
    </row>
    <row r="1204">
      <c r="A1204" s="99"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c r="AD1204">
        <f>IF(AND(Y1204="",Z1204="",AA1204="",AB1204="",AC1204=""),"",IF(OR(LEFT(AA1204,2)="L0",LEFT(AA1204,2)="L1",Y1204="No Iniciado"),"CRÍTICO - Incumplimiento Normativo SEPS",IF(AND(Y1204="Implementado",Z1204&lt;&gt;"",OR(LEFT(AA1204,2)="L4",LEFT(AA1204,2)="L5"),AB1204&lt;&gt;"",AC1204&lt;&gt;"",AC1204&lt;&gt;"N/A"),"CONFORME - Control Efectivo ISO 27001","OBSERVACIÓN - Revisar Controles")))</f>
        <v/>
      </c>
    </row>
    <row r="1205">
      <c r="A1205" s="99"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c r="AD1205">
        <f>IF(AND(Y1205="",Z1205="",AA1205="",AB1205="",AC1205=""),"",IF(OR(LEFT(AA1205,2)="L0",LEFT(AA1205,2)="L1",Y1205="No Iniciado"),"CRÍTICO - Incumplimiento Normativo SEPS",IF(AND(Y1205="Implementado",Z1205&lt;&gt;"",OR(LEFT(AA1205,2)="L4",LEFT(AA1205,2)="L5"),AB1205&lt;&gt;"",AC1205&lt;&gt;"",AC1205&lt;&gt;"N/A"),"CONFORME - Control Efectivo ISO 27001","OBSERVACIÓN - Revisar Controles")))</f>
        <v/>
      </c>
    </row>
    <row r="1206">
      <c r="A1206" s="99"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c r="AD1206">
        <f>IF(AND(Y1206="",Z1206="",AA1206="",AB1206="",AC1206=""),"",IF(OR(LEFT(AA1206,2)="L0",LEFT(AA1206,2)="L1",Y1206="No Iniciado"),"CRÍTICO - Incumplimiento Normativo SEPS",IF(AND(Y1206="Implementado",Z1206&lt;&gt;"",OR(LEFT(AA1206,2)="L4",LEFT(AA1206,2)="L5"),AB1206&lt;&gt;"",AC1206&lt;&gt;"",AC1206&lt;&gt;"N/A"),"CONFORME - Control Efectivo ISO 27001","OBSERVACIÓN - Revisar Controles")))</f>
        <v/>
      </c>
    </row>
    <row r="1207">
      <c r="A1207" s="99"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c r="AD1207">
        <f>IF(AND(Y1207="",Z1207="",AA1207="",AB1207="",AC1207=""),"",IF(OR(LEFT(AA1207,2)="L0",LEFT(AA1207,2)="L1",Y1207="No Iniciado"),"CRÍTICO - Incumplimiento Normativo SEPS",IF(AND(Y1207="Implementado",Z1207&lt;&gt;"",OR(LEFT(AA1207,2)="L4",LEFT(AA1207,2)="L5"),AB1207&lt;&gt;"",AC1207&lt;&gt;"",AC1207&lt;&gt;"N/A"),"CONFORME - Control Efectivo ISO 27001","OBSERVACIÓN - Revisar Controles")))</f>
        <v/>
      </c>
    </row>
    <row r="1208">
      <c r="A1208" s="99"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c r="AD1208">
        <f>IF(AND(Y1208="",Z1208="",AA1208="",AB1208="",AC1208=""),"",IF(OR(LEFT(AA1208,2)="L0",LEFT(AA1208,2)="L1",Y1208="No Iniciado"),"CRÍTICO - Incumplimiento Normativo SEPS",IF(AND(Y1208="Implementado",Z1208&lt;&gt;"",OR(LEFT(AA1208,2)="L4",LEFT(AA1208,2)="L5"),AB1208&lt;&gt;"",AC1208&lt;&gt;"",AC1208&lt;&gt;"N/A"),"CONFORME - Control Efectivo ISO 27001","OBSERVACIÓN - Revisar Controles")))</f>
        <v/>
      </c>
    </row>
    <row r="1209">
      <c r="A1209" s="99"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c r="AD1209">
        <f>IF(AND(Y1209="",Z1209="",AA1209="",AB1209="",AC1209=""),"",IF(OR(LEFT(AA1209,2)="L0",LEFT(AA1209,2)="L1",Y1209="No Iniciado"),"CRÍTICO - Incumplimiento Normativo SEPS",IF(AND(Y1209="Implementado",Z1209&lt;&gt;"",OR(LEFT(AA1209,2)="L4",LEFT(AA1209,2)="L5"),AB1209&lt;&gt;"",AC1209&lt;&gt;"",AC1209&lt;&gt;"N/A"),"CONFORME - Control Efectivo ISO 27001","OBSERVACIÓN - Revisar Controles")))</f>
        <v/>
      </c>
    </row>
    <row r="1210">
      <c r="A1210" s="99"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c r="AD1210">
        <f>IF(AND(Y1210="",Z1210="",AA1210="",AB1210="",AC1210=""),"",IF(OR(LEFT(AA1210,2)="L0",LEFT(AA1210,2)="L1",Y1210="No Iniciado"),"CRÍTICO - Incumplimiento Normativo SEPS",IF(AND(Y1210="Implementado",Z1210&lt;&gt;"",OR(LEFT(AA1210,2)="L4",LEFT(AA1210,2)="L5"),AB1210&lt;&gt;"",AC1210&lt;&gt;"",AC1210&lt;&gt;"N/A"),"CONFORME - Control Efectivo ISO 27001","OBSERVACIÓN - Revisar Controles")))</f>
        <v/>
      </c>
    </row>
    <row r="1211">
      <c r="A1211" s="99"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c r="AD1211">
        <f>IF(AND(Y1211="",Z1211="",AA1211="",AB1211="",AC1211=""),"",IF(OR(LEFT(AA1211,2)="L0",LEFT(AA1211,2)="L1",Y1211="No Iniciado"),"CRÍTICO - Incumplimiento Normativo SEPS",IF(AND(Y1211="Implementado",Z1211&lt;&gt;"",OR(LEFT(AA1211,2)="L4",LEFT(AA1211,2)="L5"),AB1211&lt;&gt;"",AC1211&lt;&gt;"",AC1211&lt;&gt;"N/A"),"CONFORME - Control Efectivo ISO 27001","OBSERVACIÓN - Revisar Controles")))</f>
        <v/>
      </c>
    </row>
    <row r="1212">
      <c r="A1212" s="99"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c r="AD1212">
        <f>IF(AND(Y1212="",Z1212="",AA1212="",AB1212="",AC1212=""),"",IF(OR(LEFT(AA1212,2)="L0",LEFT(AA1212,2)="L1",Y1212="No Iniciado"),"CRÍTICO - Incumplimiento Normativo SEPS",IF(AND(Y1212="Implementado",Z1212&lt;&gt;"",OR(LEFT(AA1212,2)="L4",LEFT(AA1212,2)="L5"),AB1212&lt;&gt;"",AC1212&lt;&gt;"",AC1212&lt;&gt;"N/A"),"CONFORME - Control Efectivo ISO 27001","OBSERVACIÓN - Revisar Controles")))</f>
        <v/>
      </c>
    </row>
    <row r="1213">
      <c r="A1213" s="99"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c r="AD1213">
        <f>IF(AND(Y1213="",Z1213="",AA1213="",AB1213="",AC1213=""),"",IF(OR(LEFT(AA1213,2)="L0",LEFT(AA1213,2)="L1",Y1213="No Iniciado"),"CRÍTICO - Incumplimiento Normativo SEPS",IF(AND(Y1213="Implementado",Z1213&lt;&gt;"",OR(LEFT(AA1213,2)="L4",LEFT(AA1213,2)="L5"),AB1213&lt;&gt;"",AC1213&lt;&gt;"",AC1213&lt;&gt;"N/A"),"CONFORME - Control Efectivo ISO 27001","OBSERVACIÓN - Revisar Controles")))</f>
        <v/>
      </c>
    </row>
    <row r="1214">
      <c r="A1214" s="99"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c r="AD1214">
        <f>IF(AND(Y1214="",Z1214="",AA1214="",AB1214="",AC1214=""),"",IF(OR(LEFT(AA1214,2)="L0",LEFT(AA1214,2)="L1",Y1214="No Iniciado"),"CRÍTICO - Incumplimiento Normativo SEPS",IF(AND(Y1214="Implementado",Z1214&lt;&gt;"",OR(LEFT(AA1214,2)="L4",LEFT(AA1214,2)="L5"),AB1214&lt;&gt;"",AC1214&lt;&gt;"",AC1214&lt;&gt;"N/A"),"CONFORME - Control Efectivo ISO 27001","OBSERVACIÓN - Revisar Controles")))</f>
        <v/>
      </c>
    </row>
    <row r="1215">
      <c r="A1215" s="99"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c r="AD1215">
        <f>IF(AND(Y1215="",Z1215="",AA1215="",AB1215="",AC1215=""),"",IF(OR(LEFT(AA1215,2)="L0",LEFT(AA1215,2)="L1",Y1215="No Iniciado"),"CRÍTICO - Incumplimiento Normativo SEPS",IF(AND(Y1215="Implementado",Z1215&lt;&gt;"",OR(LEFT(AA1215,2)="L4",LEFT(AA1215,2)="L5"),AB1215&lt;&gt;"",AC1215&lt;&gt;"",AC1215&lt;&gt;"N/A"),"CONFORME - Control Efectivo ISO 27001","OBSERVACIÓN - Revisar Controles")))</f>
        <v/>
      </c>
    </row>
    <row r="1216">
      <c r="A1216" s="99"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c r="AD1216">
        <f>IF(AND(Y1216="",Z1216="",AA1216="",AB1216="",AC1216=""),"",IF(OR(LEFT(AA1216,2)="L0",LEFT(AA1216,2)="L1",Y1216="No Iniciado"),"CRÍTICO - Incumplimiento Normativo SEPS",IF(AND(Y1216="Implementado",Z1216&lt;&gt;"",OR(LEFT(AA1216,2)="L4",LEFT(AA1216,2)="L5"),AB1216&lt;&gt;"",AC1216&lt;&gt;"",AC1216&lt;&gt;"N/A"),"CONFORME - Control Efectivo ISO 27001","OBSERVACIÓN - Revisar Controles")))</f>
        <v/>
      </c>
    </row>
    <row r="1217">
      <c r="A1217" s="99"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c r="AD1217">
        <f>IF(AND(Y1217="",Z1217="",AA1217="",AB1217="",AC1217=""),"",IF(OR(LEFT(AA1217,2)="L0",LEFT(AA1217,2)="L1",Y1217="No Iniciado"),"CRÍTICO - Incumplimiento Normativo SEPS",IF(AND(Y1217="Implementado",Z1217&lt;&gt;"",OR(LEFT(AA1217,2)="L4",LEFT(AA1217,2)="L5"),AB1217&lt;&gt;"",AC1217&lt;&gt;"",AC1217&lt;&gt;"N/A"),"CONFORME - Control Efectivo ISO 27001","OBSERVACIÓN - Revisar Controles")))</f>
        <v/>
      </c>
    </row>
    <row r="1218">
      <c r="A1218" s="99"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c r="AD1218">
        <f>IF(AND(Y1218="",Z1218="",AA1218="",AB1218="",AC1218=""),"",IF(OR(LEFT(AA1218,2)="L0",LEFT(AA1218,2)="L1",Y1218="No Iniciado"),"CRÍTICO - Incumplimiento Normativo SEPS",IF(AND(Y1218="Implementado",Z1218&lt;&gt;"",OR(LEFT(AA1218,2)="L4",LEFT(AA1218,2)="L5"),AB1218&lt;&gt;"",AC1218&lt;&gt;"",AC1218&lt;&gt;"N/A"),"CONFORME - Control Efectivo ISO 27001","OBSERVACIÓN - Revisar Controles")))</f>
        <v/>
      </c>
    </row>
    <row r="1219">
      <c r="A1219" s="99"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c r="AD1219">
        <f>IF(AND(Y1219="",Z1219="",AA1219="",AB1219="",AC1219=""),"",IF(OR(LEFT(AA1219,2)="L0",LEFT(AA1219,2)="L1",Y1219="No Iniciado"),"CRÍTICO - Incumplimiento Normativo SEPS",IF(AND(Y1219="Implementado",Z1219&lt;&gt;"",OR(LEFT(AA1219,2)="L4",LEFT(AA1219,2)="L5"),AB1219&lt;&gt;"",AC1219&lt;&gt;"",AC1219&lt;&gt;"N/A"),"CONFORME - Control Efectivo ISO 27001","OBSERVACIÓN - Revisar Controles")))</f>
        <v/>
      </c>
    </row>
    <row r="1220">
      <c r="A1220" s="99"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c r="AD1220">
        <f>IF(AND(Y1220="",Z1220="",AA1220="",AB1220="",AC1220=""),"",IF(OR(LEFT(AA1220,2)="L0",LEFT(AA1220,2)="L1",Y1220="No Iniciado"),"CRÍTICO - Incumplimiento Normativo SEPS",IF(AND(Y1220="Implementado",Z1220&lt;&gt;"",OR(LEFT(AA1220,2)="L4",LEFT(AA1220,2)="L5"),AB1220&lt;&gt;"",AC1220&lt;&gt;"",AC1220&lt;&gt;"N/A"),"CONFORME - Control Efectivo ISO 27001","OBSERVACIÓN - Revisar Controles")))</f>
        <v/>
      </c>
    </row>
    <row r="1221">
      <c r="A1221" s="99"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c r="AD1221">
        <f>IF(AND(Y1221="",Z1221="",AA1221="",AB1221="",AC1221=""),"",IF(OR(LEFT(AA1221,2)="L0",LEFT(AA1221,2)="L1",Y1221="No Iniciado"),"CRÍTICO - Incumplimiento Normativo SEPS",IF(AND(Y1221="Implementado",Z1221&lt;&gt;"",OR(LEFT(AA1221,2)="L4",LEFT(AA1221,2)="L5"),AB1221&lt;&gt;"",AC1221&lt;&gt;"",AC1221&lt;&gt;"N/A"),"CONFORME - Control Efectivo ISO 27001","OBSERVACIÓN - Revisar Controles")))</f>
        <v/>
      </c>
    </row>
    <row r="1222">
      <c r="A1222" s="99"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c r="AD1222">
        <f>IF(AND(Y1222="",Z1222="",AA1222="",AB1222="",AC1222=""),"",IF(OR(LEFT(AA1222,2)="L0",LEFT(AA1222,2)="L1",Y1222="No Iniciado"),"CRÍTICO - Incumplimiento Normativo SEPS",IF(AND(Y1222="Implementado",Z1222&lt;&gt;"",OR(LEFT(AA1222,2)="L4",LEFT(AA1222,2)="L5"),AB1222&lt;&gt;"",AC1222&lt;&gt;"",AC1222&lt;&gt;"N/A"),"CONFORME - Control Efectivo ISO 27001","OBSERVACIÓN - Revisar Controles")))</f>
        <v/>
      </c>
    </row>
    <row r="1223">
      <c r="A1223" s="99"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c r="AD1223">
        <f>IF(AND(Y1223="",Z1223="",AA1223="",AB1223="",AC1223=""),"",IF(OR(LEFT(AA1223,2)="L0",LEFT(AA1223,2)="L1",Y1223="No Iniciado"),"CRÍTICO - Incumplimiento Normativo SEPS",IF(AND(Y1223="Implementado",Z1223&lt;&gt;"",OR(LEFT(AA1223,2)="L4",LEFT(AA1223,2)="L5"),AB1223&lt;&gt;"",AC1223&lt;&gt;"",AC1223&lt;&gt;"N/A"),"CONFORME - Control Efectivo ISO 27001","OBSERVACIÓN - Revisar Controles")))</f>
        <v/>
      </c>
    </row>
    <row r="1224">
      <c r="A1224" s="99"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c r="AD1224">
        <f>IF(AND(Y1224="",Z1224="",AA1224="",AB1224="",AC1224=""),"",IF(OR(LEFT(AA1224,2)="L0",LEFT(AA1224,2)="L1",Y1224="No Iniciado"),"CRÍTICO - Incumplimiento Normativo SEPS",IF(AND(Y1224="Implementado",Z1224&lt;&gt;"",OR(LEFT(AA1224,2)="L4",LEFT(AA1224,2)="L5"),AB1224&lt;&gt;"",AC1224&lt;&gt;"",AC1224&lt;&gt;"N/A"),"CONFORME - Control Efectivo ISO 27001","OBSERVACIÓN - Revisar Controles")))</f>
        <v/>
      </c>
    </row>
    <row r="1225">
      <c r="A1225" s="99"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c r="AD1225">
        <f>IF(AND(Y1225="",Z1225="",AA1225="",AB1225="",AC1225=""),"",IF(OR(LEFT(AA1225,2)="L0",LEFT(AA1225,2)="L1",Y1225="No Iniciado"),"CRÍTICO - Incumplimiento Normativo SEPS",IF(AND(Y1225="Implementado",Z1225&lt;&gt;"",OR(LEFT(AA1225,2)="L4",LEFT(AA1225,2)="L5"),AB1225&lt;&gt;"",AC1225&lt;&gt;"",AC1225&lt;&gt;"N/A"),"CONFORME - Control Efectivo ISO 27001","OBSERVACIÓN - Revisar Controles")))</f>
        <v/>
      </c>
    </row>
    <row r="1226">
      <c r="A1226" s="99"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c r="AD1226">
        <f>IF(AND(Y1226="",Z1226="",AA1226="",AB1226="",AC1226=""),"",IF(OR(LEFT(AA1226,2)="L0",LEFT(AA1226,2)="L1",Y1226="No Iniciado"),"CRÍTICO - Incumplimiento Normativo SEPS",IF(AND(Y1226="Implementado",Z1226&lt;&gt;"",OR(LEFT(AA1226,2)="L4",LEFT(AA1226,2)="L5"),AB1226&lt;&gt;"",AC1226&lt;&gt;"",AC1226&lt;&gt;"N/A"),"CONFORME - Control Efectivo ISO 27001","OBSERVACIÓN - Revisar Controles")))</f>
        <v/>
      </c>
    </row>
    <row r="1227">
      <c r="A1227" s="99"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c r="AD1227">
        <f>IF(AND(Y1227="",Z1227="",AA1227="",AB1227="",AC1227=""),"",IF(OR(LEFT(AA1227,2)="L0",LEFT(AA1227,2)="L1",Y1227="No Iniciado"),"CRÍTICO - Incumplimiento Normativo SEPS",IF(AND(Y1227="Implementado",Z1227&lt;&gt;"",OR(LEFT(AA1227,2)="L4",LEFT(AA1227,2)="L5"),AB1227&lt;&gt;"",AC1227&lt;&gt;"",AC1227&lt;&gt;"N/A"),"CONFORME - Control Efectivo ISO 27001","OBSERVACIÓN - Revisar Controles")))</f>
        <v/>
      </c>
    </row>
    <row r="1228">
      <c r="A1228" s="99"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c r="AD1228">
        <f>IF(AND(Y1228="",Z1228="",AA1228="",AB1228="",AC1228=""),"",IF(OR(LEFT(AA1228,2)="L0",LEFT(AA1228,2)="L1",Y1228="No Iniciado"),"CRÍTICO - Incumplimiento Normativo SEPS",IF(AND(Y1228="Implementado",Z1228&lt;&gt;"",OR(LEFT(AA1228,2)="L4",LEFT(AA1228,2)="L5"),AB1228&lt;&gt;"",AC1228&lt;&gt;"",AC1228&lt;&gt;"N/A"),"CONFORME - Control Efectivo ISO 27001","OBSERVACIÓN - Revisar Controles")))</f>
        <v/>
      </c>
    </row>
    <row r="1229">
      <c r="A1229" s="99"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c r="AD1229">
        <f>IF(AND(Y1229="",Z1229="",AA1229="",AB1229="",AC1229=""),"",IF(OR(LEFT(AA1229,2)="L0",LEFT(AA1229,2)="L1",Y1229="No Iniciado"),"CRÍTICO - Incumplimiento Normativo SEPS",IF(AND(Y1229="Implementado",Z1229&lt;&gt;"",OR(LEFT(AA1229,2)="L4",LEFT(AA1229,2)="L5"),AB1229&lt;&gt;"",AC1229&lt;&gt;"",AC1229&lt;&gt;"N/A"),"CONFORME - Control Efectivo ISO 27001","OBSERVACIÓN - Revisar Controles")))</f>
        <v/>
      </c>
    </row>
    <row r="1230">
      <c r="A1230" s="99"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c r="AD1230">
        <f>IF(AND(Y1230="",Z1230="",AA1230="",AB1230="",AC1230=""),"",IF(OR(LEFT(AA1230,2)="L0",LEFT(AA1230,2)="L1",Y1230="No Iniciado"),"CRÍTICO - Incumplimiento Normativo SEPS",IF(AND(Y1230="Implementado",Z1230&lt;&gt;"",OR(LEFT(AA1230,2)="L4",LEFT(AA1230,2)="L5"),AB1230&lt;&gt;"",AC1230&lt;&gt;"",AC1230&lt;&gt;"N/A"),"CONFORME - Control Efectivo ISO 27001","OBSERVACIÓN - Revisar Controles")))</f>
        <v/>
      </c>
    </row>
    <row r="1231">
      <c r="A1231" s="99"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c r="AD1231">
        <f>IF(AND(Y1231="",Z1231="",AA1231="",AB1231="",AC1231=""),"",IF(OR(LEFT(AA1231,2)="L0",LEFT(AA1231,2)="L1",Y1231="No Iniciado"),"CRÍTICO - Incumplimiento Normativo SEPS",IF(AND(Y1231="Implementado",Z1231&lt;&gt;"",OR(LEFT(AA1231,2)="L4",LEFT(AA1231,2)="L5"),AB1231&lt;&gt;"",AC1231&lt;&gt;"",AC1231&lt;&gt;"N/A"),"CONFORME - Control Efectivo ISO 27001","OBSERVACIÓN - Revisar Controles")))</f>
        <v/>
      </c>
    </row>
    <row r="1232">
      <c r="A1232" s="99"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c r="AD1232">
        <f>IF(AND(Y1232="",Z1232="",AA1232="",AB1232="",AC1232=""),"",IF(OR(LEFT(AA1232,2)="L0",LEFT(AA1232,2)="L1",Y1232="No Iniciado"),"CRÍTICO - Incumplimiento Normativo SEPS",IF(AND(Y1232="Implementado",Z1232&lt;&gt;"",OR(LEFT(AA1232,2)="L4",LEFT(AA1232,2)="L5"),AB1232&lt;&gt;"",AC1232&lt;&gt;"",AC1232&lt;&gt;"N/A"),"CONFORME - Control Efectivo ISO 27001","OBSERVACIÓN - Revisar Controles")))</f>
        <v/>
      </c>
    </row>
    <row r="1233">
      <c r="A1233" s="99"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c r="AD1233">
        <f>IF(AND(Y1233="",Z1233="",AA1233="",AB1233="",AC1233=""),"",IF(OR(LEFT(AA1233,2)="L0",LEFT(AA1233,2)="L1",Y1233="No Iniciado"),"CRÍTICO - Incumplimiento Normativo SEPS",IF(AND(Y1233="Implementado",Z1233&lt;&gt;"",OR(LEFT(AA1233,2)="L4",LEFT(AA1233,2)="L5"),AB1233&lt;&gt;"",AC1233&lt;&gt;"",AC1233&lt;&gt;"N/A"),"CONFORME - Control Efectivo ISO 27001","OBSERVACIÓN - Revisar Controles")))</f>
        <v/>
      </c>
    </row>
    <row r="1234">
      <c r="A1234" s="99"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c r="AD1234">
        <f>IF(AND(Y1234="",Z1234="",AA1234="",AB1234="",AC1234=""),"",IF(OR(LEFT(AA1234,2)="L0",LEFT(AA1234,2)="L1",Y1234="No Iniciado"),"CRÍTICO - Incumplimiento Normativo SEPS",IF(AND(Y1234="Implementado",Z1234&lt;&gt;"",OR(LEFT(AA1234,2)="L4",LEFT(AA1234,2)="L5"),AB1234&lt;&gt;"",AC1234&lt;&gt;"",AC1234&lt;&gt;"N/A"),"CONFORME - Control Efectivo ISO 27001","OBSERVACIÓN - Revisar Controles")))</f>
        <v/>
      </c>
    </row>
    <row r="1235">
      <c r="A1235" s="99"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c r="AD1235">
        <f>IF(AND(Y1235="",Z1235="",AA1235="",AB1235="",AC1235=""),"",IF(OR(LEFT(AA1235,2)="L0",LEFT(AA1235,2)="L1",Y1235="No Iniciado"),"CRÍTICO - Incumplimiento Normativo SEPS",IF(AND(Y1235="Implementado",Z1235&lt;&gt;"",OR(LEFT(AA1235,2)="L4",LEFT(AA1235,2)="L5"),AB1235&lt;&gt;"",AC1235&lt;&gt;"",AC1235&lt;&gt;"N/A"),"CONFORME - Control Efectivo ISO 27001","OBSERVACIÓN - Revisar Controles")))</f>
        <v/>
      </c>
    </row>
    <row r="1236">
      <c r="A1236" s="99"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c r="AD1236">
        <f>IF(AND(Y1236="",Z1236="",AA1236="",AB1236="",AC1236=""),"",IF(OR(LEFT(AA1236,2)="L0",LEFT(AA1236,2)="L1",Y1236="No Iniciado"),"CRÍTICO - Incumplimiento Normativo SEPS",IF(AND(Y1236="Implementado",Z1236&lt;&gt;"",OR(LEFT(AA1236,2)="L4",LEFT(AA1236,2)="L5"),AB1236&lt;&gt;"",AC1236&lt;&gt;"",AC1236&lt;&gt;"N/A"),"CONFORME - Control Efectivo ISO 27001","OBSERVACIÓN - Revisar Controles")))</f>
        <v/>
      </c>
    </row>
    <row r="1237">
      <c r="A1237" s="99"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c r="AD1237">
        <f>IF(AND(Y1237="",Z1237="",AA1237="",AB1237="",AC1237=""),"",IF(OR(LEFT(AA1237,2)="L0",LEFT(AA1237,2)="L1",Y1237="No Iniciado"),"CRÍTICO - Incumplimiento Normativo SEPS",IF(AND(Y1237="Implementado",Z1237&lt;&gt;"",OR(LEFT(AA1237,2)="L4",LEFT(AA1237,2)="L5"),AB1237&lt;&gt;"",AC1237&lt;&gt;"",AC1237&lt;&gt;"N/A"),"CONFORME - Control Efectivo ISO 27001","OBSERVACIÓN - Revisar Controles")))</f>
        <v/>
      </c>
    </row>
    <row r="1238">
      <c r="A1238" s="99"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c r="AD1238">
        <f>IF(AND(Y1238="",Z1238="",AA1238="",AB1238="",AC1238=""),"",IF(OR(LEFT(AA1238,2)="L0",LEFT(AA1238,2)="L1",Y1238="No Iniciado"),"CRÍTICO - Incumplimiento Normativo SEPS",IF(AND(Y1238="Implementado",Z1238&lt;&gt;"",OR(LEFT(AA1238,2)="L4",LEFT(AA1238,2)="L5"),AB1238&lt;&gt;"",AC1238&lt;&gt;"",AC1238&lt;&gt;"N/A"),"CONFORME - Control Efectivo ISO 27001","OBSERVACIÓN - Revisar Controles")))</f>
        <v/>
      </c>
    </row>
    <row r="1239">
      <c r="A1239" s="99"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c r="AD1239">
        <f>IF(AND(Y1239="",Z1239="",AA1239="",AB1239="",AC1239=""),"",IF(OR(LEFT(AA1239,2)="L0",LEFT(AA1239,2)="L1",Y1239="No Iniciado"),"CRÍTICO - Incumplimiento Normativo SEPS",IF(AND(Y1239="Implementado",Z1239&lt;&gt;"",OR(LEFT(AA1239,2)="L4",LEFT(AA1239,2)="L5"),AB1239&lt;&gt;"",AC1239&lt;&gt;"",AC1239&lt;&gt;"N/A"),"CONFORME - Control Efectivo ISO 27001","OBSERVACIÓN - Revisar Controles")))</f>
        <v/>
      </c>
    </row>
    <row r="1240">
      <c r="A1240" s="99"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c r="AD1240">
        <f>IF(AND(Y1240="",Z1240="",AA1240="",AB1240="",AC1240=""),"",IF(OR(LEFT(AA1240,2)="L0",LEFT(AA1240,2)="L1",Y1240="No Iniciado"),"CRÍTICO - Incumplimiento Normativo SEPS",IF(AND(Y1240="Implementado",Z1240&lt;&gt;"",OR(LEFT(AA1240,2)="L4",LEFT(AA1240,2)="L5"),AB1240&lt;&gt;"",AC1240&lt;&gt;"",AC1240&lt;&gt;"N/A"),"CONFORME - Control Efectivo ISO 27001","OBSERVACIÓN - Revisar Controles")))</f>
        <v/>
      </c>
    </row>
    <row r="1241">
      <c r="A1241" s="99"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c r="AD1241">
        <f>IF(AND(Y1241="",Z1241="",AA1241="",AB1241="",AC1241=""),"",IF(OR(LEFT(AA1241,2)="L0",LEFT(AA1241,2)="L1",Y1241="No Iniciado"),"CRÍTICO - Incumplimiento Normativo SEPS",IF(AND(Y1241="Implementado",Z1241&lt;&gt;"",OR(LEFT(AA1241,2)="L4",LEFT(AA1241,2)="L5"),AB1241&lt;&gt;"",AC1241&lt;&gt;"",AC1241&lt;&gt;"N/A"),"CONFORME - Control Efectivo ISO 27001","OBSERVACIÓN - Revisar Controles")))</f>
        <v/>
      </c>
    </row>
    <row r="1242">
      <c r="A1242" s="99"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c r="AD1242">
        <f>IF(AND(Y1242="",Z1242="",AA1242="",AB1242="",AC1242=""),"",IF(OR(LEFT(AA1242,2)="L0",LEFT(AA1242,2)="L1",Y1242="No Iniciado"),"CRÍTICO - Incumplimiento Normativo SEPS",IF(AND(Y1242="Implementado",Z1242&lt;&gt;"",OR(LEFT(AA1242,2)="L4",LEFT(AA1242,2)="L5"),AB1242&lt;&gt;"",AC1242&lt;&gt;"",AC1242&lt;&gt;"N/A"),"CONFORME - Control Efectivo ISO 27001","OBSERVACIÓN - Revisar Controles")))</f>
        <v/>
      </c>
    </row>
    <row r="1243">
      <c r="A1243" s="99"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c r="AD1243">
        <f>IF(AND(Y1243="",Z1243="",AA1243="",AB1243="",AC1243=""),"",IF(OR(LEFT(AA1243,2)="L0",LEFT(AA1243,2)="L1",Y1243="No Iniciado"),"CRÍTICO - Incumplimiento Normativo SEPS",IF(AND(Y1243="Implementado",Z1243&lt;&gt;"",OR(LEFT(AA1243,2)="L4",LEFT(AA1243,2)="L5"),AB1243&lt;&gt;"",AC1243&lt;&gt;"",AC1243&lt;&gt;"N/A"),"CONFORME - Control Efectivo ISO 27001","OBSERVACIÓN - Revisar Controles")))</f>
        <v/>
      </c>
    </row>
    <row r="1244">
      <c r="A1244" s="99"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c r="AD1244">
        <f>IF(AND(Y1244="",Z1244="",AA1244="",AB1244="",AC1244=""),"",IF(OR(LEFT(AA1244,2)="L0",LEFT(AA1244,2)="L1",Y1244="No Iniciado"),"CRÍTICO - Incumplimiento Normativo SEPS",IF(AND(Y1244="Implementado",Z1244&lt;&gt;"",OR(LEFT(AA1244,2)="L4",LEFT(AA1244,2)="L5"),AB1244&lt;&gt;"",AC1244&lt;&gt;"",AC1244&lt;&gt;"N/A"),"CONFORME - Control Efectivo ISO 27001","OBSERVACIÓN - Revisar Controles")))</f>
        <v/>
      </c>
    </row>
    <row r="1245">
      <c r="A1245" s="99"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c r="AD1245">
        <f>IF(AND(Y1245="",Z1245="",AA1245="",AB1245="",AC1245=""),"",IF(OR(LEFT(AA1245,2)="L0",LEFT(AA1245,2)="L1",Y1245="No Iniciado"),"CRÍTICO - Incumplimiento Normativo SEPS",IF(AND(Y1245="Implementado",Z1245&lt;&gt;"",OR(LEFT(AA1245,2)="L4",LEFT(AA1245,2)="L5"),AB1245&lt;&gt;"",AC1245&lt;&gt;"",AC1245&lt;&gt;"N/A"),"CONFORME - Control Efectivo ISO 27001","OBSERVACIÓN - Revisar Controles")))</f>
        <v/>
      </c>
    </row>
    <row r="1246">
      <c r="A1246" s="99"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c r="AD1246">
        <f>IF(AND(Y1246="",Z1246="",AA1246="",AB1246="",AC1246=""),"",IF(OR(LEFT(AA1246,2)="L0",LEFT(AA1246,2)="L1",Y1246="No Iniciado"),"CRÍTICO - Incumplimiento Normativo SEPS",IF(AND(Y1246="Implementado",Z1246&lt;&gt;"",OR(LEFT(AA1246,2)="L4",LEFT(AA1246,2)="L5"),AB1246&lt;&gt;"",AC1246&lt;&gt;"",AC1246&lt;&gt;"N/A"),"CONFORME - Control Efectivo ISO 27001","OBSERVACIÓN - Revisar Controles")))</f>
        <v/>
      </c>
    </row>
    <row r="1247">
      <c r="A1247" s="99"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c r="AD1247">
        <f>IF(AND(Y1247="",Z1247="",AA1247="",AB1247="",AC1247=""),"",IF(OR(LEFT(AA1247,2)="L0",LEFT(AA1247,2)="L1",Y1247="No Iniciado"),"CRÍTICO - Incumplimiento Normativo SEPS",IF(AND(Y1247="Implementado",Z1247&lt;&gt;"",OR(LEFT(AA1247,2)="L4",LEFT(AA1247,2)="L5"),AB1247&lt;&gt;"",AC1247&lt;&gt;"",AC1247&lt;&gt;"N/A"),"CONFORME - Control Efectivo ISO 27001","OBSERVACIÓN - Revisar Controles")))</f>
        <v/>
      </c>
    </row>
    <row r="1248">
      <c r="A1248" s="99"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c r="AD1248">
        <f>IF(AND(Y1248="",Z1248="",AA1248="",AB1248="",AC1248=""),"",IF(OR(LEFT(AA1248,2)="L0",LEFT(AA1248,2)="L1",Y1248="No Iniciado"),"CRÍTICO - Incumplimiento Normativo SEPS",IF(AND(Y1248="Implementado",Z1248&lt;&gt;"",OR(LEFT(AA1248,2)="L4",LEFT(AA1248,2)="L5"),AB1248&lt;&gt;"",AC1248&lt;&gt;"",AC1248&lt;&gt;"N/A"),"CONFORME - Control Efectivo ISO 27001","OBSERVACIÓN - Revisar Controles")))</f>
        <v/>
      </c>
    </row>
    <row r="1249">
      <c r="A1249" s="99"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c r="AD1249">
        <f>IF(AND(Y1249="",Z1249="",AA1249="",AB1249="",AC1249=""),"",IF(OR(LEFT(AA1249,2)="L0",LEFT(AA1249,2)="L1",Y1249="No Iniciado"),"CRÍTICO - Incumplimiento Normativo SEPS",IF(AND(Y1249="Implementado",Z1249&lt;&gt;"",OR(LEFT(AA1249,2)="L4",LEFT(AA1249,2)="L5"),AB1249&lt;&gt;"",AC1249&lt;&gt;"",AC1249&lt;&gt;"N/A"),"CONFORME - Control Efectivo ISO 27001","OBSERVACIÓN - Revisar Controles")))</f>
        <v/>
      </c>
    </row>
    <row r="1250">
      <c r="A1250" s="99"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c r="AD1250">
        <f>IF(AND(Y1250="",Z1250="",AA1250="",AB1250="",AC1250=""),"",IF(OR(LEFT(AA1250,2)="L0",LEFT(AA1250,2)="L1",Y1250="No Iniciado"),"CRÍTICO - Incumplimiento Normativo SEPS",IF(AND(Y1250="Implementado",Z1250&lt;&gt;"",OR(LEFT(AA1250,2)="L4",LEFT(AA1250,2)="L5"),AB1250&lt;&gt;"",AC1250&lt;&gt;"",AC1250&lt;&gt;"N/A"),"CONFORME - Control Efectivo ISO 27001","OBSERVACIÓN - Revisar Controles")))</f>
        <v/>
      </c>
    </row>
    <row r="1251">
      <c r="A1251" s="99"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c r="AD1251">
        <f>IF(AND(Y1251="",Z1251="",AA1251="",AB1251="",AC1251=""),"",IF(OR(LEFT(AA1251,2)="L0",LEFT(AA1251,2)="L1",Y1251="No Iniciado"),"CRÍTICO - Incumplimiento Normativo SEPS",IF(AND(Y1251="Implementado",Z1251&lt;&gt;"",OR(LEFT(AA1251,2)="L4",LEFT(AA1251,2)="L5"),AB1251&lt;&gt;"",AC1251&lt;&gt;"",AC1251&lt;&gt;"N/A"),"CONFORME - Control Efectivo ISO 27001","OBSERVACIÓN - Revisar Controles")))</f>
        <v/>
      </c>
    </row>
    <row r="1252">
      <c r="A1252" s="99"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c r="AD1252">
        <f>IF(AND(Y1252="",Z1252="",AA1252="",AB1252="",AC1252=""),"",IF(OR(LEFT(AA1252,2)="L0",LEFT(AA1252,2)="L1",Y1252="No Iniciado"),"CRÍTICO - Incumplimiento Normativo SEPS",IF(AND(Y1252="Implementado",Z1252&lt;&gt;"",OR(LEFT(AA1252,2)="L4",LEFT(AA1252,2)="L5"),AB1252&lt;&gt;"",AC1252&lt;&gt;"",AC1252&lt;&gt;"N/A"),"CONFORME - Control Efectivo ISO 27001","OBSERVACIÓN - Revisar Controles")))</f>
        <v/>
      </c>
    </row>
    <row r="1253">
      <c r="A1253" s="99"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c r="AD1253">
        <f>IF(AND(Y1253="",Z1253="",AA1253="",AB1253="",AC1253=""),"",IF(OR(LEFT(AA1253,2)="L0",LEFT(AA1253,2)="L1",Y1253="No Iniciado"),"CRÍTICO - Incumplimiento Normativo SEPS",IF(AND(Y1253="Implementado",Z1253&lt;&gt;"",OR(LEFT(AA1253,2)="L4",LEFT(AA1253,2)="L5"),AB1253&lt;&gt;"",AC1253&lt;&gt;"",AC1253&lt;&gt;"N/A"),"CONFORME - Control Efectivo ISO 27001","OBSERVACIÓN - Revisar Controles")))</f>
        <v/>
      </c>
    </row>
    <row r="1254">
      <c r="A1254" s="99"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c r="AD1254">
        <f>IF(AND(Y1254="",Z1254="",AA1254="",AB1254="",AC1254=""),"",IF(OR(LEFT(AA1254,2)="L0",LEFT(AA1254,2)="L1",Y1254="No Iniciado"),"CRÍTICO - Incumplimiento Normativo SEPS",IF(AND(Y1254="Implementado",Z1254&lt;&gt;"",OR(LEFT(AA1254,2)="L4",LEFT(AA1254,2)="L5"),AB1254&lt;&gt;"",AC1254&lt;&gt;"",AC1254&lt;&gt;"N/A"),"CONFORME - Control Efectivo ISO 27001","OBSERVACIÓN - Revisar Controles")))</f>
        <v/>
      </c>
    </row>
    <row r="1255">
      <c r="A1255" s="99"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c r="AD1255">
        <f>IF(AND(Y1255="",Z1255="",AA1255="",AB1255="",AC1255=""),"",IF(OR(LEFT(AA1255,2)="L0",LEFT(AA1255,2)="L1",Y1255="No Iniciado"),"CRÍTICO - Incumplimiento Normativo SEPS",IF(AND(Y1255="Implementado",Z1255&lt;&gt;"",OR(LEFT(AA1255,2)="L4",LEFT(AA1255,2)="L5"),AB1255&lt;&gt;"",AC1255&lt;&gt;"",AC1255&lt;&gt;"N/A"),"CONFORME - Control Efectivo ISO 27001","OBSERVACIÓN - Revisar Controles")))</f>
        <v/>
      </c>
    </row>
    <row r="1256">
      <c r="A1256" s="99"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c r="AD1256">
        <f>IF(AND(Y1256="",Z1256="",AA1256="",AB1256="",AC1256=""),"",IF(OR(LEFT(AA1256,2)="L0",LEFT(AA1256,2)="L1",Y1256="No Iniciado"),"CRÍTICO - Incumplimiento Normativo SEPS",IF(AND(Y1256="Implementado",Z1256&lt;&gt;"",OR(LEFT(AA1256,2)="L4",LEFT(AA1256,2)="L5"),AB1256&lt;&gt;"",AC1256&lt;&gt;"",AC1256&lt;&gt;"N/A"),"CONFORME - Control Efectivo ISO 27001","OBSERVACIÓN - Revisar Controles")))</f>
        <v/>
      </c>
    </row>
    <row r="1257">
      <c r="A1257" s="99"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c r="AD1257">
        <f>IF(AND(Y1257="",Z1257="",AA1257="",AB1257="",AC1257=""),"",IF(OR(LEFT(AA1257,2)="L0",LEFT(AA1257,2)="L1",Y1257="No Iniciado"),"CRÍTICO - Incumplimiento Normativo SEPS",IF(AND(Y1257="Implementado",Z1257&lt;&gt;"",OR(LEFT(AA1257,2)="L4",LEFT(AA1257,2)="L5"),AB1257&lt;&gt;"",AC1257&lt;&gt;"",AC1257&lt;&gt;"N/A"),"CONFORME - Control Efectivo ISO 27001","OBSERVACIÓN - Revisar Controles")))</f>
        <v/>
      </c>
    </row>
    <row r="1258">
      <c r="A1258" s="99"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c r="AD1258">
        <f>IF(AND(Y1258="",Z1258="",AA1258="",AB1258="",AC1258=""),"",IF(OR(LEFT(AA1258,2)="L0",LEFT(AA1258,2)="L1",Y1258="No Iniciado"),"CRÍTICO - Incumplimiento Normativo SEPS",IF(AND(Y1258="Implementado",Z1258&lt;&gt;"",OR(LEFT(AA1258,2)="L4",LEFT(AA1258,2)="L5"),AB1258&lt;&gt;"",AC1258&lt;&gt;"",AC1258&lt;&gt;"N/A"),"CONFORME - Control Efectivo ISO 27001","OBSERVACIÓN - Revisar Controles")))</f>
        <v/>
      </c>
    </row>
    <row r="1259">
      <c r="A1259" s="99"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c r="AD1259">
        <f>IF(AND(Y1259="",Z1259="",AA1259="",AB1259="",AC1259=""),"",IF(OR(LEFT(AA1259,2)="L0",LEFT(AA1259,2)="L1",Y1259="No Iniciado"),"CRÍTICO - Incumplimiento Normativo SEPS",IF(AND(Y1259="Implementado",Z1259&lt;&gt;"",OR(LEFT(AA1259,2)="L4",LEFT(AA1259,2)="L5"),AB1259&lt;&gt;"",AC1259&lt;&gt;"",AC1259&lt;&gt;"N/A"),"CONFORME - Control Efectivo ISO 27001","OBSERVACIÓN - Revisar Controles")))</f>
        <v/>
      </c>
    </row>
    <row r="1260">
      <c r="A1260" s="99"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c r="AD1260">
        <f>IF(AND(Y1260="",Z1260="",AA1260="",AB1260="",AC1260=""),"",IF(OR(LEFT(AA1260,2)="L0",LEFT(AA1260,2)="L1",Y1260="No Iniciado"),"CRÍTICO - Incumplimiento Normativo SEPS",IF(AND(Y1260="Implementado",Z1260&lt;&gt;"",OR(LEFT(AA1260,2)="L4",LEFT(AA1260,2)="L5"),AB1260&lt;&gt;"",AC1260&lt;&gt;"",AC1260&lt;&gt;"N/A"),"CONFORME - Control Efectivo ISO 27001","OBSERVACIÓN - Revisar Controles")))</f>
        <v/>
      </c>
    </row>
    <row r="1261">
      <c r="A1261" s="99"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c r="AD1261">
        <f>IF(AND(Y1261="",Z1261="",AA1261="",AB1261="",AC1261=""),"",IF(OR(LEFT(AA1261,2)="L0",LEFT(AA1261,2)="L1",Y1261="No Iniciado"),"CRÍTICO - Incumplimiento Normativo SEPS",IF(AND(Y1261="Implementado",Z1261&lt;&gt;"",OR(LEFT(AA1261,2)="L4",LEFT(AA1261,2)="L5"),AB1261&lt;&gt;"",AC1261&lt;&gt;"",AC1261&lt;&gt;"N/A"),"CONFORME - Control Efectivo ISO 27001","OBSERVACIÓN - Revisar Controles")))</f>
        <v/>
      </c>
    </row>
    <row r="1262">
      <c r="A1262" s="99"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c r="AD1262">
        <f>IF(AND(Y1262="",Z1262="",AA1262="",AB1262="",AC1262=""),"",IF(OR(LEFT(AA1262,2)="L0",LEFT(AA1262,2)="L1",Y1262="No Iniciado"),"CRÍTICO - Incumplimiento Normativo SEPS",IF(AND(Y1262="Implementado",Z1262&lt;&gt;"",OR(LEFT(AA1262,2)="L4",LEFT(AA1262,2)="L5"),AB1262&lt;&gt;"",AC1262&lt;&gt;"",AC1262&lt;&gt;"N/A"),"CONFORME - Control Efectivo ISO 27001","OBSERVACIÓN - Revisar Controles")))</f>
        <v/>
      </c>
    </row>
    <row r="1263">
      <c r="A1263" s="99"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c r="AD1263">
        <f>IF(AND(Y1263="",Z1263="",AA1263="",AB1263="",AC1263=""),"",IF(OR(LEFT(AA1263,2)="L0",LEFT(AA1263,2)="L1",Y1263="No Iniciado"),"CRÍTICO - Incumplimiento Normativo SEPS",IF(AND(Y1263="Implementado",Z1263&lt;&gt;"",OR(LEFT(AA1263,2)="L4",LEFT(AA1263,2)="L5"),AB1263&lt;&gt;"",AC1263&lt;&gt;"",AC1263&lt;&gt;"N/A"),"CONFORME - Control Efectivo ISO 27001","OBSERVACIÓN - Revisar Controles")))</f>
        <v/>
      </c>
    </row>
    <row r="1264">
      <c r="A1264" s="99"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c r="AD1264">
        <f>IF(AND(Y1264="",Z1264="",AA1264="",AB1264="",AC1264=""),"",IF(OR(LEFT(AA1264,2)="L0",LEFT(AA1264,2)="L1",Y1264="No Iniciado"),"CRÍTICO - Incumplimiento Normativo SEPS",IF(AND(Y1264="Implementado",Z1264&lt;&gt;"",OR(LEFT(AA1264,2)="L4",LEFT(AA1264,2)="L5"),AB1264&lt;&gt;"",AC1264&lt;&gt;"",AC1264&lt;&gt;"N/A"),"CONFORME - Control Efectivo ISO 27001","OBSERVACIÓN - Revisar Controles")))</f>
        <v/>
      </c>
    </row>
    <row r="1265">
      <c r="A1265" s="99"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c r="AD1265">
        <f>IF(AND(Y1265="",Z1265="",AA1265="",AB1265="",AC1265=""),"",IF(OR(LEFT(AA1265,2)="L0",LEFT(AA1265,2)="L1",Y1265="No Iniciado"),"CRÍTICO - Incumplimiento Normativo SEPS",IF(AND(Y1265="Implementado",Z1265&lt;&gt;"",OR(LEFT(AA1265,2)="L4",LEFT(AA1265,2)="L5"),AB1265&lt;&gt;"",AC1265&lt;&gt;"",AC1265&lt;&gt;"N/A"),"CONFORME - Control Efectivo ISO 27001","OBSERVACIÓN - Revisar Controles")))</f>
        <v/>
      </c>
    </row>
    <row r="1266">
      <c r="A1266" s="99"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c r="AD1266">
        <f>IF(AND(Y1266="",Z1266="",AA1266="",AB1266="",AC1266=""),"",IF(OR(LEFT(AA1266,2)="L0",LEFT(AA1266,2)="L1",Y1266="No Iniciado"),"CRÍTICO - Incumplimiento Normativo SEPS",IF(AND(Y1266="Implementado",Z1266&lt;&gt;"",OR(LEFT(AA1266,2)="L4",LEFT(AA1266,2)="L5"),AB1266&lt;&gt;"",AC1266&lt;&gt;"",AC1266&lt;&gt;"N/A"),"CONFORME - Control Efectivo ISO 27001","OBSERVACIÓN - Revisar Controles")))</f>
        <v/>
      </c>
    </row>
    <row r="1267">
      <c r="A1267" s="99"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c r="AD1267">
        <f>IF(AND(Y1267="",Z1267="",AA1267="",AB1267="",AC1267=""),"",IF(OR(LEFT(AA1267,2)="L0",LEFT(AA1267,2)="L1",Y1267="No Iniciado"),"CRÍTICO - Incumplimiento Normativo SEPS",IF(AND(Y1267="Implementado",Z1267&lt;&gt;"",OR(LEFT(AA1267,2)="L4",LEFT(AA1267,2)="L5"),AB1267&lt;&gt;"",AC1267&lt;&gt;"",AC1267&lt;&gt;"N/A"),"CONFORME - Control Efectivo ISO 27001","OBSERVACIÓN - Revisar Controles")))</f>
        <v/>
      </c>
    </row>
    <row r="1268">
      <c r="A1268" s="99"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c r="AD1268">
        <f>IF(AND(Y1268="",Z1268="",AA1268="",AB1268="",AC1268=""),"",IF(OR(LEFT(AA1268,2)="L0",LEFT(AA1268,2)="L1",Y1268="No Iniciado"),"CRÍTICO - Incumplimiento Normativo SEPS",IF(AND(Y1268="Implementado",Z1268&lt;&gt;"",OR(LEFT(AA1268,2)="L4",LEFT(AA1268,2)="L5"),AB1268&lt;&gt;"",AC1268&lt;&gt;"",AC1268&lt;&gt;"N/A"),"CONFORME - Control Efectivo ISO 27001","OBSERVACIÓN - Revisar Controles")))</f>
        <v/>
      </c>
    </row>
    <row r="1269">
      <c r="A1269" s="99"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c r="AD1269">
        <f>IF(AND(Y1269="",Z1269="",AA1269="",AB1269="",AC1269=""),"",IF(OR(LEFT(AA1269,2)="L0",LEFT(AA1269,2)="L1",Y1269="No Iniciado"),"CRÍTICO - Incumplimiento Normativo SEPS",IF(AND(Y1269="Implementado",Z1269&lt;&gt;"",OR(LEFT(AA1269,2)="L4",LEFT(AA1269,2)="L5"),AB1269&lt;&gt;"",AC1269&lt;&gt;"",AC1269&lt;&gt;"N/A"),"CONFORME - Control Efectivo ISO 27001","OBSERVACIÓN - Revisar Controles")))</f>
        <v/>
      </c>
    </row>
    <row r="1270">
      <c r="A1270" s="99"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c r="AD1270">
        <f>IF(AND(Y1270="",Z1270="",AA1270="",AB1270="",AC1270=""),"",IF(OR(LEFT(AA1270,2)="L0",LEFT(AA1270,2)="L1",Y1270="No Iniciado"),"CRÍTICO - Incumplimiento Normativo SEPS",IF(AND(Y1270="Implementado",Z1270&lt;&gt;"",OR(LEFT(AA1270,2)="L4",LEFT(AA1270,2)="L5"),AB1270&lt;&gt;"",AC1270&lt;&gt;"",AC1270&lt;&gt;"N/A"),"CONFORME - Control Efectivo ISO 27001","OBSERVACIÓN - Revisar Controles")))</f>
        <v/>
      </c>
    </row>
    <row r="1271">
      <c r="A1271" s="99"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c r="AD1271">
        <f>IF(AND(Y1271="",Z1271="",AA1271="",AB1271="",AC1271=""),"",IF(OR(LEFT(AA1271,2)="L0",LEFT(AA1271,2)="L1",Y1271="No Iniciado"),"CRÍTICO - Incumplimiento Normativo SEPS",IF(AND(Y1271="Implementado",Z1271&lt;&gt;"",OR(LEFT(AA1271,2)="L4",LEFT(AA1271,2)="L5"),AB1271&lt;&gt;"",AC1271&lt;&gt;"",AC1271&lt;&gt;"N/A"),"CONFORME - Control Efectivo ISO 27001","OBSERVACIÓN - Revisar Controles")))</f>
        <v/>
      </c>
    </row>
    <row r="1272">
      <c r="A1272" s="99"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c r="AD1272">
        <f>IF(AND(Y1272="",Z1272="",AA1272="",AB1272="",AC1272=""),"",IF(OR(LEFT(AA1272,2)="L0",LEFT(AA1272,2)="L1",Y1272="No Iniciado"),"CRÍTICO - Incumplimiento Normativo SEPS",IF(AND(Y1272="Implementado",Z1272&lt;&gt;"",OR(LEFT(AA1272,2)="L4",LEFT(AA1272,2)="L5"),AB1272&lt;&gt;"",AC1272&lt;&gt;"",AC1272&lt;&gt;"N/A"),"CONFORME - Control Efectivo ISO 27001","OBSERVACIÓN - Revisar Controles")))</f>
        <v/>
      </c>
    </row>
    <row r="1273">
      <c r="A1273" s="99"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c r="AD1273">
        <f>IF(AND(Y1273="",Z1273="",AA1273="",AB1273="",AC1273=""),"",IF(OR(LEFT(AA1273,2)="L0",LEFT(AA1273,2)="L1",Y1273="No Iniciado"),"CRÍTICO - Incumplimiento Normativo SEPS",IF(AND(Y1273="Implementado",Z1273&lt;&gt;"",OR(LEFT(AA1273,2)="L4",LEFT(AA1273,2)="L5"),AB1273&lt;&gt;"",AC1273&lt;&gt;"",AC1273&lt;&gt;"N/A"),"CONFORME - Control Efectivo ISO 27001","OBSERVACIÓN - Revisar Controles")))</f>
        <v/>
      </c>
    </row>
    <row r="1274">
      <c r="A1274" s="99"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c r="AD1274">
        <f>IF(AND(Y1274="",Z1274="",AA1274="",AB1274="",AC1274=""),"",IF(OR(LEFT(AA1274,2)="L0",LEFT(AA1274,2)="L1",Y1274="No Iniciado"),"CRÍTICO - Incumplimiento Normativo SEPS",IF(AND(Y1274="Implementado",Z1274&lt;&gt;"",OR(LEFT(AA1274,2)="L4",LEFT(AA1274,2)="L5"),AB1274&lt;&gt;"",AC1274&lt;&gt;"",AC1274&lt;&gt;"N/A"),"CONFORME - Control Efectivo ISO 27001","OBSERVACIÓN - Revisar Controles")))</f>
        <v/>
      </c>
    </row>
    <row r="1275">
      <c r="A1275" s="99"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c r="AD1275">
        <f>IF(AND(Y1275="",Z1275="",AA1275="",AB1275="",AC1275=""),"",IF(OR(LEFT(AA1275,2)="L0",LEFT(AA1275,2)="L1",Y1275="No Iniciado"),"CRÍTICO - Incumplimiento Normativo SEPS",IF(AND(Y1275="Implementado",Z1275&lt;&gt;"",OR(LEFT(AA1275,2)="L4",LEFT(AA1275,2)="L5"),AB1275&lt;&gt;"",AC1275&lt;&gt;"",AC1275&lt;&gt;"N/A"),"CONFORME - Control Efectivo ISO 27001","OBSERVACIÓN - Revisar Controles")))</f>
        <v/>
      </c>
    </row>
    <row r="1276">
      <c r="A1276" s="99"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c r="AD1276">
        <f>IF(AND(Y1276="",Z1276="",AA1276="",AB1276="",AC1276=""),"",IF(OR(LEFT(AA1276,2)="L0",LEFT(AA1276,2)="L1",Y1276="No Iniciado"),"CRÍTICO - Incumplimiento Normativo SEPS",IF(AND(Y1276="Implementado",Z1276&lt;&gt;"",OR(LEFT(AA1276,2)="L4",LEFT(AA1276,2)="L5"),AB1276&lt;&gt;"",AC1276&lt;&gt;"",AC1276&lt;&gt;"N/A"),"CONFORME - Control Efectivo ISO 27001","OBSERVACIÓN - Revisar Controles")))</f>
        <v/>
      </c>
    </row>
    <row r="1277">
      <c r="A1277" s="99"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c r="AD1277">
        <f>IF(AND(Y1277="",Z1277="",AA1277="",AB1277="",AC1277=""),"",IF(OR(LEFT(AA1277,2)="L0",LEFT(AA1277,2)="L1",Y1277="No Iniciado"),"CRÍTICO - Incumplimiento Normativo SEPS",IF(AND(Y1277="Implementado",Z1277&lt;&gt;"",OR(LEFT(AA1277,2)="L4",LEFT(AA1277,2)="L5"),AB1277&lt;&gt;"",AC1277&lt;&gt;"",AC1277&lt;&gt;"N/A"),"CONFORME - Control Efectivo ISO 27001","OBSERVACIÓN - Revisar Controles")))</f>
        <v/>
      </c>
    </row>
    <row r="1278">
      <c r="A1278" s="99"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c r="AD1278">
        <f>IF(AND(Y1278="",Z1278="",AA1278="",AB1278="",AC1278=""),"",IF(OR(LEFT(AA1278,2)="L0",LEFT(AA1278,2)="L1",Y1278="No Iniciado"),"CRÍTICO - Incumplimiento Normativo SEPS",IF(AND(Y1278="Implementado",Z1278&lt;&gt;"",OR(LEFT(AA1278,2)="L4",LEFT(AA1278,2)="L5"),AB1278&lt;&gt;"",AC1278&lt;&gt;"",AC1278&lt;&gt;"N/A"),"CONFORME - Control Efectivo ISO 27001","OBSERVACIÓN - Revisar Controles")))</f>
        <v/>
      </c>
    </row>
    <row r="1279">
      <c r="A1279" s="99"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c r="AD1279">
        <f>IF(AND(Y1279="",Z1279="",AA1279="",AB1279="",AC1279=""),"",IF(OR(LEFT(AA1279,2)="L0",LEFT(AA1279,2)="L1",Y1279="No Iniciado"),"CRÍTICO - Incumplimiento Normativo SEPS",IF(AND(Y1279="Implementado",Z1279&lt;&gt;"",OR(LEFT(AA1279,2)="L4",LEFT(AA1279,2)="L5"),AB1279&lt;&gt;"",AC1279&lt;&gt;"",AC1279&lt;&gt;"N/A"),"CONFORME - Control Efectivo ISO 27001","OBSERVACIÓN - Revisar Controles")))</f>
        <v/>
      </c>
    </row>
    <row r="1280">
      <c r="A1280" s="99"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c r="AD1280">
        <f>IF(AND(Y1280="",Z1280="",AA1280="",AB1280="",AC1280=""),"",IF(OR(LEFT(AA1280,2)="L0",LEFT(AA1280,2)="L1",Y1280="No Iniciado"),"CRÍTICO - Incumplimiento Normativo SEPS",IF(AND(Y1280="Implementado",Z1280&lt;&gt;"",OR(LEFT(AA1280,2)="L4",LEFT(AA1280,2)="L5"),AB1280&lt;&gt;"",AC1280&lt;&gt;"",AC1280&lt;&gt;"N/A"),"CONFORME - Control Efectivo ISO 27001","OBSERVACIÓN - Revisar Controles")))</f>
        <v/>
      </c>
    </row>
    <row r="1281">
      <c r="A1281" s="99"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c r="AD1281">
        <f>IF(AND(Y1281="",Z1281="",AA1281="",AB1281="",AC1281=""),"",IF(OR(LEFT(AA1281,2)="L0",LEFT(AA1281,2)="L1",Y1281="No Iniciado"),"CRÍTICO - Incumplimiento Normativo SEPS",IF(AND(Y1281="Implementado",Z1281&lt;&gt;"",OR(LEFT(AA1281,2)="L4",LEFT(AA1281,2)="L5"),AB1281&lt;&gt;"",AC1281&lt;&gt;"",AC1281&lt;&gt;"N/A"),"CONFORME - Control Efectivo ISO 27001","OBSERVACIÓN - Revisar Controles")))</f>
        <v/>
      </c>
    </row>
    <row r="1282">
      <c r="A1282" s="99"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c r="AD1282">
        <f>IF(AND(Y1282="",Z1282="",AA1282="",AB1282="",AC1282=""),"",IF(OR(LEFT(AA1282,2)="L0",LEFT(AA1282,2)="L1",Y1282="No Iniciado"),"CRÍTICO - Incumplimiento Normativo SEPS",IF(AND(Y1282="Implementado",Z1282&lt;&gt;"",OR(LEFT(AA1282,2)="L4",LEFT(AA1282,2)="L5"),AB1282&lt;&gt;"",AC1282&lt;&gt;"",AC1282&lt;&gt;"N/A"),"CONFORME - Control Efectivo ISO 27001","OBSERVACIÓN - Revisar Controles")))</f>
        <v/>
      </c>
    </row>
    <row r="1283">
      <c r="A1283" s="99"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c r="AD1283">
        <f>IF(AND(Y1283="",Z1283="",AA1283="",AB1283="",AC1283=""),"",IF(OR(LEFT(AA1283,2)="L0",LEFT(AA1283,2)="L1",Y1283="No Iniciado"),"CRÍTICO - Incumplimiento Normativo SEPS",IF(AND(Y1283="Implementado",Z1283&lt;&gt;"",OR(LEFT(AA1283,2)="L4",LEFT(AA1283,2)="L5"),AB1283&lt;&gt;"",AC1283&lt;&gt;"",AC1283&lt;&gt;"N/A"),"CONFORME - Control Efectivo ISO 27001","OBSERVACIÓN - Revisar Controles")))</f>
        <v/>
      </c>
    </row>
    <row r="1284">
      <c r="A1284" s="99"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c r="AD1284">
        <f>IF(AND(Y1284="",Z1284="",AA1284="",AB1284="",AC1284=""),"",IF(OR(LEFT(AA1284,2)="L0",LEFT(AA1284,2)="L1",Y1284="No Iniciado"),"CRÍTICO - Incumplimiento Normativo SEPS",IF(AND(Y1284="Implementado",Z1284&lt;&gt;"",OR(LEFT(AA1284,2)="L4",LEFT(AA1284,2)="L5"),AB1284&lt;&gt;"",AC1284&lt;&gt;"",AC1284&lt;&gt;"N/A"),"CONFORME - Control Efectivo ISO 27001","OBSERVACIÓN - Revisar Controles")))</f>
        <v/>
      </c>
    </row>
    <row r="1285">
      <c r="A1285" s="99"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c r="AD1285">
        <f>IF(AND(Y1285="",Z1285="",AA1285="",AB1285="",AC1285=""),"",IF(OR(LEFT(AA1285,2)="L0",LEFT(AA1285,2)="L1",Y1285="No Iniciado"),"CRÍTICO - Incumplimiento Normativo SEPS",IF(AND(Y1285="Implementado",Z1285&lt;&gt;"",OR(LEFT(AA1285,2)="L4",LEFT(AA1285,2)="L5"),AB1285&lt;&gt;"",AC1285&lt;&gt;"",AC1285&lt;&gt;"N/A"),"CONFORME - Control Efectivo ISO 27001","OBSERVACIÓN - Revisar Controles")))</f>
        <v/>
      </c>
    </row>
    <row r="1286">
      <c r="A1286" s="99"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c r="AD1286">
        <f>IF(AND(Y1286="",Z1286="",AA1286="",AB1286="",AC1286=""),"",IF(OR(LEFT(AA1286,2)="L0",LEFT(AA1286,2)="L1",Y1286="No Iniciado"),"CRÍTICO - Incumplimiento Normativo SEPS",IF(AND(Y1286="Implementado",Z1286&lt;&gt;"",OR(LEFT(AA1286,2)="L4",LEFT(AA1286,2)="L5"),AB1286&lt;&gt;"",AC1286&lt;&gt;"",AC1286&lt;&gt;"N/A"),"CONFORME - Control Efectivo ISO 27001","OBSERVACIÓN - Revisar Controles")))</f>
        <v/>
      </c>
    </row>
    <row r="1287">
      <c r="A1287" s="99"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c r="AD1287">
        <f>IF(AND(Y1287="",Z1287="",AA1287="",AB1287="",AC1287=""),"",IF(OR(LEFT(AA1287,2)="L0",LEFT(AA1287,2)="L1",Y1287="No Iniciado"),"CRÍTICO - Incumplimiento Normativo SEPS",IF(AND(Y1287="Implementado",Z1287&lt;&gt;"",OR(LEFT(AA1287,2)="L4",LEFT(AA1287,2)="L5"),AB1287&lt;&gt;"",AC1287&lt;&gt;"",AC1287&lt;&gt;"N/A"),"CONFORME - Control Efectivo ISO 27001","OBSERVACIÓN - Revisar Controles")))</f>
        <v/>
      </c>
    </row>
    <row r="1288">
      <c r="A1288" s="99"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c r="AD1288">
        <f>IF(AND(Y1288="",Z1288="",AA1288="",AB1288="",AC1288=""),"",IF(OR(LEFT(AA1288,2)="L0",LEFT(AA1288,2)="L1",Y1288="No Iniciado"),"CRÍTICO - Incumplimiento Normativo SEPS",IF(AND(Y1288="Implementado",Z1288&lt;&gt;"",OR(LEFT(AA1288,2)="L4",LEFT(AA1288,2)="L5"),AB1288&lt;&gt;"",AC1288&lt;&gt;"",AC1288&lt;&gt;"N/A"),"CONFORME - Control Efectivo ISO 27001","OBSERVACIÓN - Revisar Controles")))</f>
        <v/>
      </c>
    </row>
    <row r="1289">
      <c r="A1289" s="99"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c r="AD1289">
        <f>IF(AND(Y1289="",Z1289="",AA1289="",AB1289="",AC1289=""),"",IF(OR(LEFT(AA1289,2)="L0",LEFT(AA1289,2)="L1",Y1289="No Iniciado"),"CRÍTICO - Incumplimiento Normativo SEPS",IF(AND(Y1289="Implementado",Z1289&lt;&gt;"",OR(LEFT(AA1289,2)="L4",LEFT(AA1289,2)="L5"),AB1289&lt;&gt;"",AC1289&lt;&gt;"",AC1289&lt;&gt;"N/A"),"CONFORME - Control Efectivo ISO 27001","OBSERVACIÓN - Revisar Controles")))</f>
        <v/>
      </c>
    </row>
    <row r="1290">
      <c r="A1290" s="99"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c r="AD1290">
        <f>IF(AND(Y1290="",Z1290="",AA1290="",AB1290="",AC1290=""),"",IF(OR(LEFT(AA1290,2)="L0",LEFT(AA1290,2)="L1",Y1290="No Iniciado"),"CRÍTICO - Incumplimiento Normativo SEPS",IF(AND(Y1290="Implementado",Z1290&lt;&gt;"",OR(LEFT(AA1290,2)="L4",LEFT(AA1290,2)="L5"),AB1290&lt;&gt;"",AC1290&lt;&gt;"",AC1290&lt;&gt;"N/A"),"CONFORME - Control Efectivo ISO 27001","OBSERVACIÓN - Revisar Controles")))</f>
        <v/>
      </c>
    </row>
    <row r="1291">
      <c r="A1291" s="99"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c r="AD1291">
        <f>IF(AND(Y1291="",Z1291="",AA1291="",AB1291="",AC1291=""),"",IF(OR(LEFT(AA1291,2)="L0",LEFT(AA1291,2)="L1",Y1291="No Iniciado"),"CRÍTICO - Incumplimiento Normativo SEPS",IF(AND(Y1291="Implementado",Z1291&lt;&gt;"",OR(LEFT(AA1291,2)="L4",LEFT(AA1291,2)="L5"),AB1291&lt;&gt;"",AC1291&lt;&gt;"",AC1291&lt;&gt;"N/A"),"CONFORME - Control Efectivo ISO 27001","OBSERVACIÓN - Revisar Controles")))</f>
        <v/>
      </c>
    </row>
    <row r="1292">
      <c r="A1292" s="99"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c r="AD1292">
        <f>IF(AND(Y1292="",Z1292="",AA1292="",AB1292="",AC1292=""),"",IF(OR(LEFT(AA1292,2)="L0",LEFT(AA1292,2)="L1",Y1292="No Iniciado"),"CRÍTICO - Incumplimiento Normativo SEPS",IF(AND(Y1292="Implementado",Z1292&lt;&gt;"",OR(LEFT(AA1292,2)="L4",LEFT(AA1292,2)="L5"),AB1292&lt;&gt;"",AC1292&lt;&gt;"",AC1292&lt;&gt;"N/A"),"CONFORME - Control Efectivo ISO 27001","OBSERVACIÓN - Revisar Controles")))</f>
        <v/>
      </c>
    </row>
    <row r="1293">
      <c r="A1293" s="99"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c r="AD1293">
        <f>IF(AND(Y1293="",Z1293="",AA1293="",AB1293="",AC1293=""),"",IF(OR(LEFT(AA1293,2)="L0",LEFT(AA1293,2)="L1",Y1293="No Iniciado"),"CRÍTICO - Incumplimiento Normativo SEPS",IF(AND(Y1293="Implementado",Z1293&lt;&gt;"",OR(LEFT(AA1293,2)="L4",LEFT(AA1293,2)="L5"),AB1293&lt;&gt;"",AC1293&lt;&gt;"",AC1293&lt;&gt;"N/A"),"CONFORME - Control Efectivo ISO 27001","OBSERVACIÓN - Revisar Controles")))</f>
        <v/>
      </c>
    </row>
    <row r="1294">
      <c r="A1294" s="99"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c r="AD1294">
        <f>IF(AND(Y1294="",Z1294="",AA1294="",AB1294="",AC1294=""),"",IF(OR(LEFT(AA1294,2)="L0",LEFT(AA1294,2)="L1",Y1294="No Iniciado"),"CRÍTICO - Incumplimiento Normativo SEPS",IF(AND(Y1294="Implementado",Z1294&lt;&gt;"",OR(LEFT(AA1294,2)="L4",LEFT(AA1294,2)="L5"),AB1294&lt;&gt;"",AC1294&lt;&gt;"",AC1294&lt;&gt;"N/A"),"CONFORME - Control Efectivo ISO 27001","OBSERVACIÓN - Revisar Controles")))</f>
        <v/>
      </c>
    </row>
    <row r="1295">
      <c r="A1295" s="99"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c r="AD1295">
        <f>IF(AND(Y1295="",Z1295="",AA1295="",AB1295="",AC1295=""),"",IF(OR(LEFT(AA1295,2)="L0",LEFT(AA1295,2)="L1",Y1295="No Iniciado"),"CRÍTICO - Incumplimiento Normativo SEPS",IF(AND(Y1295="Implementado",Z1295&lt;&gt;"",OR(LEFT(AA1295,2)="L4",LEFT(AA1295,2)="L5"),AB1295&lt;&gt;"",AC1295&lt;&gt;"",AC1295&lt;&gt;"N/A"),"CONFORME - Control Efectivo ISO 27001","OBSERVACIÓN - Revisar Controles")))</f>
        <v/>
      </c>
    </row>
    <row r="1296">
      <c r="A1296" s="99"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c r="AD1296">
        <f>IF(AND(Y1296="",Z1296="",AA1296="",AB1296="",AC1296=""),"",IF(OR(LEFT(AA1296,2)="L0",LEFT(AA1296,2)="L1",Y1296="No Iniciado"),"CRÍTICO - Incumplimiento Normativo SEPS",IF(AND(Y1296="Implementado",Z1296&lt;&gt;"",OR(LEFT(AA1296,2)="L4",LEFT(AA1296,2)="L5"),AB1296&lt;&gt;"",AC1296&lt;&gt;"",AC1296&lt;&gt;"N/A"),"CONFORME - Control Efectivo ISO 27001","OBSERVACIÓN - Revisar Controles")))</f>
        <v/>
      </c>
    </row>
    <row r="1297">
      <c r="A1297" s="99"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c r="AD1297">
        <f>IF(AND(Y1297="",Z1297="",AA1297="",AB1297="",AC1297=""),"",IF(OR(LEFT(AA1297,2)="L0",LEFT(AA1297,2)="L1",Y1297="No Iniciado"),"CRÍTICO - Incumplimiento Normativo SEPS",IF(AND(Y1297="Implementado",Z1297&lt;&gt;"",OR(LEFT(AA1297,2)="L4",LEFT(AA1297,2)="L5"),AB1297&lt;&gt;"",AC1297&lt;&gt;"",AC1297&lt;&gt;"N/A"),"CONFORME - Control Efectivo ISO 27001","OBSERVACIÓN - Revisar Controles")))</f>
        <v/>
      </c>
    </row>
    <row r="1298">
      <c r="A1298" s="99"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c r="AD1298">
        <f>IF(AND(Y1298="",Z1298="",AA1298="",AB1298="",AC1298=""),"",IF(OR(LEFT(AA1298,2)="L0",LEFT(AA1298,2)="L1",Y1298="No Iniciado"),"CRÍTICO - Incumplimiento Normativo SEPS",IF(AND(Y1298="Implementado",Z1298&lt;&gt;"",OR(LEFT(AA1298,2)="L4",LEFT(AA1298,2)="L5"),AB1298&lt;&gt;"",AC1298&lt;&gt;"",AC1298&lt;&gt;"N/A"),"CONFORME - Control Efectivo ISO 27001","OBSERVACIÓN - Revisar Controles")))</f>
        <v/>
      </c>
    </row>
    <row r="1299">
      <c r="A1299" s="99"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c r="AD1299">
        <f>IF(AND(Y1299="",Z1299="",AA1299="",AB1299="",AC1299=""),"",IF(OR(LEFT(AA1299,2)="L0",LEFT(AA1299,2)="L1",Y1299="No Iniciado"),"CRÍTICO - Incumplimiento Normativo SEPS",IF(AND(Y1299="Implementado",Z1299&lt;&gt;"",OR(LEFT(AA1299,2)="L4",LEFT(AA1299,2)="L5"),AB1299&lt;&gt;"",AC1299&lt;&gt;"",AC1299&lt;&gt;"N/A"),"CONFORME - Control Efectivo ISO 27001","OBSERVACIÓN - Revisar Controles")))</f>
        <v/>
      </c>
    </row>
    <row r="1300">
      <c r="A1300" s="99"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c r="AD1300">
        <f>IF(AND(Y1300="",Z1300="",AA1300="",AB1300="",AC1300=""),"",IF(OR(LEFT(AA1300,2)="L0",LEFT(AA1300,2)="L1",Y1300="No Iniciado"),"CRÍTICO - Incumplimiento Normativo SEPS",IF(AND(Y1300="Implementado",Z1300&lt;&gt;"",OR(LEFT(AA1300,2)="L4",LEFT(AA1300,2)="L5"),AB1300&lt;&gt;"",AC1300&lt;&gt;"",AC1300&lt;&gt;"N/A"),"CONFORME - Control Efectivo ISO 27001","OBSERVACIÓN - Revisar Controles")))</f>
        <v/>
      </c>
    </row>
    <row r="1301">
      <c r="A1301" s="99"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c r="AD1301">
        <f>IF(AND(Y1301="",Z1301="",AA1301="",AB1301="",AC1301=""),"",IF(OR(LEFT(AA1301,2)="L0",LEFT(AA1301,2)="L1",Y1301="No Iniciado"),"CRÍTICO - Incumplimiento Normativo SEPS",IF(AND(Y1301="Implementado",Z1301&lt;&gt;"",OR(LEFT(AA1301,2)="L4",LEFT(AA1301,2)="L5"),AB1301&lt;&gt;"",AC1301&lt;&gt;"",AC1301&lt;&gt;"N/A"),"CONFORME - Control Efectivo ISO 27001","OBSERVACIÓN - Revisar Controles")))</f>
        <v/>
      </c>
    </row>
    <row r="1302">
      <c r="A1302" s="99"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c r="AD1302">
        <f>IF(AND(Y1302="",Z1302="",AA1302="",AB1302="",AC1302=""),"",IF(OR(LEFT(AA1302,2)="L0",LEFT(AA1302,2)="L1",Y1302="No Iniciado"),"CRÍTICO - Incumplimiento Normativo SEPS",IF(AND(Y1302="Implementado",Z1302&lt;&gt;"",OR(LEFT(AA1302,2)="L4",LEFT(AA1302,2)="L5"),AB1302&lt;&gt;"",AC1302&lt;&gt;"",AC1302&lt;&gt;"N/A"),"CONFORME - Control Efectivo ISO 27001","OBSERVACIÓN - Revisar Controles")))</f>
        <v/>
      </c>
    </row>
    <row r="1303">
      <c r="A1303" s="99"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c r="AD1303">
        <f>IF(AND(Y1303="",Z1303="",AA1303="",AB1303="",AC1303=""),"",IF(OR(LEFT(AA1303,2)="L0",LEFT(AA1303,2)="L1",Y1303="No Iniciado"),"CRÍTICO - Incumplimiento Normativo SEPS",IF(AND(Y1303="Implementado",Z1303&lt;&gt;"",OR(LEFT(AA1303,2)="L4",LEFT(AA1303,2)="L5"),AB1303&lt;&gt;"",AC1303&lt;&gt;"",AC1303&lt;&gt;"N/A"),"CONFORME - Control Efectivo ISO 27001","OBSERVACIÓN - Revisar Controles")))</f>
        <v/>
      </c>
    </row>
    <row r="1304">
      <c r="A1304" s="99"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c r="AD1304">
        <f>IF(AND(Y1304="",Z1304="",AA1304="",AB1304="",AC1304=""),"",IF(OR(LEFT(AA1304,2)="L0",LEFT(AA1304,2)="L1",Y1304="No Iniciado"),"CRÍTICO - Incumplimiento Normativo SEPS",IF(AND(Y1304="Implementado",Z1304&lt;&gt;"",OR(LEFT(AA1304,2)="L4",LEFT(AA1304,2)="L5"),AB1304&lt;&gt;"",AC1304&lt;&gt;"",AC1304&lt;&gt;"N/A"),"CONFORME - Control Efectivo ISO 27001","OBSERVACIÓN - Revisar Controles")))</f>
        <v/>
      </c>
    </row>
    <row r="1305">
      <c r="A1305" s="99"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c r="AD1305">
        <f>IF(AND(Y1305="",Z1305="",AA1305="",AB1305="",AC1305=""),"",IF(OR(LEFT(AA1305,2)="L0",LEFT(AA1305,2)="L1",Y1305="No Iniciado"),"CRÍTICO - Incumplimiento Normativo SEPS",IF(AND(Y1305="Implementado",Z1305&lt;&gt;"",OR(LEFT(AA1305,2)="L4",LEFT(AA1305,2)="L5"),AB1305&lt;&gt;"",AC1305&lt;&gt;"",AC1305&lt;&gt;"N/A"),"CONFORME - Control Efectivo ISO 27001","OBSERVACIÓN - Revisar Controles")))</f>
        <v/>
      </c>
    </row>
    <row r="1306">
      <c r="A1306" s="99"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c r="AD1306">
        <f>IF(AND(Y1306="",Z1306="",AA1306="",AB1306="",AC1306=""),"",IF(OR(LEFT(AA1306,2)="L0",LEFT(AA1306,2)="L1",Y1306="No Iniciado"),"CRÍTICO - Incumplimiento Normativo SEPS",IF(AND(Y1306="Implementado",Z1306&lt;&gt;"",OR(LEFT(AA1306,2)="L4",LEFT(AA1306,2)="L5"),AB1306&lt;&gt;"",AC1306&lt;&gt;"",AC1306&lt;&gt;"N/A"),"CONFORME - Control Efectivo ISO 27001","OBSERVACIÓN - Revisar Controles")))</f>
        <v/>
      </c>
    </row>
    <row r="1307">
      <c r="A1307" s="99"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c r="AD1307">
        <f>IF(AND(Y1307="",Z1307="",AA1307="",AB1307="",AC1307=""),"",IF(OR(LEFT(AA1307,2)="L0",LEFT(AA1307,2)="L1",Y1307="No Iniciado"),"CRÍTICO - Incumplimiento Normativo SEPS",IF(AND(Y1307="Implementado",Z1307&lt;&gt;"",OR(LEFT(AA1307,2)="L4",LEFT(AA1307,2)="L5"),AB1307&lt;&gt;"",AC1307&lt;&gt;"",AC1307&lt;&gt;"N/A"),"CONFORME - Control Efectivo ISO 27001","OBSERVACIÓN - Revisar Controles")))</f>
        <v/>
      </c>
    </row>
    <row r="1308">
      <c r="A1308" s="99"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c r="AD1308">
        <f>IF(AND(Y1308="",Z1308="",AA1308="",AB1308="",AC1308=""),"",IF(OR(LEFT(AA1308,2)="L0",LEFT(AA1308,2)="L1",Y1308="No Iniciado"),"CRÍTICO - Incumplimiento Normativo SEPS",IF(AND(Y1308="Implementado",Z1308&lt;&gt;"",OR(LEFT(AA1308,2)="L4",LEFT(AA1308,2)="L5"),AB1308&lt;&gt;"",AC1308&lt;&gt;"",AC1308&lt;&gt;"N/A"),"CONFORME - Control Efectivo ISO 27001","OBSERVACIÓN - Revisar Controles")))</f>
        <v/>
      </c>
    </row>
    <row r="1309">
      <c r="A1309" s="99"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c r="AD1309">
        <f>IF(AND(Y1309="",Z1309="",AA1309="",AB1309="",AC1309=""),"",IF(OR(LEFT(AA1309,2)="L0",LEFT(AA1309,2)="L1",Y1309="No Iniciado"),"CRÍTICO - Incumplimiento Normativo SEPS",IF(AND(Y1309="Implementado",Z1309&lt;&gt;"",OR(LEFT(AA1309,2)="L4",LEFT(AA1309,2)="L5"),AB1309&lt;&gt;"",AC1309&lt;&gt;"",AC1309&lt;&gt;"N/A"),"CONFORME - Control Efectivo ISO 27001","OBSERVACIÓN - Revisar Controles")))</f>
        <v/>
      </c>
    </row>
    <row r="1310">
      <c r="A1310" s="99"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c r="AD1310">
        <f>IF(AND(Y1310="",Z1310="",AA1310="",AB1310="",AC1310=""),"",IF(OR(LEFT(AA1310,2)="L0",LEFT(AA1310,2)="L1",Y1310="No Iniciado"),"CRÍTICO - Incumplimiento Normativo SEPS",IF(AND(Y1310="Implementado",Z1310&lt;&gt;"",OR(LEFT(AA1310,2)="L4",LEFT(AA1310,2)="L5"),AB1310&lt;&gt;"",AC1310&lt;&gt;"",AC1310&lt;&gt;"N/A"),"CONFORME - Control Efectivo ISO 27001","OBSERVACIÓN - Revisar Controles")))</f>
        <v/>
      </c>
    </row>
    <row r="1311">
      <c r="A1311" s="99"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c r="AD1311">
        <f>IF(AND(Y1311="",Z1311="",AA1311="",AB1311="",AC1311=""),"",IF(OR(LEFT(AA1311,2)="L0",LEFT(AA1311,2)="L1",Y1311="No Iniciado"),"CRÍTICO - Incumplimiento Normativo SEPS",IF(AND(Y1311="Implementado",Z1311&lt;&gt;"",OR(LEFT(AA1311,2)="L4",LEFT(AA1311,2)="L5"),AB1311&lt;&gt;"",AC1311&lt;&gt;"",AC1311&lt;&gt;"N/A"),"CONFORME - Control Efectivo ISO 27001","OBSERVACIÓN - Revisar Controles")))</f>
        <v/>
      </c>
    </row>
    <row r="1312">
      <c r="A1312" s="99"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c r="AD1312">
        <f>IF(AND(Y1312="",Z1312="",AA1312="",AB1312="",AC1312=""),"",IF(OR(LEFT(AA1312,2)="L0",LEFT(AA1312,2)="L1",Y1312="No Iniciado"),"CRÍTICO - Incumplimiento Normativo SEPS",IF(AND(Y1312="Implementado",Z1312&lt;&gt;"",OR(LEFT(AA1312,2)="L4",LEFT(AA1312,2)="L5"),AB1312&lt;&gt;"",AC1312&lt;&gt;"",AC1312&lt;&gt;"N/A"),"CONFORME - Control Efectivo ISO 27001","OBSERVACIÓN - Revisar Controles")))</f>
        <v/>
      </c>
    </row>
    <row r="1313">
      <c r="A1313" s="99"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c r="AD1313">
        <f>IF(AND(Y1313="",Z1313="",AA1313="",AB1313="",AC1313=""),"",IF(OR(LEFT(AA1313,2)="L0",LEFT(AA1313,2)="L1",Y1313="No Iniciado"),"CRÍTICO - Incumplimiento Normativo SEPS",IF(AND(Y1313="Implementado",Z1313&lt;&gt;"",OR(LEFT(AA1313,2)="L4",LEFT(AA1313,2)="L5"),AB1313&lt;&gt;"",AC1313&lt;&gt;"",AC1313&lt;&gt;"N/A"),"CONFORME - Control Efectivo ISO 27001","OBSERVACIÓN - Revisar Controles")))</f>
        <v/>
      </c>
    </row>
    <row r="1314">
      <c r="A1314" s="99"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c r="AD1314">
        <f>IF(AND(Y1314="",Z1314="",AA1314="",AB1314="",AC1314=""),"",IF(OR(LEFT(AA1314,2)="L0",LEFT(AA1314,2)="L1",Y1314="No Iniciado"),"CRÍTICO - Incumplimiento Normativo SEPS",IF(AND(Y1314="Implementado",Z1314&lt;&gt;"",OR(LEFT(AA1314,2)="L4",LEFT(AA1314,2)="L5"),AB1314&lt;&gt;"",AC1314&lt;&gt;"",AC1314&lt;&gt;"N/A"),"CONFORME - Control Efectivo ISO 27001","OBSERVACIÓN - Revisar Controles")))</f>
        <v/>
      </c>
    </row>
    <row r="1315">
      <c r="A1315" s="99"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c r="AD1315">
        <f>IF(AND(Y1315="",Z1315="",AA1315="",AB1315="",AC1315=""),"",IF(OR(LEFT(AA1315,2)="L0",LEFT(AA1315,2)="L1",Y1315="No Iniciado"),"CRÍTICO - Incumplimiento Normativo SEPS",IF(AND(Y1315="Implementado",Z1315&lt;&gt;"",OR(LEFT(AA1315,2)="L4",LEFT(AA1315,2)="L5"),AB1315&lt;&gt;"",AC1315&lt;&gt;"",AC1315&lt;&gt;"N/A"),"CONFORME - Control Efectivo ISO 27001","OBSERVACIÓN - Revisar Controles")))</f>
        <v/>
      </c>
    </row>
    <row r="1316">
      <c r="A1316" s="99"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c r="AD1316">
        <f>IF(AND(Y1316="",Z1316="",AA1316="",AB1316="",AC1316=""),"",IF(OR(LEFT(AA1316,2)="L0",LEFT(AA1316,2)="L1",Y1316="No Iniciado"),"CRÍTICO - Incumplimiento Normativo SEPS",IF(AND(Y1316="Implementado",Z1316&lt;&gt;"",OR(LEFT(AA1316,2)="L4",LEFT(AA1316,2)="L5"),AB1316&lt;&gt;"",AC1316&lt;&gt;"",AC1316&lt;&gt;"N/A"),"CONFORME - Control Efectivo ISO 27001","OBSERVACIÓN - Revisar Controles")))</f>
        <v/>
      </c>
    </row>
    <row r="1317">
      <c r="A1317" s="99"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c r="AD1317">
        <f>IF(AND(Y1317="",Z1317="",AA1317="",AB1317="",AC1317=""),"",IF(OR(LEFT(AA1317,2)="L0",LEFT(AA1317,2)="L1",Y1317="No Iniciado"),"CRÍTICO - Incumplimiento Normativo SEPS",IF(AND(Y1317="Implementado",Z1317&lt;&gt;"",OR(LEFT(AA1317,2)="L4",LEFT(AA1317,2)="L5"),AB1317&lt;&gt;"",AC1317&lt;&gt;"",AC1317&lt;&gt;"N/A"),"CONFORME - Control Efectivo ISO 27001","OBSERVACIÓN - Revisar Controles")))</f>
        <v/>
      </c>
    </row>
    <row r="1318">
      <c r="A1318" s="99"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c r="AD1318">
        <f>IF(AND(Y1318="",Z1318="",AA1318="",AB1318="",AC1318=""),"",IF(OR(LEFT(AA1318,2)="L0",LEFT(AA1318,2)="L1",Y1318="No Iniciado"),"CRÍTICO - Incumplimiento Normativo SEPS",IF(AND(Y1318="Implementado",Z1318&lt;&gt;"",OR(LEFT(AA1318,2)="L4",LEFT(AA1318,2)="L5"),AB1318&lt;&gt;"",AC1318&lt;&gt;"",AC1318&lt;&gt;"N/A"),"CONFORME - Control Efectivo ISO 27001","OBSERVACIÓN - Revisar Controles")))</f>
        <v/>
      </c>
    </row>
    <row r="1319">
      <c r="A1319" s="99"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c r="AD1319">
        <f>IF(AND(Y1319="",Z1319="",AA1319="",AB1319="",AC1319=""),"",IF(OR(LEFT(AA1319,2)="L0",LEFT(AA1319,2)="L1",Y1319="No Iniciado"),"CRÍTICO - Incumplimiento Normativo SEPS",IF(AND(Y1319="Implementado",Z1319&lt;&gt;"",OR(LEFT(AA1319,2)="L4",LEFT(AA1319,2)="L5"),AB1319&lt;&gt;"",AC1319&lt;&gt;"",AC1319&lt;&gt;"N/A"),"CONFORME - Control Efectivo ISO 27001","OBSERVACIÓN - Revisar Controles")))</f>
        <v/>
      </c>
    </row>
    <row r="1320">
      <c r="A1320" s="99"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c r="AD1320">
        <f>IF(AND(Y1320="",Z1320="",AA1320="",AB1320="",AC1320=""),"",IF(OR(LEFT(AA1320,2)="L0",LEFT(AA1320,2)="L1",Y1320="No Iniciado"),"CRÍTICO - Incumplimiento Normativo SEPS",IF(AND(Y1320="Implementado",Z1320&lt;&gt;"",OR(LEFT(AA1320,2)="L4",LEFT(AA1320,2)="L5"),AB1320&lt;&gt;"",AC1320&lt;&gt;"",AC1320&lt;&gt;"N/A"),"CONFORME - Control Efectivo ISO 27001","OBSERVACIÓN - Revisar Controles")))</f>
        <v/>
      </c>
    </row>
    <row r="1321">
      <c r="A1321" s="99"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c r="AD1321">
        <f>IF(AND(Y1321="",Z1321="",AA1321="",AB1321="",AC1321=""),"",IF(OR(LEFT(AA1321,2)="L0",LEFT(AA1321,2)="L1",Y1321="No Iniciado"),"CRÍTICO - Incumplimiento Normativo SEPS",IF(AND(Y1321="Implementado",Z1321&lt;&gt;"",OR(LEFT(AA1321,2)="L4",LEFT(AA1321,2)="L5"),AB1321&lt;&gt;"",AC1321&lt;&gt;"",AC1321&lt;&gt;"N/A"),"CONFORME - Control Efectivo ISO 27001","OBSERVACIÓN - Revisar Controles")))</f>
        <v/>
      </c>
    </row>
    <row r="1322">
      <c r="A1322" s="99"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c r="AD1322">
        <f>IF(AND(Y1322="",Z1322="",AA1322="",AB1322="",AC1322=""),"",IF(OR(LEFT(AA1322,2)="L0",LEFT(AA1322,2)="L1",Y1322="No Iniciado"),"CRÍTICO - Incumplimiento Normativo SEPS",IF(AND(Y1322="Implementado",Z1322&lt;&gt;"",OR(LEFT(AA1322,2)="L4",LEFT(AA1322,2)="L5"),AB1322&lt;&gt;"",AC1322&lt;&gt;"",AC1322&lt;&gt;"N/A"),"CONFORME - Control Efectivo ISO 27001","OBSERVACIÓN - Revisar Controles")))</f>
        <v/>
      </c>
    </row>
    <row r="1323">
      <c r="A1323" s="99"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c r="AD1323">
        <f>IF(AND(Y1323="",Z1323="",AA1323="",AB1323="",AC1323=""),"",IF(OR(LEFT(AA1323,2)="L0",LEFT(AA1323,2)="L1",Y1323="No Iniciado"),"CRÍTICO - Incumplimiento Normativo SEPS",IF(AND(Y1323="Implementado",Z1323&lt;&gt;"",OR(LEFT(AA1323,2)="L4",LEFT(AA1323,2)="L5"),AB1323&lt;&gt;"",AC1323&lt;&gt;"",AC1323&lt;&gt;"N/A"),"CONFORME - Control Efectivo ISO 27001","OBSERVACIÓN - Revisar Controles")))</f>
        <v/>
      </c>
    </row>
    <row r="1324">
      <c r="A1324" s="99"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c r="AD1324">
        <f>IF(AND(Y1324="",Z1324="",AA1324="",AB1324="",AC1324=""),"",IF(OR(LEFT(AA1324,2)="L0",LEFT(AA1324,2)="L1",Y1324="No Iniciado"),"CRÍTICO - Incumplimiento Normativo SEPS",IF(AND(Y1324="Implementado",Z1324&lt;&gt;"",OR(LEFT(AA1324,2)="L4",LEFT(AA1324,2)="L5"),AB1324&lt;&gt;"",AC1324&lt;&gt;"",AC1324&lt;&gt;"N/A"),"CONFORME - Control Efectivo ISO 27001","OBSERVACIÓN - Revisar Controles")))</f>
        <v/>
      </c>
    </row>
    <row r="1325">
      <c r="A1325" s="99"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c r="AD1325">
        <f>IF(AND(Y1325="",Z1325="",AA1325="",AB1325="",AC1325=""),"",IF(OR(LEFT(AA1325,2)="L0",LEFT(AA1325,2)="L1",Y1325="No Iniciado"),"CRÍTICO - Incumplimiento Normativo SEPS",IF(AND(Y1325="Implementado",Z1325&lt;&gt;"",OR(LEFT(AA1325,2)="L4",LEFT(AA1325,2)="L5"),AB1325&lt;&gt;"",AC1325&lt;&gt;"",AC1325&lt;&gt;"N/A"),"CONFORME - Control Efectivo ISO 27001","OBSERVACIÓN - Revisar Controles")))</f>
        <v/>
      </c>
    </row>
    <row r="1326">
      <c r="A1326" s="99"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c r="AD1326">
        <f>IF(AND(Y1326="",Z1326="",AA1326="",AB1326="",AC1326=""),"",IF(OR(LEFT(AA1326,2)="L0",LEFT(AA1326,2)="L1",Y1326="No Iniciado"),"CRÍTICO - Incumplimiento Normativo SEPS",IF(AND(Y1326="Implementado",Z1326&lt;&gt;"",OR(LEFT(AA1326,2)="L4",LEFT(AA1326,2)="L5"),AB1326&lt;&gt;"",AC1326&lt;&gt;"",AC1326&lt;&gt;"N/A"),"CONFORME - Control Efectivo ISO 27001","OBSERVACIÓN - Revisar Controles")))</f>
        <v/>
      </c>
    </row>
    <row r="1327">
      <c r="A1327" s="99"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c r="AD1327">
        <f>IF(AND(Y1327="",Z1327="",AA1327="",AB1327="",AC1327=""),"",IF(OR(LEFT(AA1327,2)="L0",LEFT(AA1327,2)="L1",Y1327="No Iniciado"),"CRÍTICO - Incumplimiento Normativo SEPS",IF(AND(Y1327="Implementado",Z1327&lt;&gt;"",OR(LEFT(AA1327,2)="L4",LEFT(AA1327,2)="L5"),AB1327&lt;&gt;"",AC1327&lt;&gt;"",AC1327&lt;&gt;"N/A"),"CONFORME - Control Efectivo ISO 27001","OBSERVACIÓN - Revisar Controles")))</f>
        <v/>
      </c>
    </row>
    <row r="1328">
      <c r="A1328" s="99"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c r="AD1328">
        <f>IF(AND(Y1328="",Z1328="",AA1328="",AB1328="",AC1328=""),"",IF(OR(LEFT(AA1328,2)="L0",LEFT(AA1328,2)="L1",Y1328="No Iniciado"),"CRÍTICO - Incumplimiento Normativo SEPS",IF(AND(Y1328="Implementado",Z1328&lt;&gt;"",OR(LEFT(AA1328,2)="L4",LEFT(AA1328,2)="L5"),AB1328&lt;&gt;"",AC1328&lt;&gt;"",AC1328&lt;&gt;"N/A"),"CONFORME - Control Efectivo ISO 27001","OBSERVACIÓN - Revisar Controles")))</f>
        <v/>
      </c>
    </row>
    <row r="1329">
      <c r="A1329" s="99"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c r="AD1329">
        <f>IF(AND(Y1329="",Z1329="",AA1329="",AB1329="",AC1329=""),"",IF(OR(LEFT(AA1329,2)="L0",LEFT(AA1329,2)="L1",Y1329="No Iniciado"),"CRÍTICO - Incumplimiento Normativo SEPS",IF(AND(Y1329="Implementado",Z1329&lt;&gt;"",OR(LEFT(AA1329,2)="L4",LEFT(AA1329,2)="L5"),AB1329&lt;&gt;"",AC1329&lt;&gt;"",AC1329&lt;&gt;"N/A"),"CONFORME - Control Efectivo ISO 27001","OBSERVACIÓN - Revisar Controles")))</f>
        <v/>
      </c>
    </row>
    <row r="1330">
      <c r="A1330" s="99"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c r="AD1330">
        <f>IF(AND(Y1330="",Z1330="",AA1330="",AB1330="",AC1330=""),"",IF(OR(LEFT(AA1330,2)="L0",LEFT(AA1330,2)="L1",Y1330="No Iniciado"),"CRÍTICO - Incumplimiento Normativo SEPS",IF(AND(Y1330="Implementado",Z1330&lt;&gt;"",OR(LEFT(AA1330,2)="L4",LEFT(AA1330,2)="L5"),AB1330&lt;&gt;"",AC1330&lt;&gt;"",AC1330&lt;&gt;"N/A"),"CONFORME - Control Efectivo ISO 27001","OBSERVACIÓN - Revisar Controles")))</f>
        <v/>
      </c>
    </row>
    <row r="1331">
      <c r="A1331" s="99"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c r="AD1331">
        <f>IF(AND(Y1331="",Z1331="",AA1331="",AB1331="",AC1331=""),"",IF(OR(LEFT(AA1331,2)="L0",LEFT(AA1331,2)="L1",Y1331="No Iniciado"),"CRÍTICO - Incumplimiento Normativo SEPS",IF(AND(Y1331="Implementado",Z1331&lt;&gt;"",OR(LEFT(AA1331,2)="L4",LEFT(AA1331,2)="L5"),AB1331&lt;&gt;"",AC1331&lt;&gt;"",AC1331&lt;&gt;"N/A"),"CONFORME - Control Efectivo ISO 27001","OBSERVACIÓN - Revisar Controles")))</f>
        <v/>
      </c>
    </row>
    <row r="1332">
      <c r="A1332" s="99"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c r="AD1332">
        <f>IF(AND(Y1332="",Z1332="",AA1332="",AB1332="",AC1332=""),"",IF(OR(LEFT(AA1332,2)="L0",LEFT(AA1332,2)="L1",Y1332="No Iniciado"),"CRÍTICO - Incumplimiento Normativo SEPS",IF(AND(Y1332="Implementado",Z1332&lt;&gt;"",OR(LEFT(AA1332,2)="L4",LEFT(AA1332,2)="L5"),AB1332&lt;&gt;"",AC1332&lt;&gt;"",AC1332&lt;&gt;"N/A"),"CONFORME - Control Efectivo ISO 27001","OBSERVACIÓN - Revisar Controles")))</f>
        <v/>
      </c>
    </row>
    <row r="1333">
      <c r="A1333" s="99"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c r="AD1333">
        <f>IF(AND(Y1333="",Z1333="",AA1333="",AB1333="",AC1333=""),"",IF(OR(LEFT(AA1333,2)="L0",LEFT(AA1333,2)="L1",Y1333="No Iniciado"),"CRÍTICO - Incumplimiento Normativo SEPS",IF(AND(Y1333="Implementado",Z1333&lt;&gt;"",OR(LEFT(AA1333,2)="L4",LEFT(AA1333,2)="L5"),AB1333&lt;&gt;"",AC1333&lt;&gt;"",AC1333&lt;&gt;"N/A"),"CONFORME - Control Efectivo ISO 27001","OBSERVACIÓN - Revisar Controles")))</f>
        <v/>
      </c>
    </row>
    <row r="1334">
      <c r="A1334" s="99"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c r="AD1334">
        <f>IF(AND(Y1334="",Z1334="",AA1334="",AB1334="",AC1334=""),"",IF(OR(LEFT(AA1334,2)="L0",LEFT(AA1334,2)="L1",Y1334="No Iniciado"),"CRÍTICO - Incumplimiento Normativo SEPS",IF(AND(Y1334="Implementado",Z1334&lt;&gt;"",OR(LEFT(AA1334,2)="L4",LEFT(AA1334,2)="L5"),AB1334&lt;&gt;"",AC1334&lt;&gt;"",AC1334&lt;&gt;"N/A"),"CONFORME - Control Efectivo ISO 27001","OBSERVACIÓN - Revisar Controles")))</f>
        <v/>
      </c>
    </row>
    <row r="1335">
      <c r="A1335" s="99"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c r="AD1335">
        <f>IF(AND(Y1335="",Z1335="",AA1335="",AB1335="",AC1335=""),"",IF(OR(LEFT(AA1335,2)="L0",LEFT(AA1335,2)="L1",Y1335="No Iniciado"),"CRÍTICO - Incumplimiento Normativo SEPS",IF(AND(Y1335="Implementado",Z1335&lt;&gt;"",OR(LEFT(AA1335,2)="L4",LEFT(AA1335,2)="L5"),AB1335&lt;&gt;"",AC1335&lt;&gt;"",AC1335&lt;&gt;"N/A"),"CONFORME - Control Efectivo ISO 27001","OBSERVACIÓN - Revisar Controles")))</f>
        <v/>
      </c>
    </row>
    <row r="1336">
      <c r="A1336" s="99"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c r="AD1336">
        <f>IF(AND(Y1336="",Z1336="",AA1336="",AB1336="",AC1336=""),"",IF(OR(LEFT(AA1336,2)="L0",LEFT(AA1336,2)="L1",Y1336="No Iniciado"),"CRÍTICO - Incumplimiento Normativo SEPS",IF(AND(Y1336="Implementado",Z1336&lt;&gt;"",OR(LEFT(AA1336,2)="L4",LEFT(AA1336,2)="L5"),AB1336&lt;&gt;"",AC1336&lt;&gt;"",AC1336&lt;&gt;"N/A"),"CONFORME - Control Efectivo ISO 27001","OBSERVACIÓN - Revisar Controles")))</f>
        <v/>
      </c>
    </row>
    <row r="1337">
      <c r="A1337" s="99"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c r="AD1337">
        <f>IF(AND(Y1337="",Z1337="",AA1337="",AB1337="",AC1337=""),"",IF(OR(LEFT(AA1337,2)="L0",LEFT(AA1337,2)="L1",Y1337="No Iniciado"),"CRÍTICO - Incumplimiento Normativo SEPS",IF(AND(Y1337="Implementado",Z1337&lt;&gt;"",OR(LEFT(AA1337,2)="L4",LEFT(AA1337,2)="L5"),AB1337&lt;&gt;"",AC1337&lt;&gt;"",AC1337&lt;&gt;"N/A"),"CONFORME - Control Efectivo ISO 27001","OBSERVACIÓN - Revisar Controles")))</f>
        <v/>
      </c>
    </row>
    <row r="1338">
      <c r="A1338" s="99"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c r="AD1338">
        <f>IF(AND(Y1338="",Z1338="",AA1338="",AB1338="",AC1338=""),"",IF(OR(LEFT(AA1338,2)="L0",LEFT(AA1338,2)="L1",Y1338="No Iniciado"),"CRÍTICO - Incumplimiento Normativo SEPS",IF(AND(Y1338="Implementado",Z1338&lt;&gt;"",OR(LEFT(AA1338,2)="L4",LEFT(AA1338,2)="L5"),AB1338&lt;&gt;"",AC1338&lt;&gt;"",AC1338&lt;&gt;"N/A"),"CONFORME - Control Efectivo ISO 27001","OBSERVACIÓN - Revisar Controles")))</f>
        <v/>
      </c>
    </row>
    <row r="1339">
      <c r="A1339" s="99"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c r="AD1339">
        <f>IF(AND(Y1339="",Z1339="",AA1339="",AB1339="",AC1339=""),"",IF(OR(LEFT(AA1339,2)="L0",LEFT(AA1339,2)="L1",Y1339="No Iniciado"),"CRÍTICO - Incumplimiento Normativo SEPS",IF(AND(Y1339="Implementado",Z1339&lt;&gt;"",OR(LEFT(AA1339,2)="L4",LEFT(AA1339,2)="L5"),AB1339&lt;&gt;"",AC1339&lt;&gt;"",AC1339&lt;&gt;"N/A"),"CONFORME - Control Efectivo ISO 27001","OBSERVACIÓN - Revisar Controles")))</f>
        <v/>
      </c>
    </row>
    <row r="1340">
      <c r="A1340" s="99"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c r="AD1340">
        <f>IF(AND(Y1340="",Z1340="",AA1340="",AB1340="",AC1340=""),"",IF(OR(LEFT(AA1340,2)="L0",LEFT(AA1340,2)="L1",Y1340="No Iniciado"),"CRÍTICO - Incumplimiento Normativo SEPS",IF(AND(Y1340="Implementado",Z1340&lt;&gt;"",OR(LEFT(AA1340,2)="L4",LEFT(AA1340,2)="L5"),AB1340&lt;&gt;"",AC1340&lt;&gt;"",AC1340&lt;&gt;"N/A"),"CONFORME - Control Efectivo ISO 27001","OBSERVACIÓN - Revisar Controles")))</f>
        <v/>
      </c>
    </row>
    <row r="1341">
      <c r="A1341" s="99"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c r="AD1341">
        <f>IF(AND(Y1341="",Z1341="",AA1341="",AB1341="",AC1341=""),"",IF(OR(LEFT(AA1341,2)="L0",LEFT(AA1341,2)="L1",Y1341="No Iniciado"),"CRÍTICO - Incumplimiento Normativo SEPS",IF(AND(Y1341="Implementado",Z1341&lt;&gt;"",OR(LEFT(AA1341,2)="L4",LEFT(AA1341,2)="L5"),AB1341&lt;&gt;"",AC1341&lt;&gt;"",AC1341&lt;&gt;"N/A"),"CONFORME - Control Efectivo ISO 27001","OBSERVACIÓN - Revisar Controles")))</f>
        <v/>
      </c>
    </row>
    <row r="1342">
      <c r="A1342" s="99"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c r="AD1342">
        <f>IF(AND(Y1342="",Z1342="",AA1342="",AB1342="",AC1342=""),"",IF(OR(LEFT(AA1342,2)="L0",LEFT(AA1342,2)="L1",Y1342="No Iniciado"),"CRÍTICO - Incumplimiento Normativo SEPS",IF(AND(Y1342="Implementado",Z1342&lt;&gt;"",OR(LEFT(AA1342,2)="L4",LEFT(AA1342,2)="L5"),AB1342&lt;&gt;"",AC1342&lt;&gt;"",AC1342&lt;&gt;"N/A"),"CONFORME - Control Efectivo ISO 27001","OBSERVACIÓN - Revisar Controles")))</f>
        <v/>
      </c>
    </row>
    <row r="1343">
      <c r="A1343" s="99"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c r="AD1343">
        <f>IF(AND(Y1343="",Z1343="",AA1343="",AB1343="",AC1343=""),"",IF(OR(LEFT(AA1343,2)="L0",LEFT(AA1343,2)="L1",Y1343="No Iniciado"),"CRÍTICO - Incumplimiento Normativo SEPS",IF(AND(Y1343="Implementado",Z1343&lt;&gt;"",OR(LEFT(AA1343,2)="L4",LEFT(AA1343,2)="L5"),AB1343&lt;&gt;"",AC1343&lt;&gt;"",AC1343&lt;&gt;"N/A"),"CONFORME - Control Efectivo ISO 27001","OBSERVACIÓN - Revisar Controles")))</f>
        <v/>
      </c>
    </row>
    <row r="1344">
      <c r="A1344" s="99"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c r="AD1344">
        <f>IF(AND(Y1344="",Z1344="",AA1344="",AB1344="",AC1344=""),"",IF(OR(LEFT(AA1344,2)="L0",LEFT(AA1344,2)="L1",Y1344="No Iniciado"),"CRÍTICO - Incumplimiento Normativo SEPS",IF(AND(Y1344="Implementado",Z1344&lt;&gt;"",OR(LEFT(AA1344,2)="L4",LEFT(AA1344,2)="L5"),AB1344&lt;&gt;"",AC1344&lt;&gt;"",AC1344&lt;&gt;"N/A"),"CONFORME - Control Efectivo ISO 27001","OBSERVACIÓN - Revisar Controles")))</f>
        <v/>
      </c>
    </row>
    <row r="1345">
      <c r="A1345" s="99"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c r="AD1345">
        <f>IF(AND(Y1345="",Z1345="",AA1345="",AB1345="",AC1345=""),"",IF(OR(LEFT(AA1345,2)="L0",LEFT(AA1345,2)="L1",Y1345="No Iniciado"),"CRÍTICO - Incumplimiento Normativo SEPS",IF(AND(Y1345="Implementado",Z1345&lt;&gt;"",OR(LEFT(AA1345,2)="L4",LEFT(AA1345,2)="L5"),AB1345&lt;&gt;"",AC1345&lt;&gt;"",AC1345&lt;&gt;"N/A"),"CONFORME - Control Efectivo ISO 27001","OBSERVACIÓN - Revisar Controles")))</f>
        <v/>
      </c>
    </row>
    <row r="1346">
      <c r="A1346" s="99"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c r="AD1346">
        <f>IF(AND(Y1346="",Z1346="",AA1346="",AB1346="",AC1346=""),"",IF(OR(LEFT(AA1346,2)="L0",LEFT(AA1346,2)="L1",Y1346="No Iniciado"),"CRÍTICO - Incumplimiento Normativo SEPS",IF(AND(Y1346="Implementado",Z1346&lt;&gt;"",OR(LEFT(AA1346,2)="L4",LEFT(AA1346,2)="L5"),AB1346&lt;&gt;"",AC1346&lt;&gt;"",AC1346&lt;&gt;"N/A"),"CONFORME - Control Efectivo ISO 27001","OBSERVACIÓN - Revisar Controles")))</f>
        <v/>
      </c>
    </row>
    <row r="1347">
      <c r="A1347" s="99"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c r="AD1347">
        <f>IF(AND(Y1347="",Z1347="",AA1347="",AB1347="",AC1347=""),"",IF(OR(LEFT(AA1347,2)="L0",LEFT(AA1347,2)="L1",Y1347="No Iniciado"),"CRÍTICO - Incumplimiento Normativo SEPS",IF(AND(Y1347="Implementado",Z1347&lt;&gt;"",OR(LEFT(AA1347,2)="L4",LEFT(AA1347,2)="L5"),AB1347&lt;&gt;"",AC1347&lt;&gt;"",AC1347&lt;&gt;"N/A"),"CONFORME - Control Efectivo ISO 27001","OBSERVACIÓN - Revisar Controles")))</f>
        <v/>
      </c>
    </row>
    <row r="1348">
      <c r="A1348" s="99"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c r="AD1348">
        <f>IF(AND(Y1348="",Z1348="",AA1348="",AB1348="",AC1348=""),"",IF(OR(LEFT(AA1348,2)="L0",LEFT(AA1348,2)="L1",Y1348="No Iniciado"),"CRÍTICO - Incumplimiento Normativo SEPS",IF(AND(Y1348="Implementado",Z1348&lt;&gt;"",OR(LEFT(AA1348,2)="L4",LEFT(AA1348,2)="L5"),AB1348&lt;&gt;"",AC1348&lt;&gt;"",AC1348&lt;&gt;"N/A"),"CONFORME - Control Efectivo ISO 27001","OBSERVACIÓN - Revisar Controles")))</f>
        <v/>
      </c>
    </row>
    <row r="1349">
      <c r="A1349" s="99"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c r="AD1349">
        <f>IF(AND(Y1349="",Z1349="",AA1349="",AB1349="",AC1349=""),"",IF(OR(LEFT(AA1349,2)="L0",LEFT(AA1349,2)="L1",Y1349="No Iniciado"),"CRÍTICO - Incumplimiento Normativo SEPS",IF(AND(Y1349="Implementado",Z1349&lt;&gt;"",OR(LEFT(AA1349,2)="L4",LEFT(AA1349,2)="L5"),AB1349&lt;&gt;"",AC1349&lt;&gt;"",AC1349&lt;&gt;"N/A"),"CONFORME - Control Efectivo ISO 27001","OBSERVACIÓN - Revisar Controles")))</f>
        <v/>
      </c>
    </row>
    <row r="1350">
      <c r="A1350" s="99"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c r="AD1350">
        <f>IF(AND(Y1350="",Z1350="",AA1350="",AB1350="",AC1350=""),"",IF(OR(LEFT(AA1350,2)="L0",LEFT(AA1350,2)="L1",Y1350="No Iniciado"),"CRÍTICO - Incumplimiento Normativo SEPS",IF(AND(Y1350="Implementado",Z1350&lt;&gt;"",OR(LEFT(AA1350,2)="L4",LEFT(AA1350,2)="L5"),AB1350&lt;&gt;"",AC1350&lt;&gt;"",AC1350&lt;&gt;"N/A"),"CONFORME - Control Efectivo ISO 27001","OBSERVACIÓN - Revisar Controles")))</f>
        <v/>
      </c>
    </row>
    <row r="1351" ht="12" customHeight="1" s="106">
      <c r="A1351" s="99"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c r="AD1351">
        <f>IF(AND(Y1351="",Z1351="",AA1351="",AB1351="",AC1351=""),"",IF(OR(LEFT(AA1351,2)="L0",LEFT(AA1351,2)="L1",Y1351="No Iniciado"),"CRÍTICO - Incumplimiento Normativo SEPS",IF(AND(Y1351="Implementado",Z1351&lt;&gt;"",OR(LEFT(AA1351,2)="L4",LEFT(AA1351,2)="L5"),AB1351&lt;&gt;"",AC1351&lt;&gt;"",AC1351&lt;&gt;"N/A"),"CONFORME - Control Efectivo ISO 27001","OBSERVACIÓN - Revisar Controles")))</f>
        <v/>
      </c>
    </row>
    <row r="1352">
      <c r="A1352" s="99"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c r="AD1352">
        <f>IF(AND(Y1352="",Z1352="",AA1352="",AB1352="",AC1352=""),"",IF(OR(LEFT(AA1352,2)="L0",LEFT(AA1352,2)="L1",Y1352="No Iniciado"),"CRÍTICO - Incumplimiento Normativo SEPS",IF(AND(Y1352="Implementado",Z1352&lt;&gt;"",OR(LEFT(AA1352,2)="L4",LEFT(AA1352,2)="L5"),AB1352&lt;&gt;"",AC1352&lt;&gt;"",AC1352&lt;&gt;"N/A"),"CONFORME - Control Efectivo ISO 27001","OBSERVACIÓN - Revisar Controles")))</f>
        <v/>
      </c>
    </row>
    <row r="1353">
      <c r="A1353" s="99"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c r="AD1353">
        <f>IF(AND(Y1353="",Z1353="",AA1353="",AB1353="",AC1353=""),"",IF(OR(LEFT(AA1353,2)="L0",LEFT(AA1353,2)="L1",Y1353="No Iniciado"),"CRÍTICO - Incumplimiento Normativo SEPS",IF(AND(Y1353="Implementado",Z1353&lt;&gt;"",OR(LEFT(AA1353,2)="L4",LEFT(AA1353,2)="L5"),AB1353&lt;&gt;"",AC1353&lt;&gt;"",AC1353&lt;&gt;"N/A"),"CONFORME - Control Efectivo ISO 27001","OBSERVACIÓN - Revisar Controles")))</f>
        <v/>
      </c>
    </row>
    <row r="1354">
      <c r="A1354" s="99"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c r="AD1354">
        <f>IF(AND(Y1354="",Z1354="",AA1354="",AB1354="",AC1354=""),"",IF(OR(LEFT(AA1354,2)="L0",LEFT(AA1354,2)="L1",Y1354="No Iniciado"),"CRÍTICO - Incumplimiento Normativo SEPS",IF(AND(Y1354="Implementado",Z1354&lt;&gt;"",OR(LEFT(AA1354,2)="L4",LEFT(AA1354,2)="L5"),AB1354&lt;&gt;"",AC1354&lt;&gt;"",AC1354&lt;&gt;"N/A"),"CONFORME - Control Efectivo ISO 27001","OBSERVACIÓN - Revisar Controles")))</f>
        <v/>
      </c>
    </row>
    <row r="1355">
      <c r="A1355" s="99"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c r="AD1355">
        <f>IF(AND(Y1355="",Z1355="",AA1355="",AB1355="",AC1355=""),"",IF(OR(LEFT(AA1355,2)="L0",LEFT(AA1355,2)="L1",Y1355="No Iniciado"),"CRÍTICO - Incumplimiento Normativo SEPS",IF(AND(Y1355="Implementado",Z1355&lt;&gt;"",OR(LEFT(AA1355,2)="L4",LEFT(AA1355,2)="L5"),AB1355&lt;&gt;"",AC1355&lt;&gt;"",AC1355&lt;&gt;"N/A"),"CONFORME - Control Efectivo ISO 27001","OBSERVACIÓN - Revisar Controles")))</f>
        <v/>
      </c>
    </row>
    <row r="1356">
      <c r="A1356" s="99"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c r="AD1356">
        <f>IF(AND(Y1356="",Z1356="",AA1356="",AB1356="",AC1356=""),"",IF(OR(LEFT(AA1356,2)="L0",LEFT(AA1356,2)="L1",Y1356="No Iniciado"),"CRÍTICO - Incumplimiento Normativo SEPS",IF(AND(Y1356="Implementado",Z1356&lt;&gt;"",OR(LEFT(AA1356,2)="L4",LEFT(AA1356,2)="L5"),AB1356&lt;&gt;"",AC1356&lt;&gt;"",AC1356&lt;&gt;"N/A"),"CONFORME - Control Efectivo ISO 27001","OBSERVACIÓN - Revisar Controles")))</f>
        <v/>
      </c>
    </row>
    <row r="1357">
      <c r="A1357" s="99"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c r="AD1357">
        <f>IF(AND(Y1357="",Z1357="",AA1357="",AB1357="",AC1357=""),"",IF(OR(LEFT(AA1357,2)="L0",LEFT(AA1357,2)="L1",Y1357="No Iniciado"),"CRÍTICO - Incumplimiento Normativo SEPS",IF(AND(Y1357="Implementado",Z1357&lt;&gt;"",OR(LEFT(AA1357,2)="L4",LEFT(AA1357,2)="L5"),AB1357&lt;&gt;"",AC1357&lt;&gt;"",AC1357&lt;&gt;"N/A"),"CONFORME - Control Efectivo ISO 27001","OBSERVACIÓN - Revisar Controles")))</f>
        <v/>
      </c>
    </row>
    <row r="1358">
      <c r="A1358" s="99"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c r="AD1358">
        <f>IF(AND(Y1358="",Z1358="",AA1358="",AB1358="",AC1358=""),"",IF(OR(LEFT(AA1358,2)="L0",LEFT(AA1358,2)="L1",Y1358="No Iniciado"),"CRÍTICO - Incumplimiento Normativo SEPS",IF(AND(Y1358="Implementado",Z1358&lt;&gt;"",OR(LEFT(AA1358,2)="L4",LEFT(AA1358,2)="L5"),AB1358&lt;&gt;"",AC1358&lt;&gt;"",AC1358&lt;&gt;"N/A"),"CONFORME - Control Efectivo ISO 27001","OBSERVACIÓN - Revisar Controles")))</f>
        <v/>
      </c>
    </row>
    <row r="1359">
      <c r="A1359" s="99"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c r="AD1359">
        <f>IF(AND(Y1359="",Z1359="",AA1359="",AB1359="",AC1359=""),"",IF(OR(LEFT(AA1359,2)="L0",LEFT(AA1359,2)="L1",Y1359="No Iniciado"),"CRÍTICO - Incumplimiento Normativo SEPS",IF(AND(Y1359="Implementado",Z1359&lt;&gt;"",OR(LEFT(AA1359,2)="L4",LEFT(AA1359,2)="L5"),AB1359&lt;&gt;"",AC1359&lt;&gt;"",AC1359&lt;&gt;"N/A"),"CONFORME - Control Efectivo ISO 27001","OBSERVACIÓN - Revisar Controles")))</f>
        <v/>
      </c>
    </row>
    <row r="1360">
      <c r="A1360" s="99"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c r="AD1360">
        <f>IF(AND(Y1360="",Z1360="",AA1360="",AB1360="",AC1360=""),"",IF(OR(LEFT(AA1360,2)="L0",LEFT(AA1360,2)="L1",Y1360="No Iniciado"),"CRÍTICO - Incumplimiento Normativo SEPS",IF(AND(Y1360="Implementado",Z1360&lt;&gt;"",OR(LEFT(AA1360,2)="L4",LEFT(AA1360,2)="L5"),AB1360&lt;&gt;"",AC1360&lt;&gt;"",AC1360&lt;&gt;"N/A"),"CONFORME - Control Efectivo ISO 27001","OBSERVACIÓN - Revisar Controles")))</f>
        <v/>
      </c>
    </row>
    <row r="1361">
      <c r="A1361" s="99"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c r="AD1361">
        <f>IF(AND(Y1361="",Z1361="",AA1361="",AB1361="",AC1361=""),"",IF(OR(LEFT(AA1361,2)="L0",LEFT(AA1361,2)="L1",Y1361="No Iniciado"),"CRÍTICO - Incumplimiento Normativo SEPS",IF(AND(Y1361="Implementado",Z1361&lt;&gt;"",OR(LEFT(AA1361,2)="L4",LEFT(AA1361,2)="L5"),AB1361&lt;&gt;"",AC1361&lt;&gt;"",AC1361&lt;&gt;"N/A"),"CONFORME - Control Efectivo ISO 27001","OBSERVACIÓN - Revisar Controles")))</f>
        <v/>
      </c>
    </row>
    <row r="1362">
      <c r="A1362" s="99"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c r="AD1362">
        <f>IF(AND(Y1362="",Z1362="",AA1362="",AB1362="",AC1362=""),"",IF(OR(LEFT(AA1362,2)="L0",LEFT(AA1362,2)="L1",Y1362="No Iniciado"),"CRÍTICO - Incumplimiento Normativo SEPS",IF(AND(Y1362="Implementado",Z1362&lt;&gt;"",OR(LEFT(AA1362,2)="L4",LEFT(AA1362,2)="L5"),AB1362&lt;&gt;"",AC1362&lt;&gt;"",AC1362&lt;&gt;"N/A"),"CONFORME - Control Efectivo ISO 27001","OBSERVACIÓN - Revisar Controles")))</f>
        <v/>
      </c>
    </row>
    <row r="1363">
      <c r="A1363" s="99"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c r="AD1363">
        <f>IF(AND(Y1363="",Z1363="",AA1363="",AB1363="",AC1363=""),"",IF(OR(LEFT(AA1363,2)="L0",LEFT(AA1363,2)="L1",Y1363="No Iniciado"),"CRÍTICO - Incumplimiento Normativo SEPS",IF(AND(Y1363="Implementado",Z1363&lt;&gt;"",OR(LEFT(AA1363,2)="L4",LEFT(AA1363,2)="L5"),AB1363&lt;&gt;"",AC1363&lt;&gt;"",AC1363&lt;&gt;"N/A"),"CONFORME - Control Efectivo ISO 27001","OBSERVACIÓN - Revisar Controles")))</f>
        <v/>
      </c>
    </row>
    <row r="1364">
      <c r="A1364" s="99"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c r="AD1364">
        <f>IF(AND(Y1364="",Z1364="",AA1364="",AB1364="",AC1364=""),"",IF(OR(LEFT(AA1364,2)="L0",LEFT(AA1364,2)="L1",Y1364="No Iniciado"),"CRÍTICO - Incumplimiento Normativo SEPS",IF(AND(Y1364="Implementado",Z1364&lt;&gt;"",OR(LEFT(AA1364,2)="L4",LEFT(AA1364,2)="L5"),AB1364&lt;&gt;"",AC1364&lt;&gt;"",AC1364&lt;&gt;"N/A"),"CONFORME - Control Efectivo ISO 27001","OBSERVACIÓN - Revisar Controles")))</f>
        <v/>
      </c>
    </row>
    <row r="1365">
      <c r="A1365" s="99"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c r="AD1365">
        <f>IF(AND(Y1365="",Z1365="",AA1365="",AB1365="",AC1365=""),"",IF(OR(LEFT(AA1365,2)="L0",LEFT(AA1365,2)="L1",Y1365="No Iniciado"),"CRÍTICO - Incumplimiento Normativo SEPS",IF(AND(Y1365="Implementado",Z1365&lt;&gt;"",OR(LEFT(AA1365,2)="L4",LEFT(AA1365,2)="L5"),AB1365&lt;&gt;"",AC1365&lt;&gt;"",AC1365&lt;&gt;"N/A"),"CONFORME - Control Efectivo ISO 27001","OBSERVACIÓN - Revisar Controles")))</f>
        <v/>
      </c>
    </row>
    <row r="1366">
      <c r="A1366" s="99"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c r="AD1366">
        <f>IF(AND(Y1366="",Z1366="",AA1366="",AB1366="",AC1366=""),"",IF(OR(LEFT(AA1366,2)="L0",LEFT(AA1366,2)="L1",Y1366="No Iniciado"),"CRÍTICO - Incumplimiento Normativo SEPS",IF(AND(Y1366="Implementado",Z1366&lt;&gt;"",OR(LEFT(AA1366,2)="L4",LEFT(AA1366,2)="L5"),AB1366&lt;&gt;"",AC1366&lt;&gt;"",AC1366&lt;&gt;"N/A"),"CONFORME - Control Efectivo ISO 27001","OBSERVACIÓN - Revisar Controles")))</f>
        <v/>
      </c>
    </row>
    <row r="1367">
      <c r="A1367" s="99"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c r="AD1367">
        <f>IF(AND(Y1367="",Z1367="",AA1367="",AB1367="",AC1367=""),"",IF(OR(LEFT(AA1367,2)="L0",LEFT(AA1367,2)="L1",Y1367="No Iniciado"),"CRÍTICO - Incumplimiento Normativo SEPS",IF(AND(Y1367="Implementado",Z1367&lt;&gt;"",OR(LEFT(AA1367,2)="L4",LEFT(AA1367,2)="L5"),AB1367&lt;&gt;"",AC1367&lt;&gt;"",AC1367&lt;&gt;"N/A"),"CONFORME - Control Efectivo ISO 27001","OBSERVACIÓN - Revisar Controles")))</f>
        <v/>
      </c>
    </row>
    <row r="1368">
      <c r="A1368" s="99"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c r="AD1368">
        <f>IF(AND(Y1368="",Z1368="",AA1368="",AB1368="",AC1368=""),"",IF(OR(LEFT(AA1368,2)="L0",LEFT(AA1368,2)="L1",Y1368="No Iniciado"),"CRÍTICO - Incumplimiento Normativo SEPS",IF(AND(Y1368="Implementado",Z1368&lt;&gt;"",OR(LEFT(AA1368,2)="L4",LEFT(AA1368,2)="L5"),AB1368&lt;&gt;"",AC1368&lt;&gt;"",AC1368&lt;&gt;"N/A"),"CONFORME - Control Efectivo ISO 27001","OBSERVACIÓN - Revisar Controles")))</f>
        <v/>
      </c>
    </row>
    <row r="1369">
      <c r="A1369" s="99"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c r="AD1369">
        <f>IF(AND(Y1369="",Z1369="",AA1369="",AB1369="",AC1369=""),"",IF(OR(LEFT(AA1369,2)="L0",LEFT(AA1369,2)="L1",Y1369="No Iniciado"),"CRÍTICO - Incumplimiento Normativo SEPS",IF(AND(Y1369="Implementado",Z1369&lt;&gt;"",OR(LEFT(AA1369,2)="L4",LEFT(AA1369,2)="L5"),AB1369&lt;&gt;"",AC1369&lt;&gt;"",AC1369&lt;&gt;"N/A"),"CONFORME - Control Efectivo ISO 27001","OBSERVACIÓN - Revisar Controles")))</f>
        <v/>
      </c>
    </row>
    <row r="1370">
      <c r="A1370" s="99"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c r="AD1370">
        <f>IF(AND(Y1370="",Z1370="",AA1370="",AB1370="",AC1370=""),"",IF(OR(LEFT(AA1370,2)="L0",LEFT(AA1370,2)="L1",Y1370="No Iniciado"),"CRÍTICO - Incumplimiento Normativo SEPS",IF(AND(Y1370="Implementado",Z1370&lt;&gt;"",OR(LEFT(AA1370,2)="L4",LEFT(AA1370,2)="L5"),AB1370&lt;&gt;"",AC1370&lt;&gt;"",AC1370&lt;&gt;"N/A"),"CONFORME - Control Efectivo ISO 27001","OBSERVACIÓN - Revisar Controles")))</f>
        <v/>
      </c>
    </row>
    <row r="1371">
      <c r="A1371" s="99"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c r="AD1371">
        <f>IF(AND(Y1371="",Z1371="",AA1371="",AB1371="",AC1371=""),"",IF(OR(LEFT(AA1371,2)="L0",LEFT(AA1371,2)="L1",Y1371="No Iniciado"),"CRÍTICO - Incumplimiento Normativo SEPS",IF(AND(Y1371="Implementado",Z1371&lt;&gt;"",OR(LEFT(AA1371,2)="L4",LEFT(AA1371,2)="L5"),AB1371&lt;&gt;"",AC1371&lt;&gt;"",AC1371&lt;&gt;"N/A"),"CONFORME - Control Efectivo ISO 27001","OBSERVACIÓN - Revisar Controles")))</f>
        <v/>
      </c>
    </row>
    <row r="1372">
      <c r="A1372" s="99"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c r="AD1372">
        <f>IF(AND(Y1372="",Z1372="",AA1372="",AB1372="",AC1372=""),"",IF(OR(LEFT(AA1372,2)="L0",LEFT(AA1372,2)="L1",Y1372="No Iniciado"),"CRÍTICO - Incumplimiento Normativo SEPS",IF(AND(Y1372="Implementado",Z1372&lt;&gt;"",OR(LEFT(AA1372,2)="L4",LEFT(AA1372,2)="L5"),AB1372&lt;&gt;"",AC1372&lt;&gt;"",AC1372&lt;&gt;"N/A"),"CONFORME - Control Efectivo ISO 27001","OBSERVACIÓN - Revisar Controles")))</f>
        <v/>
      </c>
    </row>
    <row r="1373">
      <c r="A1373" s="99"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c r="AD1373">
        <f>IF(AND(Y1373="",Z1373="",AA1373="",AB1373="",AC1373=""),"",IF(OR(LEFT(AA1373,2)="L0",LEFT(AA1373,2)="L1",Y1373="No Iniciado"),"CRÍTICO - Incumplimiento Normativo SEPS",IF(AND(Y1373="Implementado",Z1373&lt;&gt;"",OR(LEFT(AA1373,2)="L4",LEFT(AA1373,2)="L5"),AB1373&lt;&gt;"",AC1373&lt;&gt;"",AC1373&lt;&gt;"N/A"),"CONFORME - Control Efectivo ISO 27001","OBSERVACIÓN - Revisar Controles")))</f>
        <v/>
      </c>
    </row>
    <row r="1374">
      <c r="A1374" s="99"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c r="AD1374">
        <f>IF(AND(Y1374="",Z1374="",AA1374="",AB1374="",AC1374=""),"",IF(OR(LEFT(AA1374,2)="L0",LEFT(AA1374,2)="L1",Y1374="No Iniciado"),"CRÍTICO - Incumplimiento Normativo SEPS",IF(AND(Y1374="Implementado",Z1374&lt;&gt;"",OR(LEFT(AA1374,2)="L4",LEFT(AA1374,2)="L5"),AB1374&lt;&gt;"",AC1374&lt;&gt;"",AC1374&lt;&gt;"N/A"),"CONFORME - Control Efectivo ISO 27001","OBSERVACIÓN - Revisar Controles")))</f>
        <v/>
      </c>
    </row>
    <row r="1375">
      <c r="A1375" s="99"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c r="AD1375">
        <f>IF(AND(Y1375="",Z1375="",AA1375="",AB1375="",AC1375=""),"",IF(OR(LEFT(AA1375,2)="L0",LEFT(AA1375,2)="L1",Y1375="No Iniciado"),"CRÍTICO - Incumplimiento Normativo SEPS",IF(AND(Y1375="Implementado",Z1375&lt;&gt;"",OR(LEFT(AA1375,2)="L4",LEFT(AA1375,2)="L5"),AB1375&lt;&gt;"",AC1375&lt;&gt;"",AC1375&lt;&gt;"N/A"),"CONFORME - Control Efectivo ISO 27001","OBSERVACIÓN - Revisar Controles")))</f>
        <v/>
      </c>
    </row>
    <row r="1376">
      <c r="A1376" s="99"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c r="AD1376">
        <f>IF(AND(Y1376="",Z1376="",AA1376="",AB1376="",AC1376=""),"",IF(OR(LEFT(AA1376,2)="L0",LEFT(AA1376,2)="L1",Y1376="No Iniciado"),"CRÍTICO - Incumplimiento Normativo SEPS",IF(AND(Y1376="Implementado",Z1376&lt;&gt;"",OR(LEFT(AA1376,2)="L4",LEFT(AA1376,2)="L5"),AB1376&lt;&gt;"",AC1376&lt;&gt;"",AC1376&lt;&gt;"N/A"),"CONFORME - Control Efectivo ISO 27001","OBSERVACIÓN - Revisar Controles")))</f>
        <v/>
      </c>
    </row>
    <row r="1377">
      <c r="A1377" s="99"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c r="AD1377">
        <f>IF(AND(Y1377="",Z1377="",AA1377="",AB1377="",AC1377=""),"",IF(OR(LEFT(AA1377,2)="L0",LEFT(AA1377,2)="L1",Y1377="No Iniciado"),"CRÍTICO - Incumplimiento Normativo SEPS",IF(AND(Y1377="Implementado",Z1377&lt;&gt;"",OR(LEFT(AA1377,2)="L4",LEFT(AA1377,2)="L5"),AB1377&lt;&gt;"",AC1377&lt;&gt;"",AC1377&lt;&gt;"N/A"),"CONFORME - Control Efectivo ISO 27001","OBSERVACIÓN - Revisar Controles")))</f>
        <v/>
      </c>
    </row>
    <row r="1378">
      <c r="A1378" s="99"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c r="AD1378">
        <f>IF(AND(Y1378="",Z1378="",AA1378="",AB1378="",AC1378=""),"",IF(OR(LEFT(AA1378,2)="L0",LEFT(AA1378,2)="L1",Y1378="No Iniciado"),"CRÍTICO - Incumplimiento Normativo SEPS",IF(AND(Y1378="Implementado",Z1378&lt;&gt;"",OR(LEFT(AA1378,2)="L4",LEFT(AA1378,2)="L5"),AB1378&lt;&gt;"",AC1378&lt;&gt;"",AC1378&lt;&gt;"N/A"),"CONFORME - Control Efectivo ISO 27001","OBSERVACIÓN - Revisar Controles")))</f>
        <v/>
      </c>
    </row>
    <row r="1379">
      <c r="A1379" s="99"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c r="AD1379">
        <f>IF(AND(Y1379="",Z1379="",AA1379="",AB1379="",AC1379=""),"",IF(OR(LEFT(AA1379,2)="L0",LEFT(AA1379,2)="L1",Y1379="No Iniciado"),"CRÍTICO - Incumplimiento Normativo SEPS",IF(AND(Y1379="Implementado",Z1379&lt;&gt;"",OR(LEFT(AA1379,2)="L4",LEFT(AA1379,2)="L5"),AB1379&lt;&gt;"",AC1379&lt;&gt;"",AC1379&lt;&gt;"N/A"),"CONFORME - Control Efectivo ISO 27001","OBSERVACIÓN - Revisar Controles")))</f>
        <v/>
      </c>
    </row>
    <row r="1380">
      <c r="A1380" s="99"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c r="AD1380">
        <f>IF(AND(Y1380="",Z1380="",AA1380="",AB1380="",AC1380=""),"",IF(OR(LEFT(AA1380,2)="L0",LEFT(AA1380,2)="L1",Y1380="No Iniciado"),"CRÍTICO - Incumplimiento Normativo SEPS",IF(AND(Y1380="Implementado",Z1380&lt;&gt;"",OR(LEFT(AA1380,2)="L4",LEFT(AA1380,2)="L5"),AB1380&lt;&gt;"",AC1380&lt;&gt;"",AC1380&lt;&gt;"N/A"),"CONFORME - Control Efectivo ISO 27001","OBSERVACIÓN - Revisar Controles")))</f>
        <v/>
      </c>
    </row>
    <row r="1381">
      <c r="A1381" s="99"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c r="AD1381">
        <f>IF(AND(Y1381="",Z1381="",AA1381="",AB1381="",AC1381=""),"",IF(OR(LEFT(AA1381,2)="L0",LEFT(AA1381,2)="L1",Y1381="No Iniciado"),"CRÍTICO - Incumplimiento Normativo SEPS",IF(AND(Y1381="Implementado",Z1381&lt;&gt;"",OR(LEFT(AA1381,2)="L4",LEFT(AA1381,2)="L5"),AB1381&lt;&gt;"",AC1381&lt;&gt;"",AC1381&lt;&gt;"N/A"),"CONFORME - Control Efectivo ISO 27001","OBSERVACIÓN - Revisar Controles")))</f>
        <v/>
      </c>
    </row>
    <row r="1382">
      <c r="A1382" s="99"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c r="AD1382">
        <f>IF(AND(Y1382="",Z1382="",AA1382="",AB1382="",AC1382=""),"",IF(OR(LEFT(AA1382,2)="L0",LEFT(AA1382,2)="L1",Y1382="No Iniciado"),"CRÍTICO - Incumplimiento Normativo SEPS",IF(AND(Y1382="Implementado",Z1382&lt;&gt;"",OR(LEFT(AA1382,2)="L4",LEFT(AA1382,2)="L5"),AB1382&lt;&gt;"",AC1382&lt;&gt;"",AC1382&lt;&gt;"N/A"),"CONFORME - Control Efectivo ISO 27001","OBSERVACIÓN - Revisar Controles")))</f>
        <v/>
      </c>
    </row>
    <row r="1383">
      <c r="A1383" s="99"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c r="AD1383">
        <f>IF(AND(Y1383="",Z1383="",AA1383="",AB1383="",AC1383=""),"",IF(OR(LEFT(AA1383,2)="L0",LEFT(AA1383,2)="L1",Y1383="No Iniciado"),"CRÍTICO - Incumplimiento Normativo SEPS",IF(AND(Y1383="Implementado",Z1383&lt;&gt;"",OR(LEFT(AA1383,2)="L4",LEFT(AA1383,2)="L5"),AB1383&lt;&gt;"",AC1383&lt;&gt;"",AC1383&lt;&gt;"N/A"),"CONFORME - Control Efectivo ISO 27001","OBSERVACIÓN - Revisar Controles")))</f>
        <v/>
      </c>
    </row>
    <row r="1384">
      <c r="A1384" s="99"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c r="AD1384">
        <f>IF(AND(Y1384="",Z1384="",AA1384="",AB1384="",AC1384=""),"",IF(OR(LEFT(AA1384,2)="L0",LEFT(AA1384,2)="L1",Y1384="No Iniciado"),"CRÍTICO - Incumplimiento Normativo SEPS",IF(AND(Y1384="Implementado",Z1384&lt;&gt;"",OR(LEFT(AA1384,2)="L4",LEFT(AA1384,2)="L5"),AB1384&lt;&gt;"",AC1384&lt;&gt;"",AC1384&lt;&gt;"N/A"),"CONFORME - Control Efectivo ISO 27001","OBSERVACIÓN - Revisar Controles")))</f>
        <v/>
      </c>
    </row>
    <row r="1385">
      <c r="A1385" s="99"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c r="AD1385">
        <f>IF(AND(Y1385="",Z1385="",AA1385="",AB1385="",AC1385=""),"",IF(OR(LEFT(AA1385,2)="L0",LEFT(AA1385,2)="L1",Y1385="No Iniciado"),"CRÍTICO - Incumplimiento Normativo SEPS",IF(AND(Y1385="Implementado",Z1385&lt;&gt;"",OR(LEFT(AA1385,2)="L4",LEFT(AA1385,2)="L5"),AB1385&lt;&gt;"",AC1385&lt;&gt;"",AC1385&lt;&gt;"N/A"),"CONFORME - Control Efectivo ISO 27001","OBSERVACIÓN - Revisar Controles")))</f>
        <v/>
      </c>
    </row>
    <row r="1386">
      <c r="A1386" s="99"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c r="AD1386">
        <f>IF(AND(Y1386="",Z1386="",AA1386="",AB1386="",AC1386=""),"",IF(OR(LEFT(AA1386,2)="L0",LEFT(AA1386,2)="L1",Y1386="No Iniciado"),"CRÍTICO - Incumplimiento Normativo SEPS",IF(AND(Y1386="Implementado",Z1386&lt;&gt;"",OR(LEFT(AA1386,2)="L4",LEFT(AA1386,2)="L5"),AB1386&lt;&gt;"",AC1386&lt;&gt;"",AC1386&lt;&gt;"N/A"),"CONFORME - Control Efectivo ISO 27001","OBSERVACIÓN - Revisar Controles")))</f>
        <v/>
      </c>
    </row>
    <row r="1387">
      <c r="A1387" s="99"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c r="AD1387">
        <f>IF(AND(Y1387="",Z1387="",AA1387="",AB1387="",AC1387=""),"",IF(OR(LEFT(AA1387,2)="L0",LEFT(AA1387,2)="L1",Y1387="No Iniciado"),"CRÍTICO - Incumplimiento Normativo SEPS",IF(AND(Y1387="Implementado",Z1387&lt;&gt;"",OR(LEFT(AA1387,2)="L4",LEFT(AA1387,2)="L5"),AB1387&lt;&gt;"",AC1387&lt;&gt;"",AC1387&lt;&gt;"N/A"),"CONFORME - Control Efectivo ISO 27001","OBSERVACIÓN - Revisar Controles")))</f>
        <v/>
      </c>
    </row>
    <row r="1388">
      <c r="A1388" s="99"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c r="AD1388">
        <f>IF(AND(Y1388="",Z1388="",AA1388="",AB1388="",AC1388=""),"",IF(OR(LEFT(AA1388,2)="L0",LEFT(AA1388,2)="L1",Y1388="No Iniciado"),"CRÍTICO - Incumplimiento Normativo SEPS",IF(AND(Y1388="Implementado",Z1388&lt;&gt;"",OR(LEFT(AA1388,2)="L4",LEFT(AA1388,2)="L5"),AB1388&lt;&gt;"",AC1388&lt;&gt;"",AC1388&lt;&gt;"N/A"),"CONFORME - Control Efectivo ISO 27001","OBSERVACIÓN - Revisar Controles")))</f>
        <v/>
      </c>
    </row>
    <row r="1389">
      <c r="A1389" s="99"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c r="AD1389">
        <f>IF(AND(Y1389="",Z1389="",AA1389="",AB1389="",AC1389=""),"",IF(OR(LEFT(AA1389,2)="L0",LEFT(AA1389,2)="L1",Y1389="No Iniciado"),"CRÍTICO - Incumplimiento Normativo SEPS",IF(AND(Y1389="Implementado",Z1389&lt;&gt;"",OR(LEFT(AA1389,2)="L4",LEFT(AA1389,2)="L5"),AB1389&lt;&gt;"",AC1389&lt;&gt;"",AC1389&lt;&gt;"N/A"),"CONFORME - Control Efectivo ISO 27001","OBSERVACIÓN - Revisar Controles")))</f>
        <v/>
      </c>
    </row>
    <row r="1390">
      <c r="A1390" s="99"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c r="AD1390">
        <f>IF(AND(Y1390="",Z1390="",AA1390="",AB1390="",AC1390=""),"",IF(OR(LEFT(AA1390,2)="L0",LEFT(AA1390,2)="L1",Y1390="No Iniciado"),"CRÍTICO - Incumplimiento Normativo SEPS",IF(AND(Y1390="Implementado",Z1390&lt;&gt;"",OR(LEFT(AA1390,2)="L4",LEFT(AA1390,2)="L5"),AB1390&lt;&gt;"",AC1390&lt;&gt;"",AC1390&lt;&gt;"N/A"),"CONFORME - Control Efectivo ISO 27001","OBSERVACIÓN - Revisar Controles")))</f>
        <v/>
      </c>
    </row>
    <row r="1391">
      <c r="A1391" s="99"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c r="AD1391">
        <f>IF(AND(Y1391="",Z1391="",AA1391="",AB1391="",AC1391=""),"",IF(OR(LEFT(AA1391,2)="L0",LEFT(AA1391,2)="L1",Y1391="No Iniciado"),"CRÍTICO - Incumplimiento Normativo SEPS",IF(AND(Y1391="Implementado",Z1391&lt;&gt;"",OR(LEFT(AA1391,2)="L4",LEFT(AA1391,2)="L5"),AB1391&lt;&gt;"",AC1391&lt;&gt;"",AC1391&lt;&gt;"N/A"),"CONFORME - Control Efectivo ISO 27001","OBSERVACIÓN - Revisar Controles")))</f>
        <v/>
      </c>
    </row>
    <row r="1392">
      <c r="A1392" s="99"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c r="AD1392">
        <f>IF(AND(Y1392="",Z1392="",AA1392="",AB1392="",AC1392=""),"",IF(OR(LEFT(AA1392,2)="L0",LEFT(AA1392,2)="L1",Y1392="No Iniciado"),"CRÍTICO - Incumplimiento Normativo SEPS",IF(AND(Y1392="Implementado",Z1392&lt;&gt;"",OR(LEFT(AA1392,2)="L4",LEFT(AA1392,2)="L5"),AB1392&lt;&gt;"",AC1392&lt;&gt;"",AC1392&lt;&gt;"N/A"),"CONFORME - Control Efectivo ISO 27001","OBSERVACIÓN - Revisar Controles")))</f>
        <v/>
      </c>
    </row>
    <row r="1393">
      <c r="A1393" s="99"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c r="AD1393">
        <f>IF(AND(Y1393="",Z1393="",AA1393="",AB1393="",AC1393=""),"",IF(OR(LEFT(AA1393,2)="L0",LEFT(AA1393,2)="L1",Y1393="No Iniciado"),"CRÍTICO - Incumplimiento Normativo SEPS",IF(AND(Y1393="Implementado",Z1393&lt;&gt;"",OR(LEFT(AA1393,2)="L4",LEFT(AA1393,2)="L5"),AB1393&lt;&gt;"",AC1393&lt;&gt;"",AC1393&lt;&gt;"N/A"),"CONFORME - Control Efectivo ISO 27001","OBSERVACIÓN - Revisar Controles")))</f>
        <v/>
      </c>
    </row>
    <row r="1394">
      <c r="A1394" s="99"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c r="AD1394">
        <f>IF(AND(Y1394="",Z1394="",AA1394="",AB1394="",AC1394=""),"",IF(OR(LEFT(AA1394,2)="L0",LEFT(AA1394,2)="L1",Y1394="No Iniciado"),"CRÍTICO - Incumplimiento Normativo SEPS",IF(AND(Y1394="Implementado",Z1394&lt;&gt;"",OR(LEFT(AA1394,2)="L4",LEFT(AA1394,2)="L5"),AB1394&lt;&gt;"",AC1394&lt;&gt;"",AC1394&lt;&gt;"N/A"),"CONFORME - Control Efectivo ISO 27001","OBSERVACIÓN - Revisar Controles")))</f>
        <v/>
      </c>
    </row>
    <row r="1395">
      <c r="A1395" s="99"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c r="AD1395">
        <f>IF(AND(Y1395="",Z1395="",AA1395="",AB1395="",AC1395=""),"",IF(OR(LEFT(AA1395,2)="L0",LEFT(AA1395,2)="L1",Y1395="No Iniciado"),"CRÍTICO - Incumplimiento Normativo SEPS",IF(AND(Y1395="Implementado",Z1395&lt;&gt;"",OR(LEFT(AA1395,2)="L4",LEFT(AA1395,2)="L5"),AB1395&lt;&gt;"",AC1395&lt;&gt;"",AC1395&lt;&gt;"N/A"),"CONFORME - Control Efectivo ISO 27001","OBSERVACIÓN - Revisar Controles")))</f>
        <v/>
      </c>
    </row>
    <row r="1396" ht="20.45" customHeight="1" s="106">
      <c r="A1396" s="99"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c r="AD1396">
        <f>IF(AND(Y1396="",Z1396="",AA1396="",AB1396="",AC1396=""),"",IF(OR(LEFT(AA1396,2)="L0",LEFT(AA1396,2)="L1",Y1396="No Iniciado"),"CRÍTICO - Incumplimiento Normativo SEPS",IF(AND(Y1396="Implementado",Z1396&lt;&gt;"",OR(LEFT(AA1396,2)="L4",LEFT(AA1396,2)="L5"),AB1396&lt;&gt;"",AC1396&lt;&gt;"",AC1396&lt;&gt;"N/A"),"CONFORME - Control Efectivo ISO 27001","OBSERVACIÓN - Revisar Controles")))</f>
        <v/>
      </c>
    </row>
    <row r="1397">
      <c r="A1397" s="99"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c r="AD1397">
        <f>IF(AND(Y1397="",Z1397="",AA1397="",AB1397="",AC1397=""),"",IF(OR(LEFT(AA1397,2)="L0",LEFT(AA1397,2)="L1",Y1397="No Iniciado"),"CRÍTICO - Incumplimiento Normativo SEPS",IF(AND(Y1397="Implementado",Z1397&lt;&gt;"",OR(LEFT(AA1397,2)="L4",LEFT(AA1397,2)="L5"),AB1397&lt;&gt;"",AC1397&lt;&gt;"",AC1397&lt;&gt;"N/A"),"CONFORME - Control Efectivo ISO 27001","OBSERVACIÓN - Revisar Controles")))</f>
        <v/>
      </c>
    </row>
    <row r="1398">
      <c r="A1398" s="99"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c r="AD1398">
        <f>IF(AND(Y1398="",Z1398="",AA1398="",AB1398="",AC1398=""),"",IF(OR(LEFT(AA1398,2)="L0",LEFT(AA1398,2)="L1",Y1398="No Iniciado"),"CRÍTICO - Incumplimiento Normativo SEPS",IF(AND(Y1398="Implementado",Z1398&lt;&gt;"",OR(LEFT(AA1398,2)="L4",LEFT(AA1398,2)="L5"),AB1398&lt;&gt;"",AC1398&lt;&gt;"",AC1398&lt;&gt;"N/A"),"CONFORME - Control Efectivo ISO 27001","OBSERVACIÓN - Revisar Controles")))</f>
        <v/>
      </c>
    </row>
    <row r="1399">
      <c r="A1399" s="99"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c r="AD1399">
        <f>IF(AND(Y1399="",Z1399="",AA1399="",AB1399="",AC1399=""),"",IF(OR(LEFT(AA1399,2)="L0",LEFT(AA1399,2)="L1",Y1399="No Iniciado"),"CRÍTICO - Incumplimiento Normativo SEPS",IF(AND(Y1399="Implementado",Z1399&lt;&gt;"",OR(LEFT(AA1399,2)="L4",LEFT(AA1399,2)="L5"),AB1399&lt;&gt;"",AC1399&lt;&gt;"",AC1399&lt;&gt;"N/A"),"CONFORME - Control Efectivo ISO 27001","OBSERVACIÓN - Revisar Controles")))</f>
        <v/>
      </c>
    </row>
    <row r="1400">
      <c r="A1400" s="99"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c r="AD1400">
        <f>IF(AND(Y1400="",Z1400="",AA1400="",AB1400="",AC1400=""),"",IF(OR(LEFT(AA1400,2)="L0",LEFT(AA1400,2)="L1",Y1400="No Iniciado"),"CRÍTICO - Incumplimiento Normativo SEPS",IF(AND(Y1400="Implementado",Z1400&lt;&gt;"",OR(LEFT(AA1400,2)="L4",LEFT(AA1400,2)="L5"),AB1400&lt;&gt;"",AC1400&lt;&gt;"",AC1400&lt;&gt;"N/A"),"CONFORME - Control Efectivo ISO 27001","OBSERVACIÓN - Revisar Controles")))</f>
        <v/>
      </c>
    </row>
    <row r="1401">
      <c r="A1401" s="99"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c r="AD1401">
        <f>IF(AND(Y1401="",Z1401="",AA1401="",AB1401="",AC1401=""),"",IF(OR(LEFT(AA1401,2)="L0",LEFT(AA1401,2)="L1",Y1401="No Iniciado"),"CRÍTICO - Incumplimiento Normativo SEPS",IF(AND(Y1401="Implementado",Z1401&lt;&gt;"",OR(LEFT(AA1401,2)="L4",LEFT(AA1401,2)="L5"),AB1401&lt;&gt;"",AC1401&lt;&gt;"",AC1401&lt;&gt;"N/A"),"CONFORME - Control Efectivo ISO 27001","OBSERVACIÓN - Revisar Controles")))</f>
        <v/>
      </c>
    </row>
    <row r="1402">
      <c r="A1402" s="99"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c r="AD1402">
        <f>IF(AND(Y1402="",Z1402="",AA1402="",AB1402="",AC1402=""),"",IF(OR(LEFT(AA1402,2)="L0",LEFT(AA1402,2)="L1",Y1402="No Iniciado"),"CRÍTICO - Incumplimiento Normativo SEPS",IF(AND(Y1402="Implementado",Z1402&lt;&gt;"",OR(LEFT(AA1402,2)="L4",LEFT(AA1402,2)="L5"),AB1402&lt;&gt;"",AC1402&lt;&gt;"",AC1402&lt;&gt;"N/A"),"CONFORME - Control Efectivo ISO 27001","OBSERVACIÓN - Revisar Controles")))</f>
        <v/>
      </c>
    </row>
    <row r="1403">
      <c r="A1403" s="99"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c r="AD1403">
        <f>IF(AND(Y1403="",Z1403="",AA1403="",AB1403="",AC1403=""),"",IF(OR(LEFT(AA1403,2)="L0",LEFT(AA1403,2)="L1",Y1403="No Iniciado"),"CRÍTICO - Incumplimiento Normativo SEPS",IF(AND(Y1403="Implementado",Z1403&lt;&gt;"",OR(LEFT(AA1403,2)="L4",LEFT(AA1403,2)="L5"),AB1403&lt;&gt;"",AC1403&lt;&gt;"",AC1403&lt;&gt;"N/A"),"CONFORME - Control Efectivo ISO 27001","OBSERVACIÓN - Revisar Controles")))</f>
        <v/>
      </c>
    </row>
    <row r="1404">
      <c r="A1404" s="99"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c r="AD1404">
        <f>IF(AND(Y1404="",Z1404="",AA1404="",AB1404="",AC1404=""),"",IF(OR(LEFT(AA1404,2)="L0",LEFT(AA1404,2)="L1",Y1404="No Iniciado"),"CRÍTICO - Incumplimiento Normativo SEPS",IF(AND(Y1404="Implementado",Z1404&lt;&gt;"",OR(LEFT(AA1404,2)="L4",LEFT(AA1404,2)="L5"),AB1404&lt;&gt;"",AC1404&lt;&gt;"",AC1404&lt;&gt;"N/A"),"CONFORME - Control Efectivo ISO 27001","OBSERVACIÓN - Revisar Controles")))</f>
        <v/>
      </c>
    </row>
    <row r="1405">
      <c r="A1405" s="99"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c r="AD1405">
        <f>IF(AND(Y1405="",Z1405="",AA1405="",AB1405="",AC1405=""),"",IF(OR(LEFT(AA1405,2)="L0",LEFT(AA1405,2)="L1",Y1405="No Iniciado"),"CRÍTICO - Incumplimiento Normativo SEPS",IF(AND(Y1405="Implementado",Z1405&lt;&gt;"",OR(LEFT(AA1405,2)="L4",LEFT(AA1405,2)="L5"),AB1405&lt;&gt;"",AC1405&lt;&gt;"",AC1405&lt;&gt;"N/A"),"CONFORME - Control Efectivo ISO 27001","OBSERVACIÓN - Revisar Controles")))</f>
        <v/>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c r="AD1406">
        <f>IF(AND(Y1406="",Z1406="",AA1406="",AB1406="",AC1406=""),"",IF(OR(LEFT(AA1406,2)="L0",LEFT(AA1406,2)="L1",Y1406="No Iniciado"),"CRÍTICO - Incumplimiento Normativo SEPS",IF(AND(Y1406="Implementado",Z1406&lt;&gt;"",OR(LEFT(AA1406,2)="L4",LEFT(AA1406,2)="L5"),AB1406&lt;&gt;"",AC1406&lt;&gt;"",AC1406&lt;&gt;"N/A"),"CONFORME - Control Efectivo ISO 27001","OBSERVACIÓN - Revisar Controles")))</f>
        <v/>
      </c>
    </row>
    <row r="1407"/>
  </sheetData>
  <autoFilter ref="Y2:AC1406"/>
  <mergeCells count="3">
    <mergeCell ref="P1:R1"/>
    <mergeCell ref="S1:T1"/>
    <mergeCell ref="B1:G1"/>
  </mergeCells>
  <conditionalFormatting sqref="AD3:AD1406">
    <cfRule type="cellIs" priority="1" operator="equal" dxfId="80" stopIfTrue="0">
      <formula>"CRÍTICO - Incumplimiento Normativo SEPS"</formula>
    </cfRule>
    <cfRule type="cellIs" priority="2" operator="equal" dxfId="81" stopIfTrue="0">
      <formula>"CONFORME - Control Efectivo ISO 27001"</formula>
    </cfRule>
    <cfRule type="cellIs" priority="3" operator="equal" dxfId="82" stopIfTrue="0">
      <formula>"OBSERVACIÓN - Revisar Controles"</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2:C59"/>
  <sheetViews>
    <sheetView tabSelected="1" zoomScale="115" zoomScaleNormal="115" workbookViewId="0">
      <selection activeCell="B2" sqref="B2:B59"/>
    </sheetView>
  </sheetViews>
  <sheetFormatPr baseColWidth="10" defaultRowHeight="11.25"/>
  <cols>
    <col width="17.5" customWidth="1" style="106" min="1" max="1"/>
    <col width="57.1640625" customWidth="1" style="106" min="2" max="2"/>
    <col width="69.1640625" customWidth="1" style="16" min="3" max="3"/>
  </cols>
  <sheetData>
    <row r="2">
      <c r="A2" s="112" t="n"/>
      <c r="B2" s="111" t="inlineStr">
        <is>
          <t>Nivel de Madurez y efectivifad Magerit</t>
        </is>
      </c>
    </row>
    <row r="3">
      <c r="B3" s="112" t="n"/>
    </row>
    <row r="4">
      <c r="B4" s="108" t="inlineStr">
        <is>
          <t>L0 Inexistente</t>
        </is>
      </c>
      <c r="C4" s="16" t="inlineStr">
        <is>
          <t>La salvaguarda no está implementada en absoluto</t>
        </is>
      </c>
    </row>
    <row r="5" ht="22.5" customHeight="1" s="106">
      <c r="B5" s="108" t="inlineStr">
        <is>
          <t>L1 Inicial / Ad Hoc</t>
        </is>
      </c>
      <c r="C5" s="16" t="inlineStr">
        <is>
          <t>El control se ejecuta de manera improvisada. Las personas actúan reactivamente y no existen pautas definidas</t>
        </is>
      </c>
    </row>
    <row r="6" ht="33.75" customHeight="1" s="106">
      <c r="B6" s="108" t="inlineStr">
        <is>
          <t>L2 Reproducible pero Intuitivo</t>
        </is>
      </c>
      <c r="C6" s="16" t="inlineStr">
        <is>
          <t>Las tareas de control se repiten de forma similar ante incidentes, pero dependen enteramente del conocimiento intuitivo de las personas (no están formalizadas ni escritas).</t>
        </is>
      </c>
    </row>
    <row r="7" ht="22.5" customHeight="1" s="106">
      <c r="B7" s="108" t="inlineStr">
        <is>
          <t>L3 Proceso Definido</t>
        </is>
      </c>
      <c r="C7" s="16" t="inlineStr">
        <is>
          <t>El control está plenamente documentado, formalizado en políticas o manuales oficiales, y los empleados han sido capacitados para usarlo</t>
        </is>
      </c>
    </row>
    <row r="8" ht="22.5" customHeight="1" s="106">
      <c r="B8" s="108" t="inlineStr">
        <is>
          <t>L4 Gestionado y Medible</t>
        </is>
      </c>
      <c r="C8" s="16" t="inlineStr">
        <is>
          <t>Además de estar documentado, el control se monitorea continuamente mediante métricas o indicadores clave (KRI) para medir su efectividad real</t>
        </is>
      </c>
    </row>
    <row r="9" ht="22.5" customHeight="1" s="106">
      <c r="B9" s="108" t="inlineStr">
        <is>
          <t>L5 Optimizado</t>
        </is>
      </c>
      <c r="C9" s="16" t="inlineStr">
        <is>
          <t>El control forma parte de un ciclo de mejora continua (PDCA), donde los fallos se corrigen sistemáticamente y la medida se adapta a los cambios del entorno.</t>
        </is>
      </c>
    </row>
    <row r="12">
      <c r="B12" s="113" t="inlineStr">
        <is>
          <t xml:space="preserve">Implementacion </t>
        </is>
      </c>
    </row>
    <row r="13">
      <c r="B13" s="112" t="n"/>
      <c r="C13" s="112" t="n"/>
    </row>
    <row r="14" ht="22.5" customHeight="1" s="106">
      <c r="B14" s="114" t="inlineStr">
        <is>
          <t>Implementado</t>
        </is>
      </c>
      <c r="C14" s="112" t="inlineStr">
        <is>
          <t>El control existe, está operativo y se ejecuta de forma regular con evidencia auditable.</t>
        </is>
      </c>
    </row>
    <row r="15" ht="22.5" customHeight="1" s="106">
      <c r="B15" s="114" t="inlineStr">
        <is>
          <t>En proceso</t>
        </is>
      </c>
      <c r="C15" s="112" t="inlineStr">
        <is>
          <t>El control está diseñado o en fase de despliegue, pero aún no está 100% operativo o requiere ajustes.</t>
        </is>
      </c>
    </row>
    <row r="16" ht="22.5" customHeight="1" s="106">
      <c r="B16" s="114" t="inlineStr">
        <is>
          <t>No Iniciado</t>
        </is>
      </c>
      <c r="C16" s="112" t="inlineStr">
        <is>
          <t>El control es necesario (aplica), pero aún no se ha tomado ninguna medida operativa para su desarrollo.</t>
        </is>
      </c>
    </row>
    <row r="17" ht="22.5" customHeight="1" s="106">
      <c r="B17" s="114" t="inlineStr">
        <is>
          <t>No Aplica</t>
        </is>
      </c>
      <c r="C17" s="112" t="inlineStr">
        <is>
          <t>El control ha sido formalmente excluido mediante justificación técnica aprobada por la administración.</t>
        </is>
      </c>
    </row>
    <row r="20">
      <c r="B20" s="113" t="inlineStr">
        <is>
          <t>Tipo de Protección</t>
        </is>
      </c>
    </row>
    <row r="21">
      <c r="B21" s="114" t="n"/>
    </row>
    <row r="22" ht="22.5" customHeight="1" s="106">
      <c r="B22" s="114" t="inlineStr">
        <is>
          <t>PREVENTIVO</t>
        </is>
      </c>
      <c r="C22" s="16" t="inlineStr">
        <is>
          <t>Diseñado para evitar que ocurra un incidente de seguridad (ej. políticas, cifrado, firewall, concientización).</t>
        </is>
      </c>
    </row>
    <row r="23" ht="22.5" customHeight="1" s="106">
      <c r="B23" t="inlineStr">
        <is>
          <t>DETECTIVO</t>
        </is>
      </c>
      <c r="C23" s="16" t="inlineStr">
        <is>
          <t>Diseñado para identificar, registrar o alertar cuando ocurre una anomalía o evento inusual (ej. análisis de logs, escaneos, monitoreo).</t>
        </is>
      </c>
    </row>
    <row r="24" ht="22.5" customHeight="1" s="106">
      <c r="B24" t="inlineStr">
        <is>
          <t>ADMINISTRACION</t>
        </is>
      </c>
      <c r="C24" s="16" t="inlineStr">
        <is>
          <t>Enfocado en la gobernanza, procesos de control y aprobaciones documentadas (ej. gestión de cambios, matrices de roles)</t>
        </is>
      </c>
    </row>
    <row r="25" ht="22.5" customHeight="1" s="106">
      <c r="B25" t="inlineStr">
        <is>
          <t>RECUPERACION</t>
        </is>
      </c>
      <c r="C25" s="16" t="inlineStr">
        <is>
          <t>Diseñado para restaurar la continuidad operativa y mitigar las consecuencias de un incidente materializado (ej. DRP, backups).</t>
        </is>
      </c>
    </row>
    <row r="26" ht="22.5" customHeight="1" s="106">
      <c r="B26" t="inlineStr">
        <is>
          <t>ELIMINACION</t>
        </is>
      </c>
      <c r="C26" s="16" t="inlineStr">
        <is>
          <t>Medidas drásticas que anulan de raíz la posibilidad de que se explote una vulnerabilidad (ej. eliminar accesos genéricos, retirar tecnología obsoleta).</t>
        </is>
      </c>
    </row>
    <row r="29">
      <c r="B29" s="113" t="inlineStr">
        <is>
          <t>Riesgos / Amenazas que Mitiga Magerit</t>
        </is>
      </c>
    </row>
    <row r="30">
      <c r="A30" s="111" t="n"/>
      <c r="B30" s="114" t="n"/>
    </row>
    <row r="31" ht="22.5" customHeight="1" s="106">
      <c r="A31" s="111" t="inlineStr">
        <is>
          <t>Ataques Intencionados [A]</t>
        </is>
      </c>
      <c r="B31" s="112" t="inlineStr">
        <is>
          <t>[A.5] Suplantación de la identidad del usuario</t>
        </is>
      </c>
    </row>
    <row r="32">
      <c r="B32" s="112" t="inlineStr">
        <is>
          <t>[A.6] Abuso de privilegios de acceso</t>
        </is>
      </c>
    </row>
    <row r="33">
      <c r="B33" s="112" t="inlineStr">
        <is>
          <t>[A.7] Uso no previsto</t>
        </is>
      </c>
    </row>
    <row r="34">
      <c r="B34" s="112" t="inlineStr">
        <is>
          <t>[A.11] Acceso no autorizado</t>
        </is>
      </c>
    </row>
    <row r="35">
      <c r="B35" s="112" t="inlineStr">
        <is>
          <t>[A.19] Divulgación de información</t>
        </is>
      </c>
    </row>
    <row r="36">
      <c r="B36" s="112" t="inlineStr">
        <is>
          <t>[A.24] Denegación de servicio</t>
        </is>
      </c>
    </row>
    <row r="37">
      <c r="B37" s="112" t="inlineStr">
        <is>
          <t>[A.25] Robo</t>
        </is>
      </c>
    </row>
    <row r="38">
      <c r="B38" s="112" t="inlineStr">
        <is>
          <t>[A.30] Ingeniería social (Phishing)</t>
        </is>
      </c>
    </row>
    <row r="39" ht="33.75" customHeight="1" s="106">
      <c r="A39" s="111" t="inlineStr">
        <is>
          <t>Errores y fallos no intencionados [E]</t>
        </is>
      </c>
      <c r="B39" s="112" t="inlineStr">
        <is>
          <t>[E.2] Errores del administrador</t>
        </is>
      </c>
    </row>
    <row r="40">
      <c r="A40" s="111" t="n"/>
      <c r="B40" s="112" t="inlineStr">
        <is>
          <t>[E.18] Destrucción de información</t>
        </is>
      </c>
    </row>
    <row r="41">
      <c r="B41" s="112" t="inlineStr">
        <is>
          <t>[E.19] Fugas de información</t>
        </is>
      </c>
    </row>
    <row r="42">
      <c r="B42" s="112" t="inlineStr">
        <is>
          <t>[E.20] Vulnerabilidades de los programas (software)</t>
        </is>
      </c>
    </row>
    <row r="43" ht="22.5" customHeight="1" s="106">
      <c r="B43" s="112" t="inlineStr">
        <is>
          <t>[E.23] Errores de mantenimiento / actualización de equipos (hardware)</t>
        </is>
      </c>
    </row>
    <row r="44">
      <c r="B44" s="112" t="inlineStr">
        <is>
          <t>[E.24] Caída del sistema por agotamiento de recursos</t>
        </is>
      </c>
    </row>
    <row r="45">
      <c r="B45" s="112" t="inlineStr">
        <is>
          <t>[E.25] Pérdida de equipos</t>
        </is>
      </c>
      <c r="C45" s="90" t="n"/>
    </row>
    <row r="46">
      <c r="B46" s="112" t="inlineStr">
        <is>
          <t>[E.28] Indisponibilidad del personal</t>
        </is>
      </c>
    </row>
    <row r="47" ht="22.5" customHeight="1" s="106">
      <c r="A47" s="111" t="inlineStr">
        <is>
          <t>Desastres naturales [N]</t>
        </is>
      </c>
      <c r="B47" s="112" t="inlineStr">
        <is>
          <t>[N.1] Fuego</t>
        </is>
      </c>
    </row>
    <row r="48">
      <c r="B48" s="112" t="inlineStr">
        <is>
          <t>[N.2] Daños por agua</t>
        </is>
      </c>
    </row>
    <row r="49">
      <c r="A49" s="111" t="n"/>
    </row>
    <row r="51">
      <c r="B51" s="111" t="inlineStr">
        <is>
          <t>Evidencia</t>
        </is>
      </c>
    </row>
    <row r="53">
      <c r="B53" t="inlineStr">
        <is>
          <t>Manual de Políticas de Seguridad de la Información (MPSI)</t>
        </is>
      </c>
    </row>
    <row r="54">
      <c r="B54" t="inlineStr">
        <is>
          <t>Manual de Gestión de Seguridad de la Información (MGSI)</t>
        </is>
      </c>
    </row>
    <row r="55">
      <c r="B55" t="inlineStr">
        <is>
          <t>Matriz de Roles y Perfiles</t>
        </is>
      </c>
    </row>
    <row r="56">
      <c r="B56" t="inlineStr">
        <is>
          <t>Informe Técnico de Pentesting / Ethical Hacking</t>
        </is>
      </c>
    </row>
    <row r="57">
      <c r="B57" t="inlineStr">
        <is>
          <t>Bitácora de Seguridad de la Información</t>
        </is>
      </c>
    </row>
    <row r="58">
      <c r="B58" t="inlineStr">
        <is>
          <t>Contrato de Proveedor / Terceros</t>
        </is>
      </c>
    </row>
    <row r="59">
      <c r="B59" t="inlineStr">
        <is>
          <t>Acta de Respaldos y Resguardo</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1.25"/>
  <cols>
    <col width="29" bestFit="1" customWidth="1" style="106" min="1" max="1"/>
    <col width="16.5" customWidth="1" style="106" min="2" max="2"/>
    <col width="20.6640625" customWidth="1" style="106" min="3" max="3"/>
    <col width="24.1640625" bestFit="1" customWidth="1" style="106" min="4" max="4"/>
  </cols>
  <sheetData>
    <row r="1">
      <c r="A1" s="100" t="inlineStr">
        <is>
          <t>PROBABILIDAD</t>
        </is>
      </c>
      <c r="B1" s="101" t="n"/>
      <c r="C1" s="101" t="n"/>
      <c r="D1" s="101" t="n"/>
    </row>
    <row r="2" ht="25.5" customHeight="1" s="106">
      <c r="A2" s="1" t="inlineStr">
        <is>
          <t>Descripción</t>
        </is>
      </c>
      <c r="B2" s="1" t="inlineStr">
        <is>
          <t>Nivel</t>
        </is>
      </c>
      <c r="C2" s="9" t="inlineStr">
        <is>
          <t xml:space="preserve">Porcentaje de ocurrencia del evento </t>
        </is>
      </c>
      <c r="D2" s="9" t="inlineStr">
        <is>
          <t>Frecuencia</t>
        </is>
      </c>
    </row>
    <row r="3" ht="12" customHeight="1" s="106">
      <c r="A3" s="2" t="inlineStr">
        <is>
          <t>Muy Baja</t>
        </is>
      </c>
      <c r="B3" s="3" t="n">
        <v>1</v>
      </c>
      <c r="C3" s="3" t="inlineStr">
        <is>
          <t>0,00% al 4,64%</t>
        </is>
      </c>
      <c r="D3" s="4" t="inlineStr">
        <is>
          <t>Ocurre una vez al año</t>
        </is>
      </c>
    </row>
    <row r="4" ht="12" customHeight="1" s="106">
      <c r="A4" s="5" t="inlineStr">
        <is>
          <t>Baja</t>
        </is>
      </c>
      <c r="B4" s="3" t="n">
        <v>2</v>
      </c>
      <c r="C4" s="3" t="inlineStr">
        <is>
          <t>4,65% al 7,60%</t>
        </is>
      </c>
      <c r="D4" s="4" t="inlineStr">
        <is>
          <t>Ocurre una vez al mes</t>
        </is>
      </c>
    </row>
    <row r="5" ht="20.45" customHeight="1" s="106">
      <c r="A5" s="6" t="inlineStr">
        <is>
          <t>Media</t>
        </is>
      </c>
      <c r="B5" s="3" t="n">
        <v>3</v>
      </c>
      <c r="C5" s="3" t="inlineStr">
        <is>
          <t>7.61% al 28,26%</t>
        </is>
      </c>
      <c r="D5" s="4" t="inlineStr">
        <is>
          <t>Ocurre una vez a la semana</t>
        </is>
      </c>
    </row>
    <row r="6" ht="12" customHeight="1" s="106">
      <c r="A6" s="7" t="inlineStr">
        <is>
          <t>Alta</t>
        </is>
      </c>
      <c r="B6" s="3" t="n">
        <v>4</v>
      </c>
      <c r="C6" s="3" t="inlineStr">
        <is>
          <t>28,27% al 40,70%</t>
        </is>
      </c>
      <c r="D6" s="4" t="inlineStr">
        <is>
          <t>Ocurre una vez al día</t>
        </is>
      </c>
    </row>
    <row r="7" ht="24" customHeight="1" s="106">
      <c r="A7" s="8" t="inlineStr">
        <is>
          <t>Muy Alta</t>
        </is>
      </c>
      <c r="B7" s="3" t="n">
        <v>5</v>
      </c>
      <c r="C7" s="3" t="inlineStr">
        <is>
          <t>40,71% al 100%</t>
        </is>
      </c>
      <c r="D7" s="4" t="inlineStr">
        <is>
          <t>Ocurre varias veces al día.</t>
        </is>
      </c>
    </row>
    <row r="9">
      <c r="A9" s="100" t="inlineStr">
        <is>
          <t>IMPACTO/DEGRADACIÓN</t>
        </is>
      </c>
      <c r="B9" s="101"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102" t="inlineStr">
        <is>
          <t>NIVEL DE RIESGO DE SEGURIDAD = IMPACTO * PROBABILIDAD</t>
        </is>
      </c>
      <c r="B17" s="98" t="n"/>
      <c r="C17" s="98" t="n"/>
      <c r="D17" s="98" t="n"/>
      <c r="E17" s="98" t="n"/>
      <c r="F17" s="99" t="n"/>
      <c r="H17" s="105" t="n"/>
    </row>
    <row r="18">
      <c r="A18" s="103" t="inlineStr">
        <is>
          <t>PROBABILIDAD</t>
        </is>
      </c>
      <c r="B18" s="102" t="inlineStr">
        <is>
          <t>IMPACTO</t>
        </is>
      </c>
      <c r="C18" s="98" t="n"/>
      <c r="D18" s="98" t="n"/>
      <c r="E18" s="98" t="n"/>
      <c r="F18" s="99" t="n"/>
    </row>
    <row r="19">
      <c r="A19" s="104" t="n"/>
      <c r="B19" s="3" t="inlineStr">
        <is>
          <t>Insignificante</t>
        </is>
      </c>
      <c r="C19" s="3" t="inlineStr">
        <is>
          <t>Bajo</t>
        </is>
      </c>
      <c r="D19" s="3" t="inlineStr">
        <is>
          <t>Medio</t>
        </is>
      </c>
      <c r="E19" s="3" t="inlineStr">
        <is>
          <t>Alto</t>
        </is>
      </c>
      <c r="F19" s="3" t="inlineStr">
        <is>
          <t>Severo</t>
        </is>
      </c>
      <c r="H19" s="102" t="inlineStr">
        <is>
          <t>NIVEL DE RIESGO</t>
        </is>
      </c>
      <c r="I19" s="99"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4.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1.25"/>
  <cols>
    <col width="11" bestFit="1" customWidth="1" style="38" min="1" max="1"/>
    <col width="24" customWidth="1" style="38" min="2" max="2"/>
    <col hidden="1" width="24.1640625" customWidth="1" style="112" min="3" max="3"/>
    <col hidden="1" width="32.5" customWidth="1" style="112" min="4" max="4"/>
    <col width="31" bestFit="1" customWidth="1" style="38" min="5" max="5"/>
    <col hidden="1" width="17.1640625" customWidth="1" style="38" min="6" max="9"/>
    <col hidden="1" width="12.6640625" customWidth="1" style="38" min="10" max="11"/>
    <col hidden="1" width="13.6640625" customWidth="1" style="38" min="12" max="12"/>
    <col hidden="1" width="15.6640625" customWidth="1" style="38" min="13" max="13"/>
    <col hidden="1" width="18" customWidth="1" style="38" min="14" max="14"/>
    <col hidden="1" width="15" customWidth="1" style="38" min="15" max="15"/>
    <col hidden="1" width="22.6640625" customWidth="1" style="38" min="16" max="16"/>
    <col hidden="1" width="13.6640625" customWidth="1" style="38" min="17" max="17"/>
    <col hidden="1" width="31.6640625" customWidth="1" style="38" min="18" max="18"/>
    <col hidden="1" width="15" customWidth="1" style="38" min="19" max="19"/>
    <col hidden="1" width="17.1640625" customWidth="1" style="38" min="20" max="20"/>
    <col hidden="1" width="13.6640625" customWidth="1" style="33" min="21" max="21"/>
    <col width="11" customWidth="1" style="106" min="22" max="22"/>
    <col width="14.5" customWidth="1" style="106" min="23" max="23"/>
    <col width="19.1640625" customWidth="1" style="106" min="24" max="24"/>
    <col width="13.1640625" customWidth="1" style="106" min="25" max="25"/>
    <col width="37.1640625" customWidth="1" style="106" min="26" max="26"/>
  </cols>
  <sheetData>
    <row r="1">
      <c r="O1" s="16" t="n"/>
      <c r="P1" s="16" t="n"/>
      <c r="Q1" s="16" t="n"/>
    </row>
    <row r="2" ht="41.1" customHeight="1" s="106">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20.1" customHeight="1" s="106">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6" customHeight="1" s="106">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6" customHeight="1" s="106">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6" customHeight="1" s="106">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s="106">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6" customHeight="1" s="106">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s="106">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6" customHeight="1" s="106">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6" customHeight="1" s="106">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1.1" customHeight="1" s="106">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1.1" customHeight="1" s="106">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1.1" customHeight="1" s="106">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6" customHeight="1" s="106">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6" customHeight="1" s="106">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6" customHeight="1" s="106">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45" customHeight="1" s="106">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6" customHeight="1" s="106">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45" customHeight="1" s="106">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s="106">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6" customHeight="1" s="106">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s="106">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6" customHeight="1" s="106">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6" customHeight="1" s="106">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6" customHeight="1" s="106">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6" customHeight="1" s="106">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1.1" customHeight="1" s="106">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1.1" customHeight="1" s="106">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1.1" customHeight="1" s="106">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1.1" customHeight="1" s="106">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1.1" customHeight="1" s="106">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1.1" customHeight="1" s="106">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s="106">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s="106">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s="106">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6" customHeight="1" s="106">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s="106">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1.1" customHeight="1" s="106">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s="106">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s="106">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s="106">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s="106">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1.1" customHeight="1" s="106">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2.09999999999999" customHeight="1" s="106">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6" customHeight="1" s="106">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s="106">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s="106">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s="106">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s="106">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2.09999999999999" customHeight="1" s="106">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s="106">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s="106">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s="106">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s="106">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s="106">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2.09999999999999" customHeight="1" s="106">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6" customHeight="1" s="106">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1.1" customHeight="1" s="106">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6" customHeight="1" s="106">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6" customHeight="1" s="106">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6" customHeight="1" s="106">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6" customHeight="1" s="106">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1.1" customHeight="1" s="106">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1.1" customHeight="1" s="106">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s="106">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6" customHeight="1" s="106">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6" customHeight="1" s="106">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6" customHeight="1" s="106">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1.1" customHeight="1" s="106">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s="106">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s="106">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s="106">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s="106">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9.1" customHeight="1" s="106">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1.1" customHeight="1" s="106">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s="106">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s="106">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s="106">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s="106">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s="106">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1.1" customHeight="1" s="106">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6" customHeight="1" s="106">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6" customHeight="1" s="106">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6" customHeight="1" s="106">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6" customHeight="1" s="106">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6" customHeight="1" s="106">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6" customHeight="1" s="106">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s="106">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1.1" customHeight="1" s="106">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1.1" customHeight="1" s="106">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1.1" customHeight="1" s="106">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6" customHeight="1" s="106">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6" customHeight="1" s="106">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1.1" customHeight="1" s="106">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1.1" customHeight="1" s="106">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6" customHeight="1" s="106">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s="106">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s="106">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s="106">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s="106">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s="106">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35" customHeight="1" s="106">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35" customHeight="1" s="106">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35" customHeight="1" s="106">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35" customHeight="1" s="106">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s="106">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s="106">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s="106">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s="106">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s="106">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s="106">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s="106">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s="106">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s="106">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s="106">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s="106">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s="106">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s="106">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s="106">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s="106">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s="106">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s="106">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s="106">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s="106">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s="106">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s="106">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s="106">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s="106">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s="106">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s="106">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45" customHeight="1" s="106">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s="106">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s="106">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s="106">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s="106">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s="106">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s="106">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s="106">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s="106">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s="106">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s="106">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s="106">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s="106">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s="106">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s="106">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1.1" customHeight="1" s="106">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5.1" customHeight="1" s="106">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s="106">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s="106">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s="106">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s="106">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1.1" customHeight="1" s="106">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s="106">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6" customHeight="1" s="106">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35" customHeight="1" s="106">
      <c r="A156" s="99"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35" customHeight="1" s="106">
      <c r="A157" s="99"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6" customHeight="1" s="106">
      <c r="A158" s="99"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6" customHeight="1" s="106">
      <c r="A159" s="99"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1.1" customHeight="1" s="106">
      <c r="A160" s="99"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6" customHeight="1" s="106">
      <c r="A161" s="99"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1.1" customHeight="1" s="106">
      <c r="A162" s="99"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6" customHeight="1" s="106">
      <c r="A163" s="99"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6" customHeight="1" s="106">
      <c r="A164" s="99"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6" customHeight="1" s="106">
      <c r="A165" s="99"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1.1" customHeight="1" s="106">
      <c r="A166" s="99"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6" customHeight="1" s="106">
      <c r="A167" s="99"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1.1" customHeight="1" s="106">
      <c r="A168" s="99"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6" customHeight="1" s="106">
      <c r="A169" s="99"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35" customHeight="1" s="106">
      <c r="A170" s="99"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35" customHeight="1" s="106">
      <c r="A171" s="99"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45" customHeight="1" s="106">
      <c r="A172" s="99"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6" customHeight="1" s="106">
      <c r="A173" s="99"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1.1" customHeight="1" s="106">
      <c r="A174" s="99"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6" customHeight="1" s="106">
      <c r="A175" s="99"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1.1" customHeight="1" s="106">
      <c r="A176" s="99"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1.1" customHeight="1" s="106">
      <c r="A177" s="99"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6" customHeight="1" s="106">
      <c r="A178" s="99"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6" customHeight="1" s="106">
      <c r="A179" s="99"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6" customHeight="1" s="106">
      <c r="A180" s="99"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6" customHeight="1" s="106">
      <c r="A181" s="99"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6" customHeight="1" s="106">
      <c r="A182" s="99"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6" customHeight="1" s="106">
      <c r="A183" s="99"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6" customHeight="1" s="106">
      <c r="A184" s="99"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6" customHeight="1" s="106">
      <c r="A185" s="99"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s="106">
      <c r="A186" s="99"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6" customHeight="1" s="106">
      <c r="A187" s="99"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6" customHeight="1" s="106">
      <c r="A188" s="99"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6" customHeight="1" s="106">
      <c r="A189" s="99"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1.1" customHeight="1" s="106">
      <c r="A190" s="99"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6" customHeight="1" s="106">
      <c r="A191" s="99"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s="106">
      <c r="A192" s="99"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s="106">
      <c r="A193" s="99"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s="106">
      <c r="A194" s="99"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s="106">
      <c r="A195" s="99"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1.1" customHeight="1" s="106">
      <c r="A196" s="99"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6" customHeight="1" s="106">
      <c r="A197" s="99"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s="106">
      <c r="A198" s="99"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6" customHeight="1" s="106">
      <c r="A199" s="99"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1.1" customHeight="1" s="106">
      <c r="A200" s="99"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s="106">
      <c r="A201" s="99"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s="106">
      <c r="A202" s="99"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s="106">
      <c r="A203" s="99"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9999999999999" customHeight="1" s="106">
      <c r="A204" s="99"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9999999999999" customHeight="1" s="106">
      <c r="A205" s="99"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6" customHeight="1" s="106">
      <c r="A206" s="99"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6" customHeight="1" s="106">
      <c r="A207" s="99"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6" customHeight="1" s="106">
      <c r="A208" s="99"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6" customHeight="1" s="106">
      <c r="A209" s="99"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1.1" customHeight="1" s="106">
      <c r="A210" s="99"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1.1" customHeight="1" s="106">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7"/>
  <sheetViews>
    <sheetView workbookViewId="0">
      <selection activeCell="M13" sqref="M13"/>
    </sheetView>
  </sheetViews>
  <sheetFormatPr baseColWidth="10" defaultRowHeight="11.25"/>
  <cols>
    <col width="14.6640625" customWidth="1" style="106" min="1" max="1"/>
    <col width="46.6640625" customWidth="1" style="16" min="2" max="2"/>
    <col width="40.1640625" bestFit="1" customWidth="1" style="16" min="3" max="3"/>
    <col width="10" bestFit="1" customWidth="1" style="106" min="4" max="4"/>
  </cols>
  <sheetData>
    <row r="1" ht="20.45" customHeight="1" s="106">
      <c r="A1" s="83" t="inlineStr">
        <is>
          <t>PLAN DE ACCION</t>
        </is>
      </c>
      <c r="B1" s="84" t="inlineStr">
        <is>
          <t>DESCIPCION PLAN DE ACCIÓN</t>
        </is>
      </c>
      <c r="C1" s="81" t="inlineStr">
        <is>
          <t>RESPONSABLE</t>
        </is>
      </c>
      <c r="D1" s="86" t="inlineStr">
        <is>
          <t>PLAZO</t>
        </is>
      </c>
    </row>
    <row r="2" ht="20.45" customHeight="1" s="106">
      <c r="A2" s="82" t="inlineStr">
        <is>
          <t>PA-SI-001</t>
        </is>
      </c>
      <c r="B2" s="82" t="inlineStr">
        <is>
          <t>Identificar una herramienta que permitan realizar un análisis de LOGS</t>
        </is>
      </c>
      <c r="C2" s="82" t="inlineStr">
        <is>
          <t>JEFE DE SEGURIDAD DE LA INFORMACION</t>
        </is>
      </c>
      <c r="D2" s="85" t="inlineStr">
        <is>
          <t>8 MESES</t>
        </is>
      </c>
    </row>
    <row r="3" ht="20.45" customHeight="1" s="106">
      <c r="A3" s="82" t="inlineStr">
        <is>
          <t>PA-SI-002</t>
        </is>
      </c>
      <c r="B3" s="82" t="inlineStr">
        <is>
          <t>Fortalecer mecanismos de protección contra ataques DoS/DDoS</t>
        </is>
      </c>
      <c r="C3" s="82" t="inlineStr">
        <is>
          <t>JEFE DE SEGURIDAD DE LA INFORMACION</t>
        </is>
      </c>
      <c r="D3" s="85" t="inlineStr">
        <is>
          <t>3 MESES</t>
        </is>
      </c>
    </row>
    <row r="4" ht="20.45" customHeight="1" s="106">
      <c r="A4" s="82" t="inlineStr">
        <is>
          <t>PA-SI-003</t>
        </is>
      </c>
      <c r="B4" s="82" t="inlineStr">
        <is>
          <t>Determinar accesos restringidos para la consola administrativa</t>
        </is>
      </c>
      <c r="C4" s="82" t="inlineStr">
        <is>
          <t>JEFE DE SEGURIDAD DE LA INFORMACION</t>
        </is>
      </c>
      <c r="D4" s="85" t="inlineStr">
        <is>
          <t>3 MESES</t>
        </is>
      </c>
    </row>
    <row r="5" ht="24" customHeight="1" s="106">
      <c r="A5" s="82" t="inlineStr">
        <is>
          <t>PA-SI-004</t>
        </is>
      </c>
      <c r="B5" s="82" t="inlineStr">
        <is>
          <t>Aplicar política de expiración de contraseñas VPN.</t>
        </is>
      </c>
      <c r="C5" s="82" t="inlineStr">
        <is>
          <t>JEFE DE SEGURIDAD DE LA INFORMACION</t>
        </is>
      </c>
      <c r="D5" s="85" t="inlineStr">
        <is>
          <t>6 MESES</t>
        </is>
      </c>
    </row>
    <row r="6" ht="20.45" customHeight="1" s="106">
      <c r="A6" s="82" t="inlineStr">
        <is>
          <t>PA-SI-005</t>
        </is>
      </c>
      <c r="B6" s="82" t="inlineStr">
        <is>
          <t>Fortalecer el monitoreo proactivo de recursos (CPU, RAM, almacenamiento).</t>
        </is>
      </c>
      <c r="C6" s="82" t="inlineStr">
        <is>
          <t>JEFE DE SEGURIDAD DE LA INFORMACION</t>
        </is>
      </c>
      <c r="D6" s="85" t="inlineStr">
        <is>
          <t>6 MESES</t>
        </is>
      </c>
    </row>
    <row r="7" ht="30.6" customHeight="1" s="106">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1.25"/>
  <cols>
    <col width="64" bestFit="1" customWidth="1" style="106" min="1" max="1"/>
    <col width="12.5" customWidth="1" style="106" min="2" max="2"/>
    <col width="6.1640625" bestFit="1" customWidth="1" style="106" min="3" max="3"/>
    <col width="7.1640625" bestFit="1" customWidth="1" style="106" min="4" max="4"/>
    <col width="13.1640625" bestFit="1" customWidth="1" style="106" min="5" max="6"/>
    <col width="68.1640625" bestFit="1" customWidth="1" style="106" min="7" max="22"/>
    <col width="13.1640625" bestFit="1" customWidth="1" style="106"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1.25"/>
  <cols>
    <col width="65.1640625" bestFit="1" customWidth="1" style="106" min="2" max="2"/>
  </cols>
  <sheetData>
    <row r="1">
      <c r="A1" s="100" t="n"/>
      <c r="B1" s="101" t="n"/>
    </row>
    <row r="2">
      <c r="A2" s="102" t="inlineStr">
        <is>
          <t>Código</t>
        </is>
      </c>
      <c r="B2" s="102"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8.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ColWidth="11.5" defaultRowHeight="11.25"/>
  <cols>
    <col width="21.6640625" customWidth="1" style="16" min="1" max="1"/>
    <col width="42.1640625" customWidth="1" style="38" min="2" max="2"/>
    <col width="105.5" customWidth="1" style="16" min="3" max="3"/>
    <col width="19.5" bestFit="1" customWidth="1" style="38" min="4" max="4"/>
    <col width="7.6640625" customWidth="1" style="16" min="5" max="5"/>
    <col width="5" customWidth="1" style="16" min="6" max="6"/>
    <col width="7.1640625" customWidth="1" style="16" min="7" max="7"/>
    <col width="8.6640625" customWidth="1" style="16" min="8" max="8"/>
    <col width="8.5" customWidth="1" style="16" min="9" max="9"/>
    <col width="7.6640625" customWidth="1" style="16" min="10" max="10"/>
    <col width="8.5" customWidth="1" style="16" min="11" max="11"/>
    <col width="7.1640625" customWidth="1" style="16" min="12" max="12"/>
    <col width="6.5" customWidth="1" style="16" min="13" max="14"/>
    <col width="11.5" customWidth="1" style="16" min="15" max="18"/>
    <col width="11.5" customWidth="1" style="16" min="19" max="16384"/>
  </cols>
  <sheetData>
    <row r="1">
      <c r="A1" s="17" t="n"/>
      <c r="B1" s="34" t="n"/>
      <c r="C1" s="17" t="n"/>
      <c r="D1" s="34" t="n"/>
      <c r="E1" s="107" t="inlineStr">
        <is>
          <t>TIPOS DE ACTIVOS</t>
        </is>
      </c>
      <c r="F1" s="98" t="n"/>
      <c r="G1" s="98" t="n"/>
      <c r="H1" s="98" t="n"/>
      <c r="I1" s="98" t="n"/>
      <c r="J1" s="98" t="n"/>
      <c r="K1" s="98" t="n"/>
      <c r="L1" s="98" t="n"/>
      <c r="M1" s="98" t="n"/>
      <c r="N1" s="99" t="n"/>
    </row>
    <row r="2" ht="101.1" customHeight="1" s="106">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ht="12" customHeight="1" s="106">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ht="12" customHeight="1" s="106">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1.1" customHeight="1" s="106">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1.1" customHeight="1" s="106">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6" customHeight="1" s="106">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45" customHeight="1" s="106">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45" customHeight="1" s="106">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45" customHeight="1" s="106">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6" customHeight="1" s="106">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1.1" customHeight="1" s="106">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45" customHeight="1" s="106">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45" customHeight="1" s="106">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45" customHeight="1" s="106">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45" customHeight="1" s="106">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6" customHeight="1" s="106">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45" customHeight="1" s="106">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45" customHeight="1" s="106">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45" customHeight="1" s="106">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6" customHeight="1" s="106">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45" customHeight="1" s="106">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45" customHeight="1" s="106">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6" customHeight="1" s="106">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6" customHeight="1" s="106">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6" customHeight="1" s="106">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6" customHeight="1" s="106">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6" customHeight="1" s="106">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s="106">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45" customHeight="1" s="106">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45" customHeight="1" s="106">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6" customHeight="1" s="106">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6" customHeight="1" s="106">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45" customHeight="1" s="106">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45" customHeight="1" s="106">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45" customHeight="1" s="106">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45" customHeight="1" s="106">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6" customHeight="1" s="106">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45" customHeight="1" s="106">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45" customHeight="1" s="106">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s="106">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45" customHeight="1" s="106">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45" customHeight="1" s="106">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45" customHeight="1" s="106">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6" customHeight="1" s="106">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6" customHeight="1" s="106">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3">
      <formula>"X"</formula>
    </cfRule>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1.25"/>
  <cols>
    <col width="48" customWidth="1" style="106" min="1" max="1"/>
    <col width="79.5" customWidth="1" style="106" min="2" max="2"/>
  </cols>
  <sheetData>
    <row r="1">
      <c r="A1" t="inlineStr">
        <is>
          <t>TIPO DE ACTIVO</t>
        </is>
      </c>
      <c r="B1" t="inlineStr">
        <is>
          <t>DESCRIPCION</t>
        </is>
      </c>
    </row>
    <row r="2" ht="41.1" customHeight="1" s="106">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6" customHeight="1" s="106">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45" customHeight="1" s="106">
      <c r="A4" s="41" t="inlineStr">
        <is>
          <t>[S] Servicios</t>
        </is>
      </c>
      <c r="B4" s="17" t="inlineStr">
        <is>
          <t>Función que satisface una necesidad de los usuarios (del servicio). Esta sección contempla servicios prestados por el sistema.</t>
        </is>
      </c>
    </row>
    <row r="5" ht="41.1" customHeight="1" s="106">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1.1" customHeight="1" s="106">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6" customHeight="1" s="106">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45" customHeight="1" s="106">
      <c r="A8" s="41" t="inlineStr">
        <is>
          <t>[Media] Soportes de información</t>
        </is>
      </c>
      <c r="B8" s="17" t="inlineStr">
        <is>
          <t>En este epígrafe se consideran dispositivos físicos que permiten almacenar información de forma permanente o, al menos, durante largos periodos de tiempo.</t>
        </is>
      </c>
    </row>
    <row r="9" ht="20.45" customHeight="1" s="106">
      <c r="A9" s="41" t="inlineStr">
        <is>
          <t>[AUX] equipamiento auxiliar</t>
        </is>
      </c>
      <c r="B9" s="17" t="inlineStr">
        <is>
          <t>En este epígrafe se consideran otros equipos que sirven de soporte a los sistemas de información, sin estar directamente relacionados con datos.</t>
        </is>
      </c>
    </row>
    <row r="10" ht="20.45" customHeight="1" s="106">
      <c r="A10" s="41" t="inlineStr">
        <is>
          <t>[L] Instalaciones</t>
        </is>
      </c>
      <c r="B10" s="17" t="inlineStr">
        <is>
          <t>En este epígrafe entran los lugares donde se hospedan los sistemas de información y comunicaciones.</t>
        </is>
      </c>
    </row>
    <row r="11" ht="12" customHeight="1" s="106">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C59"/>
  <sheetViews>
    <sheetView workbookViewId="0">
      <selection activeCell="B33" sqref="B33"/>
    </sheetView>
  </sheetViews>
  <sheetFormatPr baseColWidth="10" defaultRowHeight="11.25"/>
  <cols>
    <col width="6.5" customWidth="1" style="106" min="1" max="1"/>
    <col width="82" bestFit="1" customWidth="1" style="106" min="2" max="2"/>
    <col width="86" bestFit="1" customWidth="1" style="106" min="3" max="3"/>
  </cols>
  <sheetData>
    <row r="1">
      <c r="A1" s="102" t="inlineStr">
        <is>
          <t>CONTROLES IMPLEMENTADOS</t>
        </is>
      </c>
      <c r="B1" s="99" t="n"/>
    </row>
    <row r="2">
      <c r="A2" s="102" t="inlineStr">
        <is>
          <t>Código</t>
        </is>
      </c>
      <c r="B2" s="102" t="inlineStr">
        <is>
          <t>Descripción</t>
        </is>
      </c>
    </row>
    <row r="3">
      <c r="A3" s="102" t="inlineStr">
        <is>
          <t>1. Política de Seguridad de la Información</t>
        </is>
      </c>
      <c r="B3" s="99"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102" t="inlineStr">
        <is>
          <t>2. Organización de la Seguridad de la Información</t>
        </is>
      </c>
      <c r="B8" s="99"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102" t="inlineStr">
        <is>
          <t>3. Gestión de Activos</t>
        </is>
      </c>
      <c r="B12" s="99"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102" t="inlineStr">
        <is>
          <t>4. Seguridad de los Recursos Humanos</t>
        </is>
      </c>
      <c r="B16" s="99"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102" t="inlineStr">
        <is>
          <t>5. Control de Acceso</t>
        </is>
      </c>
      <c r="B19" s="99"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102" t="inlineStr">
        <is>
          <t>6. Criptografía</t>
        </is>
      </c>
      <c r="B26" s="99"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102" t="inlineStr">
        <is>
          <t>7. Seguridad Física y del Entorno</t>
        </is>
      </c>
      <c r="B29" s="99"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102" t="inlineStr">
        <is>
          <t>8. Seguridad de las Operaciones</t>
        </is>
      </c>
      <c r="B32" s="99"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102" t="inlineStr">
        <is>
          <t>9. Seguridad en las Comunicaciones</t>
        </is>
      </c>
      <c r="B40" s="99"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102" t="inlineStr">
        <is>
          <t>10. Adquisición, desarrollo y mantenimiento</t>
        </is>
      </c>
      <c r="B43" s="99"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102" t="inlineStr">
        <is>
          <t>11. Relaciones con Proveedores</t>
        </is>
      </c>
      <c r="B48" s="99"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102" t="inlineStr">
        <is>
          <t>12. Gestión de Incidentes de Seguridad</t>
        </is>
      </c>
      <c r="B51" s="99"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102" t="inlineStr">
        <is>
          <t>13. Gestión de Continuidad del Negocio</t>
        </is>
      </c>
      <c r="B54" s="99"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102" t="inlineStr">
        <is>
          <t>14. Cumplimiento</t>
        </is>
      </c>
      <c r="B57" s="99"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L94"/>
  <sheetViews>
    <sheetView zoomScale="90" zoomScaleNormal="90" workbookViewId="0">
      <selection activeCell="J24" sqref="J24"/>
    </sheetView>
  </sheetViews>
  <sheetFormatPr baseColWidth="10" defaultColWidth="9.1640625" defaultRowHeight="11.25"/>
  <cols>
    <col width="11.83203125" customWidth="1" style="38" min="1" max="1"/>
    <col width="19.5" customWidth="1" style="112" min="2" max="2"/>
    <col width="12.6640625" customWidth="1" style="112" min="3" max="3"/>
    <col width="17.6640625" customWidth="1" style="112" min="4" max="4"/>
    <col width="14" customWidth="1" style="112" min="5" max="5"/>
    <col width="39.1640625" customWidth="1" style="38" min="6" max="6"/>
    <col width="25" customWidth="1" style="112" min="7" max="7"/>
    <col width="29.6640625" customWidth="1" style="112" min="8" max="8"/>
    <col width="18.6640625" customWidth="1" style="112" min="9" max="9"/>
    <col width="16.1640625" customWidth="1" style="112" min="10" max="10"/>
    <col width="13.1640625" customWidth="1" style="112" min="11" max="11"/>
    <col width="19.6640625" customWidth="1" style="112" min="12" max="12"/>
    <col width="9.1640625" customWidth="1" style="112" min="13" max="15"/>
    <col width="9.1640625" customWidth="1" style="112" min="16" max="16384"/>
  </cols>
  <sheetData>
    <row r="1" ht="60" customHeight="1" s="106">
      <c r="A1" s="88" t="inlineStr">
        <is>
          <t>Identificador de control IEC 27002</t>
        </is>
      </c>
      <c r="B1" s="88" t="inlineStr">
        <is>
          <t>Nombre del control</t>
        </is>
      </c>
      <c r="C1" s="88" t="inlineStr">
        <is>
          <t>Tipo de control</t>
        </is>
      </c>
      <c r="D1" s="88" t="inlineStr">
        <is>
          <t>Propiedades de seguridad de la información</t>
        </is>
      </c>
      <c r="E1" s="88" t="inlineStr">
        <is>
          <t>Conceptos de ciberseguridad</t>
        </is>
      </c>
      <c r="F1" s="88" t="inlineStr">
        <is>
          <t>Capacidades operativas</t>
        </is>
      </c>
      <c r="G1" s="88" t="inlineStr">
        <is>
          <t>Dominios de seguridad</t>
        </is>
      </c>
      <c r="H1" s="88" t="inlineStr">
        <is>
          <t>Obligatoriedad Regulatoria SEPS 002-2022</t>
        </is>
      </c>
      <c r="I1" s="88" t="inlineStr">
        <is>
          <t>Control Metodología GSO-GSI (Secc. 10.2.2)</t>
        </is>
      </c>
      <c r="J1" s="88" t="inlineStr">
        <is>
          <t>Origen de Aplicabilidad</t>
        </is>
      </c>
      <c r="K1" s="88" t="inlineStr">
        <is>
          <t>¿Aplica?</t>
        </is>
      </c>
      <c r="L1" s="88" t="inlineStr">
        <is>
          <t>Criterio / Justificación Técnica</t>
        </is>
      </c>
    </row>
    <row r="2" ht="48" customHeight="1" s="106">
      <c r="A2" s="38" t="inlineStr">
        <is>
          <t>5.1</t>
        </is>
      </c>
      <c r="B2" s="112" t="inlineStr">
        <is>
          <t>Políticas para la seguridad de la información</t>
        </is>
      </c>
      <c r="C2" s="112" t="inlineStr">
        <is>
          <t>#Preventivo</t>
        </is>
      </c>
      <c r="D2" s="112" t="inlineStr">
        <is>
          <t>#Confidencialidad, #Integridad, #Disponibilidad</t>
        </is>
      </c>
      <c r="E2" s="112" t="inlineStr">
        <is>
          <t>#Identificar</t>
        </is>
      </c>
      <c r="F2" s="38" t="inlineStr">
        <is>
          <t>#Gobernanza</t>
        </is>
      </c>
      <c r="G2" s="112" t="inlineStr">
        <is>
          <t>#Gobernanza_y_Ecosistema</t>
        </is>
      </c>
      <c r="H2" s="112" t="inlineStr">
        <is>
          <t>Obligatorio SEPS (Régimen General)</t>
        </is>
      </c>
      <c r="I2" s="112" t="inlineStr">
        <is>
          <t>C1: Revisión periódica de políticas y procedimientos</t>
        </is>
      </c>
      <c r="J2" s="112" t="inlineStr">
        <is>
          <t>2. Metodología Interna GSO-GSI + ISO 27001</t>
        </is>
      </c>
      <c r="K2" s="112" t="inlineStr">
        <is>
          <t>Aplica</t>
        </is>
      </c>
      <c r="L2" s="112" t="inlineStr">
        <is>
          <t>Requisito interno GSO-GSI</t>
        </is>
      </c>
    </row>
    <row r="3" ht="48" customHeight="1" s="106">
      <c r="A3" s="38" t="inlineStr">
        <is>
          <t>5.2</t>
        </is>
      </c>
      <c r="B3" s="112" t="inlineStr">
        <is>
          <t>Funciones y responsabilidades de seguridad de la información</t>
        </is>
      </c>
      <c r="C3" s="112" t="inlineStr">
        <is>
          <t>#Preventivo</t>
        </is>
      </c>
      <c r="D3" s="112" t="inlineStr">
        <is>
          <t>#Confidencialidad, #Integridad, #Disponibilidad</t>
        </is>
      </c>
      <c r="E3" s="112" t="inlineStr">
        <is>
          <t>#Identificar</t>
        </is>
      </c>
      <c r="F3" s="38" t="inlineStr">
        <is>
          <t>#Gobernanza</t>
        </is>
      </c>
      <c r="G3" s="112" t="inlineStr">
        <is>
          <t>#Gobernanza_y_Ecosistema</t>
        </is>
      </c>
      <c r="H3" s="112" t="inlineStr">
        <is>
          <t>Obligatorio SEPS (Régimen General)</t>
        </is>
      </c>
      <c r="I3" s="112" t="inlineStr">
        <is>
          <t>-</t>
        </is>
      </c>
      <c r="J3" s="112" t="inlineStr">
        <is>
          <t>1. Regulatorio SEPS 002-2022 + ISO 27001</t>
        </is>
      </c>
      <c r="K3" s="112" t="inlineStr">
        <is>
          <t>Aplica</t>
        </is>
      </c>
      <c r="L3" s="112" t="inlineStr">
        <is>
          <t>Requerido por ente regulador SEPS</t>
        </is>
      </c>
    </row>
    <row r="4" ht="36" customHeight="1" s="106">
      <c r="A4" s="38" t="inlineStr">
        <is>
          <t>5.3</t>
        </is>
      </c>
      <c r="B4" s="112" t="inlineStr">
        <is>
          <t>Segregación de funciones</t>
        </is>
      </c>
      <c r="C4" s="112" t="inlineStr">
        <is>
          <t>#Preventivo</t>
        </is>
      </c>
      <c r="D4" s="112" t="inlineStr">
        <is>
          <t>#Confidencialidad, #Integridad</t>
        </is>
      </c>
      <c r="E4" s="112" t="inlineStr">
        <is>
          <t>#Proteger</t>
        </is>
      </c>
      <c r="F4" s="38" t="inlineStr">
        <is>
          <t>#Gobernanza</t>
        </is>
      </c>
      <c r="G4" s="112" t="inlineStr">
        <is>
          <t>#Gobernanza_y_Ecosistema</t>
        </is>
      </c>
      <c r="H4" s="112" t="inlineStr">
        <is>
          <t>Obligatorio SEPS (Régimen General)</t>
        </is>
      </c>
      <c r="I4" s="112" t="inlineStr">
        <is>
          <t>-</t>
        </is>
      </c>
      <c r="J4" s="112" t="inlineStr">
        <is>
          <t>1. Regulatorio SEPS 002-2022 + ISO 27001</t>
        </is>
      </c>
      <c r="K4" s="112" t="inlineStr">
        <is>
          <t>Aplica</t>
        </is>
      </c>
      <c r="L4" s="112" t="inlineStr">
        <is>
          <t>Requerido por ente regulador SEPS</t>
        </is>
      </c>
    </row>
    <row r="5" ht="36" customHeight="1" s="106">
      <c r="A5" s="38" t="inlineStr">
        <is>
          <t>5.4</t>
        </is>
      </c>
      <c r="B5" s="112" t="inlineStr">
        <is>
          <t>Responsabilidades de la dirección</t>
        </is>
      </c>
      <c r="C5" s="112" t="inlineStr">
        <is>
          <t>#Preventivo</t>
        </is>
      </c>
      <c r="D5" s="112" t="inlineStr">
        <is>
          <t>#Confidencialidad, #Integridad, #Disponibilidad</t>
        </is>
      </c>
      <c r="E5" s="112" t="inlineStr">
        <is>
          <t>#Identificar</t>
        </is>
      </c>
      <c r="F5" s="38" t="inlineStr">
        <is>
          <t>#Gobernanza</t>
        </is>
      </c>
      <c r="G5" s="112" t="inlineStr">
        <is>
          <t>#Gobernanza_y_Ecosistema</t>
        </is>
      </c>
      <c r="H5" s="112" t="inlineStr">
        <is>
          <t>Obligatorio SEPS (Régimen General)</t>
        </is>
      </c>
      <c r="I5" s="112" t="inlineStr">
        <is>
          <t>-</t>
        </is>
      </c>
      <c r="J5" s="112" t="inlineStr">
        <is>
          <t>1. Regulatorio SEPS 002-2022 + ISO 27001</t>
        </is>
      </c>
      <c r="K5" s="112" t="inlineStr">
        <is>
          <t>Aplica</t>
        </is>
      </c>
      <c r="L5" s="112" t="inlineStr">
        <is>
          <t>Requerido por ente regulador SEPS</t>
        </is>
      </c>
    </row>
    <row r="6" ht="36" customHeight="1" s="106">
      <c r="A6" s="38" t="inlineStr">
        <is>
          <t>5.5</t>
        </is>
      </c>
      <c r="B6" s="112" t="inlineStr">
        <is>
          <t>Contacto con las autoridades</t>
        </is>
      </c>
      <c r="C6" s="112" t="inlineStr">
        <is>
          <t>#Preventivo</t>
        </is>
      </c>
      <c r="D6" s="112" t="inlineStr">
        <is>
          <t>#Disponibilidad</t>
        </is>
      </c>
      <c r="E6" s="112" t="inlineStr">
        <is>
          <t>#Responder</t>
        </is>
      </c>
      <c r="F6" s="38" t="inlineStr">
        <is>
          <t>#Gobernanza</t>
        </is>
      </c>
      <c r="G6" s="112" t="inlineStr">
        <is>
          <t>#Gobernanza_y_Ecosistema</t>
        </is>
      </c>
      <c r="H6" s="112" t="inlineStr">
        <is>
          <t>Obligatorio SEPS (Régimen General)</t>
        </is>
      </c>
      <c r="I6" s="112" t="inlineStr">
        <is>
          <t>-</t>
        </is>
      </c>
      <c r="J6" s="112" t="inlineStr">
        <is>
          <t>1. Regulatorio SEPS 002-2022 + ISO 27001</t>
        </is>
      </c>
      <c r="K6" s="112" t="inlineStr">
        <is>
          <t>Aplica</t>
        </is>
      </c>
      <c r="L6" s="112" t="inlineStr">
        <is>
          <t>Requerido por ente regulador SEPS</t>
        </is>
      </c>
    </row>
    <row r="7" ht="60" customHeight="1" s="106">
      <c r="A7" s="38" t="inlineStr">
        <is>
          <t>5.6</t>
        </is>
      </c>
      <c r="B7" s="112" t="inlineStr">
        <is>
          <t>Contacto con grupos de interés especial</t>
        </is>
      </c>
      <c r="C7" s="112" t="inlineStr">
        <is>
          <t>#Preventivo</t>
        </is>
      </c>
      <c r="D7" s="112" t="inlineStr">
        <is>
          <t>#Disponibilidad</t>
        </is>
      </c>
      <c r="E7" s="112" t="inlineStr">
        <is>
          <t>#Identificar</t>
        </is>
      </c>
      <c r="F7" s="38" t="inlineStr">
        <is>
          <t>#Gobernanza</t>
        </is>
      </c>
      <c r="G7" s="112" t="inlineStr">
        <is>
          <t>#Gobernanza_y_Ecosistema</t>
        </is>
      </c>
      <c r="H7" s="112" t="inlineStr">
        <is>
          <t>Mejor Práctica (No obligatorio SEPS)</t>
        </is>
      </c>
      <c r="I7" s="112" t="inlineStr">
        <is>
          <t>-</t>
        </is>
      </c>
      <c r="J7" s="112" t="inlineStr">
        <is>
          <t>3. Tratamiento de Riesgos Específico (ISO 27002 / MAGERIT)</t>
        </is>
      </c>
      <c r="K7" s="112" t="inlineStr">
        <is>
          <t>Aplica</t>
        </is>
      </c>
      <c r="L7" s="112" t="inlineStr">
        <is>
          <t>Requisito de control complementario y mejor práctica de seguridad</t>
        </is>
      </c>
    </row>
    <row r="8" ht="60" customHeight="1" s="106">
      <c r="A8" s="38" t="inlineStr">
        <is>
          <t>5.7</t>
        </is>
      </c>
      <c r="B8" s="112" t="inlineStr">
        <is>
          <t>Inteligencia de amenazas</t>
        </is>
      </c>
      <c r="C8" s="112" t="inlineStr">
        <is>
          <t>#Detectivo, #Preventivo</t>
        </is>
      </c>
      <c r="D8" s="112" t="inlineStr">
        <is>
          <t>#Confidencialidad, #Integridad, #Disponibilidad</t>
        </is>
      </c>
      <c r="E8" s="112" t="inlineStr">
        <is>
          <t>#Identificar</t>
        </is>
      </c>
      <c r="F8" s="38" t="inlineStr">
        <is>
          <t>#Gestión_de_amenazas_y_vulnerabilidades</t>
        </is>
      </c>
      <c r="G8" s="112" t="inlineStr">
        <is>
          <t>#Gobernanza_y_Ecosistema</t>
        </is>
      </c>
      <c r="H8" s="112" t="inlineStr">
        <is>
          <t>Mejor Práctica (No obligatorio SEPS)</t>
        </is>
      </c>
      <c r="I8" s="112" t="inlineStr">
        <is>
          <t>-</t>
        </is>
      </c>
      <c r="J8" s="112" t="inlineStr">
        <is>
          <t>3. Tratamiento de Riesgos Específico (ISO 27002 / MAGERIT)</t>
        </is>
      </c>
      <c r="K8" s="112" t="inlineStr">
        <is>
          <t>Aplica</t>
        </is>
      </c>
      <c r="L8" s="112" t="inlineStr">
        <is>
          <t>Requisito de control complementario y mejor práctica de seguridad</t>
        </is>
      </c>
    </row>
    <row r="9" ht="36" customHeight="1" s="106">
      <c r="A9" s="38" t="inlineStr">
        <is>
          <t>5.8</t>
        </is>
      </c>
      <c r="B9" s="112" t="inlineStr">
        <is>
          <t>Seguridad de la información en la gestión de proyectos</t>
        </is>
      </c>
      <c r="C9" s="112" t="inlineStr">
        <is>
          <t>#Preventivo</t>
        </is>
      </c>
      <c r="D9" s="112" t="inlineStr">
        <is>
          <t>#Confidencialidad, #Integridad, #Disponibilidad</t>
        </is>
      </c>
      <c r="E9" s="112" t="inlineStr">
        <is>
          <t>#Proteger</t>
        </is>
      </c>
      <c r="F9" s="38" t="inlineStr">
        <is>
          <t>#Gobernanza</t>
        </is>
      </c>
      <c r="G9" s="112" t="inlineStr">
        <is>
          <t>#Gobernanza_y_Ecosistema</t>
        </is>
      </c>
      <c r="H9" s="112" t="inlineStr">
        <is>
          <t>Obligatorio SEPS (Régimen General)</t>
        </is>
      </c>
      <c r="I9" s="112" t="inlineStr">
        <is>
          <t>-</t>
        </is>
      </c>
      <c r="J9" s="112" t="inlineStr">
        <is>
          <t>1. Regulatorio SEPS 002-2022 + ISO 27001</t>
        </is>
      </c>
      <c r="K9" s="112" t="inlineStr">
        <is>
          <t>Aplica</t>
        </is>
      </c>
      <c r="L9" s="112" t="inlineStr">
        <is>
          <t>Requerido por ente regulador SEPS</t>
        </is>
      </c>
    </row>
    <row r="10" ht="36" customHeight="1" s="106">
      <c r="A10" s="38" t="inlineStr">
        <is>
          <t>5.9</t>
        </is>
      </c>
      <c r="B10" s="112" t="inlineStr">
        <is>
          <t>Inventario de información y otros activos asociados</t>
        </is>
      </c>
      <c r="C10" s="112" t="inlineStr">
        <is>
          <t>#Preventivo</t>
        </is>
      </c>
      <c r="D10" s="112" t="inlineStr">
        <is>
          <t>#Confidencialidad, #Integridad, #Disponibilidad</t>
        </is>
      </c>
      <c r="E10" s="112" t="inlineStr">
        <is>
          <t>#Identificar</t>
        </is>
      </c>
      <c r="F10" s="38" t="inlineStr">
        <is>
          <t>#Gestión_de_activos</t>
        </is>
      </c>
      <c r="G10" s="112" t="inlineStr">
        <is>
          <t>#Gobernanza_y_Ecosistema</t>
        </is>
      </c>
      <c r="H10" s="112" t="inlineStr">
        <is>
          <t>Obligatorio SEPS (Régimen General)</t>
        </is>
      </c>
      <c r="I10" s="112" t="inlineStr">
        <is>
          <t>-</t>
        </is>
      </c>
      <c r="J10" s="112" t="inlineStr">
        <is>
          <t>1. Regulatorio SEPS 002-2022 + ISO 27001</t>
        </is>
      </c>
      <c r="K10" s="112" t="inlineStr">
        <is>
          <t>Aplica</t>
        </is>
      </c>
      <c r="L10" s="112" t="inlineStr">
        <is>
          <t>Requerido por ente regulador SEPS</t>
        </is>
      </c>
    </row>
    <row r="11" ht="36" customHeight="1" s="106">
      <c r="A11" s="38" t="inlineStr">
        <is>
          <t>5.10</t>
        </is>
      </c>
      <c r="B11" s="112" t="inlineStr">
        <is>
          <t>Uso aceptable de la información y otros activos asociados</t>
        </is>
      </c>
      <c r="C11" s="112" t="inlineStr">
        <is>
          <t>#Preventivo</t>
        </is>
      </c>
      <c r="D11" s="112" t="inlineStr">
        <is>
          <t>#Confidencialidad, #Integridad, #Disponibilidad</t>
        </is>
      </c>
      <c r="E11" s="112" t="inlineStr">
        <is>
          <t>#Proteger</t>
        </is>
      </c>
      <c r="F11" s="38" t="inlineStr">
        <is>
          <t>#Protección_de_la_información</t>
        </is>
      </c>
      <c r="G11" s="112" t="inlineStr">
        <is>
          <t>#Gobernanza_y_Ecosistema</t>
        </is>
      </c>
      <c r="H11" s="112" t="inlineStr">
        <is>
          <t>Obligatorio SEPS (Régimen General)</t>
        </is>
      </c>
      <c r="I11" s="112" t="inlineStr">
        <is>
          <t>-</t>
        </is>
      </c>
      <c r="J11" s="112" t="inlineStr">
        <is>
          <t>1. Regulatorio SEPS 002-2022 + ISO 27001</t>
        </is>
      </c>
      <c r="K11" s="112" t="inlineStr">
        <is>
          <t>Aplica</t>
        </is>
      </c>
      <c r="L11" s="112" t="inlineStr">
        <is>
          <t>Requerido por ente regulador SEPS</t>
        </is>
      </c>
    </row>
    <row r="12" ht="36" customHeight="1" s="106">
      <c r="A12" s="38" t="inlineStr">
        <is>
          <t>5.11</t>
        </is>
      </c>
      <c r="B12" s="112" t="inlineStr">
        <is>
          <t>Devolución de activos</t>
        </is>
      </c>
      <c r="C12" s="112" t="inlineStr">
        <is>
          <t>#Preventivo</t>
        </is>
      </c>
      <c r="D12" s="112" t="inlineStr">
        <is>
          <t>#Confidencialidad, #Integridad, #Disponibilidad</t>
        </is>
      </c>
      <c r="E12" s="112" t="inlineStr">
        <is>
          <t>#Proteger</t>
        </is>
      </c>
      <c r="F12" s="38" t="inlineStr">
        <is>
          <t>#Gestión_de_activos</t>
        </is>
      </c>
      <c r="G12" s="112" t="inlineStr">
        <is>
          <t>#Gobernanza_y_Ecosistema</t>
        </is>
      </c>
      <c r="H12" s="112" t="inlineStr">
        <is>
          <t>Obligatorio SEPS (Régimen General)</t>
        </is>
      </c>
      <c r="I12" s="112" t="inlineStr">
        <is>
          <t>-</t>
        </is>
      </c>
      <c r="J12" s="112" t="inlineStr">
        <is>
          <t>1. Regulatorio SEPS 002-2022 + ISO 27001</t>
        </is>
      </c>
      <c r="K12" s="112" t="inlineStr">
        <is>
          <t>Aplica</t>
        </is>
      </c>
      <c r="L12" s="112" t="inlineStr">
        <is>
          <t>Requerido por ente regulador SEPS</t>
        </is>
      </c>
    </row>
    <row r="13" ht="36" customHeight="1" s="106">
      <c r="A13" s="38" t="inlineStr">
        <is>
          <t>5.12</t>
        </is>
      </c>
      <c r="B13" s="112" t="inlineStr">
        <is>
          <t>Clasificación de la información</t>
        </is>
      </c>
      <c r="C13" s="112" t="inlineStr">
        <is>
          <t>#Preventivo</t>
        </is>
      </c>
      <c r="D13" s="112" t="inlineStr">
        <is>
          <t>#Confidencialidad, #Integridad, #Disponibilidad</t>
        </is>
      </c>
      <c r="E13" s="112" t="inlineStr">
        <is>
          <t>#Identificar</t>
        </is>
      </c>
      <c r="F13" s="38" t="inlineStr">
        <is>
          <t>#Protección_de_la_información</t>
        </is>
      </c>
      <c r="G13" s="112" t="inlineStr">
        <is>
          <t>#Gobernanza_y_Ecosistema</t>
        </is>
      </c>
      <c r="H13" s="112" t="inlineStr">
        <is>
          <t>Obligatorio SEPS (Régimen General)</t>
        </is>
      </c>
      <c r="I13" s="112" t="inlineStr">
        <is>
          <t>C2: Clasificación de la información</t>
        </is>
      </c>
      <c r="J13" s="112" t="inlineStr">
        <is>
          <t>2. Metodología Interna GSO-GSI + ISO 27001</t>
        </is>
      </c>
      <c r="K13" s="112" t="inlineStr">
        <is>
          <t>Aplica</t>
        </is>
      </c>
      <c r="L13" s="112" t="inlineStr">
        <is>
          <t>Requisito interno GSO-GSI</t>
        </is>
      </c>
    </row>
    <row r="14" ht="36" customHeight="1" s="106">
      <c r="A14" s="38" t="inlineStr">
        <is>
          <t>5.13</t>
        </is>
      </c>
      <c r="B14" s="112" t="inlineStr">
        <is>
          <t>Etiquetado de la información</t>
        </is>
      </c>
      <c r="C14" s="112" t="inlineStr">
        <is>
          <t>#Preventivo</t>
        </is>
      </c>
      <c r="D14" s="112" t="inlineStr">
        <is>
          <t>#Confidencialidad, #Integridad, #Disponibilidad</t>
        </is>
      </c>
      <c r="E14" s="112" t="inlineStr">
        <is>
          <t>#Proteger</t>
        </is>
      </c>
      <c r="F14" s="38" t="inlineStr">
        <is>
          <t>#Protección_de_la_información</t>
        </is>
      </c>
      <c r="G14" s="112" t="inlineStr">
        <is>
          <t>#Gobernanza_y_Ecosistema</t>
        </is>
      </c>
      <c r="H14" s="112" t="inlineStr">
        <is>
          <t>Obligatorio SEPS (Régimen General)</t>
        </is>
      </c>
      <c r="I14" s="112" t="inlineStr">
        <is>
          <t>C2: Clasificación de la información</t>
        </is>
      </c>
      <c r="J14" s="112" t="inlineStr">
        <is>
          <t>2. Metodología Interna GSO-GSI + ISO 27001</t>
        </is>
      </c>
      <c r="K14" s="112" t="inlineStr">
        <is>
          <t>Aplica</t>
        </is>
      </c>
      <c r="L14" s="112" t="inlineStr">
        <is>
          <t>Requisito interno GSO-GSI</t>
        </is>
      </c>
    </row>
    <row r="15" ht="36" customHeight="1" s="106">
      <c r="A15" s="38" t="inlineStr">
        <is>
          <t>5.14</t>
        </is>
      </c>
      <c r="B15" s="112" t="inlineStr">
        <is>
          <t>Transferencia de información</t>
        </is>
      </c>
      <c r="C15" s="112" t="inlineStr">
        <is>
          <t>#Preventivo</t>
        </is>
      </c>
      <c r="D15" s="112" t="inlineStr">
        <is>
          <t>#Confidencialidad, #Integridad, #Disponibilidad</t>
        </is>
      </c>
      <c r="E15" s="112" t="inlineStr">
        <is>
          <t>#Proteger</t>
        </is>
      </c>
      <c r="F15" s="38" t="inlineStr">
        <is>
          <t>#Protección_de_la_información</t>
        </is>
      </c>
      <c r="G15" s="112" t="inlineStr">
        <is>
          <t>#Gobernanza_y_Ecosistema</t>
        </is>
      </c>
      <c r="H15" s="112" t="inlineStr">
        <is>
          <t>Obligatorio SEPS (Régimen General)</t>
        </is>
      </c>
      <c r="I15" s="112" t="inlineStr">
        <is>
          <t>-</t>
        </is>
      </c>
      <c r="J15" s="112" t="inlineStr">
        <is>
          <t>1. Regulatorio SEPS 002-2022 + ISO 27001</t>
        </is>
      </c>
      <c r="K15" s="112" t="inlineStr">
        <is>
          <t>Aplica</t>
        </is>
      </c>
      <c r="L15" s="112" t="inlineStr">
        <is>
          <t>Requerido por ente regulador SEPS</t>
        </is>
      </c>
    </row>
    <row r="16" ht="36" customHeight="1" s="106">
      <c r="A16" s="38" t="inlineStr">
        <is>
          <t>5.15</t>
        </is>
      </c>
      <c r="B16" s="112" t="inlineStr">
        <is>
          <t>Control de acceso</t>
        </is>
      </c>
      <c r="C16" s="112" t="inlineStr">
        <is>
          <t>#Preventivo</t>
        </is>
      </c>
      <c r="D16" s="112" t="inlineStr">
        <is>
          <t>#Confidencialidad, #Integridad, #Disponibilidad</t>
        </is>
      </c>
      <c r="E16" s="112" t="inlineStr">
        <is>
          <t>#Proteger</t>
        </is>
      </c>
      <c r="F16" s="38" t="inlineStr">
        <is>
          <t>#Administración_de_identidad_y_acceso</t>
        </is>
      </c>
      <c r="G16" s="112" t="inlineStr">
        <is>
          <t>#Gobernanza_y_Ecosistema</t>
        </is>
      </c>
      <c r="H16" s="112" t="inlineStr">
        <is>
          <t>Obligatorio SEPS (Régimen General)</t>
        </is>
      </c>
      <c r="I16" s="112" t="inlineStr">
        <is>
          <t>C4: Restricción del control de acceso</t>
        </is>
      </c>
      <c r="J16" s="112" t="inlineStr">
        <is>
          <t>2. Metodología Interna GSO-GSI + ISO 27001</t>
        </is>
      </c>
      <c r="K16" s="112" t="inlineStr">
        <is>
          <t>Aplica</t>
        </is>
      </c>
      <c r="L16" s="112" t="inlineStr">
        <is>
          <t>Requisito interno GSO-GSI</t>
        </is>
      </c>
    </row>
    <row r="17" ht="36" customHeight="1" s="106">
      <c r="A17" s="38" t="inlineStr">
        <is>
          <t>5.16</t>
        </is>
      </c>
      <c r="B17" s="112" t="inlineStr">
        <is>
          <t>Gestión de identidades</t>
        </is>
      </c>
      <c r="C17" s="112" t="inlineStr">
        <is>
          <t>#Preventivo</t>
        </is>
      </c>
      <c r="D17" s="112" t="inlineStr">
        <is>
          <t>#Confidencialidad, #Integridad, #Disponibilidad</t>
        </is>
      </c>
      <c r="E17" s="112" t="inlineStr">
        <is>
          <t>#Proteger</t>
        </is>
      </c>
      <c r="F17" s="38" t="inlineStr">
        <is>
          <t>#Administración_de_identidad_y_acceso</t>
        </is>
      </c>
      <c r="G17" s="112" t="inlineStr">
        <is>
          <t>#Gobernanza_y_Ecosistema</t>
        </is>
      </c>
      <c r="H17" s="112" t="inlineStr">
        <is>
          <t>Obligatorio SEPS (Régimen General)</t>
        </is>
      </c>
      <c r="I17" s="112" t="inlineStr">
        <is>
          <t>-</t>
        </is>
      </c>
      <c r="J17" s="112" t="inlineStr">
        <is>
          <t>1. Regulatorio SEPS 002-2022 + ISO 27001</t>
        </is>
      </c>
      <c r="K17" s="112" t="inlineStr">
        <is>
          <t>Aplica</t>
        </is>
      </c>
      <c r="L17" s="112" t="inlineStr">
        <is>
          <t>Requerido por ente regulador SEPS</t>
        </is>
      </c>
    </row>
    <row r="18" ht="36" customHeight="1" s="106">
      <c r="A18" s="38" t="inlineStr">
        <is>
          <t>5.17</t>
        </is>
      </c>
      <c r="B18" s="112" t="inlineStr">
        <is>
          <t>Información de autenticación</t>
        </is>
      </c>
      <c r="C18" s="112" t="inlineStr">
        <is>
          <t>#Preventivo</t>
        </is>
      </c>
      <c r="D18" s="112" t="inlineStr">
        <is>
          <t>#Confidencialidad, #Integridad, #Disponibilidad</t>
        </is>
      </c>
      <c r="E18" s="112" t="inlineStr">
        <is>
          <t>#Proteger</t>
        </is>
      </c>
      <c r="F18" s="38" t="inlineStr">
        <is>
          <t>#Administración_de_identidad_y_acceso</t>
        </is>
      </c>
      <c r="G18" s="112" t="inlineStr">
        <is>
          <t>#Gobernanza_y_Ecosistema</t>
        </is>
      </c>
      <c r="H18" s="112" t="inlineStr">
        <is>
          <t>Obligatorio SEPS (Régimen General)</t>
        </is>
      </c>
      <c r="I18" s="112" t="inlineStr">
        <is>
          <t>C8: Uso de contraseñas fuertes</t>
        </is>
      </c>
      <c r="J18" s="112" t="inlineStr">
        <is>
          <t>2. Metodología Interna GSO-GSI + ISO 27001</t>
        </is>
      </c>
      <c r="K18" s="112" t="inlineStr">
        <is>
          <t>Aplica</t>
        </is>
      </c>
      <c r="L18" s="112" t="inlineStr">
        <is>
          <t>Requisito interno GSO-GSI</t>
        </is>
      </c>
    </row>
    <row r="19" ht="36" customHeight="1" s="106">
      <c r="A19" s="38" t="inlineStr">
        <is>
          <t>5.18</t>
        </is>
      </c>
      <c r="B19" s="112" t="inlineStr">
        <is>
          <t>Derechos de acceso</t>
        </is>
      </c>
      <c r="C19" s="112" t="inlineStr">
        <is>
          <t>#Preventivo</t>
        </is>
      </c>
      <c r="D19" s="112" t="inlineStr">
        <is>
          <t>#Confidencialidad, #Integridad, #Disponibilidad</t>
        </is>
      </c>
      <c r="E19" s="112" t="inlineStr">
        <is>
          <t>#Proteger</t>
        </is>
      </c>
      <c r="F19" s="38" t="inlineStr">
        <is>
          <t>#Administración_de_identidad_y_acceso</t>
        </is>
      </c>
      <c r="G19" s="112" t="inlineStr">
        <is>
          <t>#Gobernanza_y_Ecosistema</t>
        </is>
      </c>
      <c r="H19" s="112" t="inlineStr">
        <is>
          <t>Obligatorio SEPS (Régimen General)</t>
        </is>
      </c>
      <c r="I19" s="112" t="inlineStr">
        <is>
          <t>C7: Revisión periódica de los derechos de acceso</t>
        </is>
      </c>
      <c r="J19" s="112" t="inlineStr">
        <is>
          <t>2. Metodología Interna GSO-GSI + ISO 27001</t>
        </is>
      </c>
      <c r="K19" s="112" t="inlineStr">
        <is>
          <t>Aplica</t>
        </is>
      </c>
      <c r="L19" s="112" t="inlineStr">
        <is>
          <t>Requisito interno GSO-GSI</t>
        </is>
      </c>
    </row>
    <row r="20" ht="48" customHeight="1" s="106">
      <c r="A20" s="38" t="inlineStr">
        <is>
          <t>5.19</t>
        </is>
      </c>
      <c r="B20" s="112" t="inlineStr">
        <is>
          <t>Seguridad de la información en las relaciones con los proveedores</t>
        </is>
      </c>
      <c r="C20" s="112" t="inlineStr">
        <is>
          <t>#Preventivo</t>
        </is>
      </c>
      <c r="D20" s="112" t="inlineStr">
        <is>
          <t>#Confidencialidad, #Integridad, #Disponibilidad</t>
        </is>
      </c>
      <c r="E20" s="112" t="inlineStr">
        <is>
          <t>#Proteger</t>
        </is>
      </c>
      <c r="F20" s="38" t="inlineStr">
        <is>
          <t>#Seguridad_en_relaciones_con_proveedores</t>
        </is>
      </c>
      <c r="G20" s="112" t="inlineStr">
        <is>
          <t>#Gobernanza_y_Ecosistema</t>
        </is>
      </c>
      <c r="H20" s="112" t="inlineStr">
        <is>
          <t>Obligatorio SEPS (Régimen General)</t>
        </is>
      </c>
      <c r="I20" s="112" t="inlineStr">
        <is>
          <t>-</t>
        </is>
      </c>
      <c r="J20" s="112" t="inlineStr">
        <is>
          <t>1. Regulatorio SEPS 002-2022 + ISO 27001</t>
        </is>
      </c>
      <c r="K20" s="112" t="inlineStr">
        <is>
          <t>Aplica</t>
        </is>
      </c>
      <c r="L20" s="112" t="inlineStr">
        <is>
          <t>Requerido por ente regulador SEPS</t>
        </is>
      </c>
    </row>
    <row r="21" ht="60" customHeight="1" s="106">
      <c r="A21" s="38" t="inlineStr">
        <is>
          <t>5.20</t>
        </is>
      </c>
      <c r="B21" s="112" t="inlineStr">
        <is>
          <t>Tratamiento de la seguridad de la información en los acuerdos con los proveedores</t>
        </is>
      </c>
      <c r="C21" s="112" t="inlineStr">
        <is>
          <t>#Preventivo</t>
        </is>
      </c>
      <c r="D21" s="112" t="inlineStr">
        <is>
          <t>#Confidencialidad, #Integridad, #Disponibilidad</t>
        </is>
      </c>
      <c r="E21" s="112" t="inlineStr">
        <is>
          <t>#Proteger</t>
        </is>
      </c>
      <c r="F21" s="38" t="inlineStr">
        <is>
          <t>#Seguridad_en_relaciones_con_proveedores</t>
        </is>
      </c>
      <c r="G21" s="112" t="inlineStr">
        <is>
          <t>#Gobernanza_y_Ecosistema</t>
        </is>
      </c>
      <c r="H21" s="112" t="inlineStr">
        <is>
          <t>Obligatorio SEPS (Régimen General)</t>
        </is>
      </c>
      <c r="I21" s="112" t="inlineStr">
        <is>
          <t>-</t>
        </is>
      </c>
      <c r="J21" s="112" t="inlineStr">
        <is>
          <t>1. Regulatorio SEPS 002-2022 + ISO 27001</t>
        </is>
      </c>
      <c r="K21" s="112" t="inlineStr">
        <is>
          <t>Aplica</t>
        </is>
      </c>
      <c r="L21" s="112" t="inlineStr">
        <is>
          <t>Requerido por ente regulador SEPS</t>
        </is>
      </c>
    </row>
    <row r="22" ht="60" customHeight="1" s="106">
      <c r="A22" s="38" t="inlineStr">
        <is>
          <t>5.21</t>
        </is>
      </c>
      <c r="B22" s="112" t="inlineStr">
        <is>
          <t>Gestión de la seguridad de la información en la cadena de suministro de TIC</t>
        </is>
      </c>
      <c r="C22" s="112" t="inlineStr">
        <is>
          <t>#Preventivo</t>
        </is>
      </c>
      <c r="D22" s="112" t="inlineStr">
        <is>
          <t>#Confidencialidad, #Integridad, #Disponibilidad</t>
        </is>
      </c>
      <c r="E22" s="112" t="inlineStr">
        <is>
          <t>#Proteger</t>
        </is>
      </c>
      <c r="F22" s="38" t="inlineStr">
        <is>
          <t>#Seguridad_en_relaciones_con_proveedores</t>
        </is>
      </c>
      <c r="G22" s="112" t="inlineStr">
        <is>
          <t>#Gobernanza_y_Ecosistema</t>
        </is>
      </c>
      <c r="H22" s="112" t="inlineStr">
        <is>
          <t>Obligatorio SEPS (Régimen General)</t>
        </is>
      </c>
      <c r="I22" s="112" t="inlineStr">
        <is>
          <t>-</t>
        </is>
      </c>
      <c r="J22" s="112" t="inlineStr">
        <is>
          <t>1. Regulatorio SEPS 002-2022 + ISO 27001</t>
        </is>
      </c>
      <c r="K22" s="112" t="inlineStr">
        <is>
          <t>Aplica</t>
        </is>
      </c>
      <c r="L22" s="112" t="inlineStr">
        <is>
          <t>Requerido por ente regulador SEPS</t>
        </is>
      </c>
    </row>
    <row r="23" ht="60" customHeight="1" s="106">
      <c r="A23" s="38" t="inlineStr">
        <is>
          <t>5.22</t>
        </is>
      </c>
      <c r="B23" s="112" t="inlineStr">
        <is>
          <t>Seguimiento, revisión y gestión de cambios en los servicios de los proveedores</t>
        </is>
      </c>
      <c r="C23" s="112" t="inlineStr">
        <is>
          <t>#Preventivo</t>
        </is>
      </c>
      <c r="D23" s="112" t="inlineStr">
        <is>
          <t>#Confidencialidad, #Integridad, #Disponibilidad</t>
        </is>
      </c>
      <c r="E23" s="112" t="inlineStr">
        <is>
          <t>#Proteger</t>
        </is>
      </c>
      <c r="F23" s="38" t="inlineStr">
        <is>
          <t>#Seguridad_en_relaciones_con_proveedores</t>
        </is>
      </c>
      <c r="G23" s="112" t="inlineStr">
        <is>
          <t>#Gobernanza_y_Ecosistema</t>
        </is>
      </c>
      <c r="H23" s="112" t="inlineStr">
        <is>
          <t>Obligatorio SEPS (Régimen General)</t>
        </is>
      </c>
      <c r="I23" s="112" t="inlineStr">
        <is>
          <t>-</t>
        </is>
      </c>
      <c r="J23" s="112" t="inlineStr">
        <is>
          <t>1. Regulatorio SEPS 002-2022 + ISO 27001</t>
        </is>
      </c>
      <c r="K23" s="112" t="inlineStr">
        <is>
          <t>Aplica</t>
        </is>
      </c>
      <c r="L23" s="112" t="inlineStr">
        <is>
          <t>Requerido por ente regulador SEPS</t>
        </is>
      </c>
    </row>
    <row r="24" ht="48" customHeight="1" s="106">
      <c r="A24" s="38" t="inlineStr">
        <is>
          <t>5.23</t>
        </is>
      </c>
      <c r="B24" s="112" t="inlineStr">
        <is>
          <t>Seguridad de la información en el uso de servicios en la nube</t>
        </is>
      </c>
      <c r="C24" s="112" t="inlineStr">
        <is>
          <t>#Preventivo</t>
        </is>
      </c>
      <c r="D24" s="112" t="inlineStr">
        <is>
          <t>#Confidencialidad, #Integridad, #Disponibilidad</t>
        </is>
      </c>
      <c r="E24" s="112" t="inlineStr">
        <is>
          <t>#Proteger</t>
        </is>
      </c>
      <c r="F24" s="38" t="inlineStr">
        <is>
          <t>#Seguridad_en_relaciones_con_proveedores</t>
        </is>
      </c>
      <c r="G24" s="112" t="inlineStr">
        <is>
          <t>#Gobernanza_y_Ecosistema</t>
        </is>
      </c>
      <c r="H24" s="112" t="inlineStr">
        <is>
          <t>Obligatorio SEPS (Régimen General)</t>
        </is>
      </c>
      <c r="I24" s="112" t="inlineStr">
        <is>
          <t>-</t>
        </is>
      </c>
      <c r="J24" s="112" t="inlineStr">
        <is>
          <t>4. No Aplica</t>
        </is>
      </c>
      <c r="K24" s="112" t="inlineStr">
        <is>
          <t>No Aplica</t>
        </is>
      </c>
      <c r="L24" s="112" t="inlineStr">
        <is>
          <t>Control 5.23 no es pertinente a los procesos actuales de la entidad</t>
        </is>
      </c>
    </row>
    <row r="25" ht="36" customHeight="1" s="106">
      <c r="A25" s="38" t="inlineStr">
        <is>
          <t>5.24</t>
        </is>
      </c>
      <c r="B25" s="112" t="inlineStr">
        <is>
          <t>Planificación y preparación de la gestión de incidentes</t>
        </is>
      </c>
      <c r="C25" s="112" t="inlineStr">
        <is>
          <t>#Preventivo</t>
        </is>
      </c>
      <c r="D25" s="112" t="inlineStr">
        <is>
          <t>#Confidencialidad, #Integridad, #Disponibilidad</t>
        </is>
      </c>
      <c r="E25" s="112" t="inlineStr">
        <is>
          <t>#Responder</t>
        </is>
      </c>
      <c r="F25" s="38" t="inlineStr">
        <is>
          <t>#Seguridad_de_la_información_gestión_de_eventos</t>
        </is>
      </c>
      <c r="G25" s="112" t="inlineStr">
        <is>
          <t>#Gobernanza_y_Ecosistema</t>
        </is>
      </c>
      <c r="H25" s="112" t="inlineStr">
        <is>
          <t>Obligatorio SEPS (Régimen General)</t>
        </is>
      </c>
      <c r="I25" s="112" t="inlineStr">
        <is>
          <t>-</t>
        </is>
      </c>
      <c r="J25" s="112" t="inlineStr">
        <is>
          <t>1. Regulatorio SEPS 002-2022 + ISO 27001</t>
        </is>
      </c>
      <c r="K25" s="112" t="inlineStr">
        <is>
          <t>Aplica</t>
        </is>
      </c>
      <c r="L25" s="112" t="inlineStr">
        <is>
          <t>Requerido por ente regulador SEPS</t>
        </is>
      </c>
    </row>
    <row r="26" ht="36" customHeight="1" s="106">
      <c r="A26" s="38" t="inlineStr">
        <is>
          <t>5.25</t>
        </is>
      </c>
      <c r="B26" s="112" t="inlineStr">
        <is>
          <t>Evaluación y decisión sobre los eventos de seguridad</t>
        </is>
      </c>
      <c r="C26" s="112" t="inlineStr">
        <is>
          <t>#Detectivo</t>
        </is>
      </c>
      <c r="D26" s="112" t="inlineStr">
        <is>
          <t>#Confidencialidad, #Integridad, #Disponibilidad</t>
        </is>
      </c>
      <c r="E26" s="112" t="inlineStr">
        <is>
          <t>#Detectar</t>
        </is>
      </c>
      <c r="F26" s="38" t="inlineStr">
        <is>
          <t>#Seguridad_de_la_información_gestión_de_eventos</t>
        </is>
      </c>
      <c r="G26" s="112" t="inlineStr">
        <is>
          <t>#Gobernanza_y_Ecosistema</t>
        </is>
      </c>
      <c r="H26" s="112" t="inlineStr">
        <is>
          <t>Obligatorio SEPS (Régimen General)</t>
        </is>
      </c>
      <c r="I26" s="112" t="inlineStr">
        <is>
          <t>-</t>
        </is>
      </c>
      <c r="J26" s="112" t="inlineStr">
        <is>
          <t>1. Regulatorio SEPS 002-2022 + ISO 27001</t>
        </is>
      </c>
      <c r="K26" s="112" t="inlineStr">
        <is>
          <t>Aplica</t>
        </is>
      </c>
      <c r="L26" s="112" t="inlineStr">
        <is>
          <t>Requerido por ente regulador SEPS</t>
        </is>
      </c>
    </row>
    <row r="27" ht="48" customHeight="1" s="106">
      <c r="A27" s="38" t="inlineStr">
        <is>
          <t>5.26</t>
        </is>
      </c>
      <c r="B27" s="112" t="inlineStr">
        <is>
          <t>Respuesta a los incidentes de seguridad de la información</t>
        </is>
      </c>
      <c r="C27" s="112" t="inlineStr">
        <is>
          <t>#Correctivo</t>
        </is>
      </c>
      <c r="D27" s="112" t="inlineStr">
        <is>
          <t>#Confidencialidad, #Integridad, #Disponibilidad</t>
        </is>
      </c>
      <c r="E27" s="112" t="inlineStr">
        <is>
          <t>#Responder</t>
        </is>
      </c>
      <c r="F27" s="38" t="inlineStr">
        <is>
          <t>#Seguridad_de_la_información_gestión_de_eventos</t>
        </is>
      </c>
      <c r="G27" s="112" t="inlineStr">
        <is>
          <t>#Gobernanza_y_Ecosistema</t>
        </is>
      </c>
      <c r="H27" s="112" t="inlineStr">
        <is>
          <t>Obligatorio SEPS (Régimen General)</t>
        </is>
      </c>
      <c r="I27" s="112" t="inlineStr">
        <is>
          <t>-</t>
        </is>
      </c>
      <c r="J27" s="112" t="inlineStr">
        <is>
          <t>1. Regulatorio SEPS 002-2022 + ISO 27001</t>
        </is>
      </c>
      <c r="K27" s="112" t="inlineStr">
        <is>
          <t>Aplica</t>
        </is>
      </c>
      <c r="L27" s="112" t="inlineStr">
        <is>
          <t>Requerido por ente regulador SEPS</t>
        </is>
      </c>
    </row>
    <row r="28" ht="48" customHeight="1" s="106">
      <c r="A28" s="38" t="inlineStr">
        <is>
          <t>5.27</t>
        </is>
      </c>
      <c r="B28" s="112" t="inlineStr">
        <is>
          <t>Aprendizaje de los incidentes de seguridad de la información</t>
        </is>
      </c>
      <c r="C28" s="112" t="inlineStr">
        <is>
          <t>#Preventivo</t>
        </is>
      </c>
      <c r="D28" s="112" t="inlineStr">
        <is>
          <t>#Confidencialidad, #Integridad, #Disponibilidad</t>
        </is>
      </c>
      <c r="E28" s="112" t="inlineStr">
        <is>
          <t>#Identificar</t>
        </is>
      </c>
      <c r="F28" s="38" t="inlineStr">
        <is>
          <t>#Seguridad_de_la_información_gestión_de_eventos</t>
        </is>
      </c>
      <c r="G28" s="112" t="inlineStr">
        <is>
          <t>#Gobernanza_y_Ecosistema</t>
        </is>
      </c>
      <c r="H28" s="112" t="inlineStr">
        <is>
          <t>Obligatorio SEPS (Régimen General)</t>
        </is>
      </c>
      <c r="I28" s="112" t="inlineStr">
        <is>
          <t>-</t>
        </is>
      </c>
      <c r="J28" s="112" t="inlineStr">
        <is>
          <t>1. Regulatorio SEPS 002-2022 + ISO 27001</t>
        </is>
      </c>
      <c r="K28" s="112" t="inlineStr">
        <is>
          <t>Aplica</t>
        </is>
      </c>
      <c r="L28" s="112" t="inlineStr">
        <is>
          <t>Requerido por ente regulador SEPS</t>
        </is>
      </c>
    </row>
    <row r="29" ht="36" customHeight="1" s="106">
      <c r="A29" s="38" t="inlineStr">
        <is>
          <t>5.28</t>
        </is>
      </c>
      <c r="B29" s="112" t="inlineStr">
        <is>
          <t>Recolección de evidencias</t>
        </is>
      </c>
      <c r="C29" s="112" t="inlineStr">
        <is>
          <t>#Preventivo, #Correctivo</t>
        </is>
      </c>
      <c r="D29" s="112" t="inlineStr">
        <is>
          <t>#Confidencialidad, #Integridad, #Disponibilidad</t>
        </is>
      </c>
      <c r="E29" s="112" t="inlineStr">
        <is>
          <t>#Responder</t>
        </is>
      </c>
      <c r="F29" s="38" t="inlineStr">
        <is>
          <t>#Seguridad_de_la_información_gestión_de_eventos</t>
        </is>
      </c>
      <c r="G29" s="112" t="inlineStr">
        <is>
          <t>#Gobernanza_y_Ecosistema</t>
        </is>
      </c>
      <c r="H29" s="112" t="inlineStr">
        <is>
          <t>Obligatorio SEPS (Régimen General)</t>
        </is>
      </c>
      <c r="I29" s="112" t="inlineStr">
        <is>
          <t>-</t>
        </is>
      </c>
      <c r="J29" s="112" t="inlineStr">
        <is>
          <t>1. Regulatorio SEPS 002-2022 + ISO 27001</t>
        </is>
      </c>
      <c r="K29" s="112" t="inlineStr">
        <is>
          <t>Aplica</t>
        </is>
      </c>
      <c r="L29" s="112" t="inlineStr">
        <is>
          <t>Requerido por ente regulador SEPS</t>
        </is>
      </c>
    </row>
    <row r="30" ht="48" customHeight="1" s="106">
      <c r="A30" s="38" t="inlineStr">
        <is>
          <t>5.29</t>
        </is>
      </c>
      <c r="B30" s="112" t="inlineStr">
        <is>
          <t>Seguridad de la información durante la interrupción</t>
        </is>
      </c>
      <c r="C30" s="112" t="inlineStr">
        <is>
          <t>#Preventivo</t>
        </is>
      </c>
      <c r="D30" s="112" t="inlineStr">
        <is>
          <t>#Confidencialidad, #Integridad, #Disponibilidad</t>
        </is>
      </c>
      <c r="E30" s="112" t="inlineStr">
        <is>
          <t>#Recuperar</t>
        </is>
      </c>
      <c r="F30" s="38" t="inlineStr">
        <is>
          <t>#Continuidad</t>
        </is>
      </c>
      <c r="G30" s="112" t="inlineStr">
        <is>
          <t>#Resiliencia</t>
        </is>
      </c>
      <c r="H30" s="112" t="inlineStr">
        <is>
          <t>Obligatorio SEPS (Régimen General)</t>
        </is>
      </c>
      <c r="I30" s="112" t="inlineStr">
        <is>
          <t>C6: Procedimientos de reversión (rollback) / Respaldo</t>
        </is>
      </c>
      <c r="J30" s="112" t="inlineStr">
        <is>
          <t>2. Metodología Interna GSO-GSI + ISO 27001</t>
        </is>
      </c>
      <c r="K30" s="112" t="inlineStr">
        <is>
          <t>Aplica</t>
        </is>
      </c>
      <c r="L30" s="112" t="inlineStr">
        <is>
          <t>Requisito interno GSO-GSI</t>
        </is>
      </c>
    </row>
    <row r="31" ht="48" customHeight="1" s="106">
      <c r="A31" s="38" t="inlineStr">
        <is>
          <t>5.30</t>
        </is>
      </c>
      <c r="B31" s="112" t="inlineStr">
        <is>
          <t>Preparación de las TIC para la continuidad del negocio</t>
        </is>
      </c>
      <c r="C31" s="112" t="inlineStr">
        <is>
          <t>#Preventivo</t>
        </is>
      </c>
      <c r="D31" s="112" t="inlineStr">
        <is>
          <t>#Confidencialidad, #Integridad, #Disponibilidad</t>
        </is>
      </c>
      <c r="E31" s="112" t="inlineStr">
        <is>
          <t>#Recuperar</t>
        </is>
      </c>
      <c r="F31" s="38" t="inlineStr">
        <is>
          <t>#Continuidad</t>
        </is>
      </c>
      <c r="G31" s="112" t="inlineStr">
        <is>
          <t>#Resiliencia</t>
        </is>
      </c>
      <c r="H31" s="112" t="inlineStr">
        <is>
          <t>Obligatorio SEPS (Régimen General)</t>
        </is>
      </c>
      <c r="I31" s="112" t="inlineStr">
        <is>
          <t>-</t>
        </is>
      </c>
      <c r="J31" s="112" t="inlineStr">
        <is>
          <t>1. Regulatorio SEPS 002-2022 + ISO 27001</t>
        </is>
      </c>
      <c r="K31" s="112" t="inlineStr">
        <is>
          <t>Aplica</t>
        </is>
      </c>
      <c r="L31" s="112" t="inlineStr">
        <is>
          <t>Requerido por ente regulador SEPS</t>
        </is>
      </c>
    </row>
    <row r="32" ht="48" customHeight="1" s="106">
      <c r="A32" s="38" t="inlineStr">
        <is>
          <t>5.31</t>
        </is>
      </c>
      <c r="B32" s="112" t="inlineStr">
        <is>
          <t>Requisitos legales, estatutarios, reglamentarios y contractuales</t>
        </is>
      </c>
      <c r="C32" s="112" t="inlineStr">
        <is>
          <t>#Preventivo</t>
        </is>
      </c>
      <c r="D32" s="112" t="inlineStr">
        <is>
          <t>#Confidencialidad, #Integridad, #Disponibilidad</t>
        </is>
      </c>
      <c r="E32" s="112" t="inlineStr">
        <is>
          <t>#Identificar</t>
        </is>
      </c>
      <c r="F32" s="38" t="inlineStr">
        <is>
          <t>#Gobernanza</t>
        </is>
      </c>
      <c r="G32" s="112" t="inlineStr">
        <is>
          <t>#Gobernanza_y_Ecosistema</t>
        </is>
      </c>
      <c r="H32" s="112" t="inlineStr">
        <is>
          <t>Obligatorio SEPS (Régimen General)</t>
        </is>
      </c>
      <c r="I32" s="112" t="inlineStr">
        <is>
          <t>-</t>
        </is>
      </c>
      <c r="J32" s="112" t="inlineStr">
        <is>
          <t>1. Regulatorio SEPS 002-2022 + ISO 27001</t>
        </is>
      </c>
      <c r="K32" s="112" t="inlineStr">
        <is>
          <t>Aplica</t>
        </is>
      </c>
      <c r="L32" s="112" t="inlineStr">
        <is>
          <t>Requerido por ente regulador SEPS</t>
        </is>
      </c>
    </row>
    <row r="33" ht="60" customHeight="1" s="106">
      <c r="A33" s="38" t="inlineStr">
        <is>
          <t>5.32</t>
        </is>
      </c>
      <c r="B33" s="112" t="inlineStr">
        <is>
          <t>Derechos de propiedad intelectual</t>
        </is>
      </c>
      <c r="C33" s="112" t="inlineStr">
        <is>
          <t>#Preventivo</t>
        </is>
      </c>
      <c r="D33" s="112" t="inlineStr">
        <is>
          <t>#Confidencialidad, #Integridad, #Disponibilidad</t>
        </is>
      </c>
      <c r="E33" s="112" t="inlineStr">
        <is>
          <t>#Proteger</t>
        </is>
      </c>
      <c r="F33" s="38" t="inlineStr">
        <is>
          <t>#Gobernanza</t>
        </is>
      </c>
      <c r="G33" s="112" t="inlineStr">
        <is>
          <t>#Gobernanza_y_Ecosistema</t>
        </is>
      </c>
      <c r="H33" s="112" t="inlineStr">
        <is>
          <t>Mejor Práctica (No obligatorio SEPS)</t>
        </is>
      </c>
      <c r="I33" s="112" t="inlineStr">
        <is>
          <t>-</t>
        </is>
      </c>
      <c r="J33" s="112" t="inlineStr">
        <is>
          <t>3. Tratamiento de Riesgos Específico (ISO 27002 / MAGERIT)</t>
        </is>
      </c>
      <c r="K33" s="112" t="inlineStr">
        <is>
          <t>No Aplica</t>
        </is>
      </c>
      <c r="L33" s="112" t="inlineStr">
        <is>
          <t>No aplicable a la arquitectura/infraestructura actual</t>
        </is>
      </c>
    </row>
    <row r="34" ht="36" customHeight="1" s="106">
      <c r="A34" s="38" t="inlineStr">
        <is>
          <t>5.33</t>
        </is>
      </c>
      <c r="B34" s="112" t="inlineStr">
        <is>
          <t>Protección de los registros</t>
        </is>
      </c>
      <c r="C34" s="112" t="inlineStr">
        <is>
          <t>#Preventivo</t>
        </is>
      </c>
      <c r="D34" s="112" t="inlineStr">
        <is>
          <t>#Confidencialidad, #Integridad, #Disponibilidad</t>
        </is>
      </c>
      <c r="E34" s="112" t="inlineStr">
        <is>
          <t>#Proteger</t>
        </is>
      </c>
      <c r="F34" s="38" t="inlineStr">
        <is>
          <t>#Protección_de_la_información</t>
        </is>
      </c>
      <c r="G34" s="112" t="inlineStr">
        <is>
          <t>#Gobernanza_y_Ecosistema</t>
        </is>
      </c>
      <c r="H34" s="112" t="inlineStr">
        <is>
          <t>Obligatorio SEPS (Régimen General)</t>
        </is>
      </c>
      <c r="I34" s="112" t="inlineStr">
        <is>
          <t>-</t>
        </is>
      </c>
      <c r="J34" s="112" t="inlineStr">
        <is>
          <t>1. Regulatorio SEPS 002-2022 + ISO 27001</t>
        </is>
      </c>
      <c r="K34" s="112" t="inlineStr">
        <is>
          <t>Aplica</t>
        </is>
      </c>
      <c r="L34" s="112" t="inlineStr">
        <is>
          <t>Requerido por ente regulador SEPS</t>
        </is>
      </c>
    </row>
    <row r="35" ht="60" customHeight="1" s="106">
      <c r="A35" s="38" t="inlineStr">
        <is>
          <t>5.34</t>
        </is>
      </c>
      <c r="B35" s="112" t="inlineStr">
        <is>
          <t>Privacidad y protección de la información de identificación personal (PII)</t>
        </is>
      </c>
      <c r="C35" s="112" t="inlineStr">
        <is>
          <t>#Preventivo</t>
        </is>
      </c>
      <c r="D35" s="112" t="inlineStr">
        <is>
          <t>#Confidencialidad, #Integridad</t>
        </is>
      </c>
      <c r="E35" s="112" t="inlineStr">
        <is>
          <t>#Proteger</t>
        </is>
      </c>
      <c r="F35" s="38" t="inlineStr">
        <is>
          <t>#Gobernanza</t>
        </is>
      </c>
      <c r="G35" s="112" t="inlineStr">
        <is>
          <t>#Gobernanza_y_Ecosistema</t>
        </is>
      </c>
      <c r="H35" s="112" t="inlineStr">
        <is>
          <t>Obligatorio SEPS (Régimen General)</t>
        </is>
      </c>
      <c r="I35" s="112" t="inlineStr">
        <is>
          <t>-</t>
        </is>
      </c>
      <c r="J35" s="112" t="inlineStr">
        <is>
          <t>1. Regulatorio SEPS 002-2022 + ISO 27001</t>
        </is>
      </c>
      <c r="K35" s="112" t="inlineStr">
        <is>
          <t>Aplica</t>
        </is>
      </c>
      <c r="L35" s="112" t="inlineStr">
        <is>
          <t>Requerido por ente regulador SEPS</t>
        </is>
      </c>
    </row>
    <row r="36" ht="48" customHeight="1" s="106">
      <c r="A36" s="38" t="inlineStr">
        <is>
          <t>5.35</t>
        </is>
      </c>
      <c r="B36" s="112" t="inlineStr">
        <is>
          <t>Revisión independiente de la seguridad de la información</t>
        </is>
      </c>
      <c r="C36" s="112" t="inlineStr">
        <is>
          <t>#Preventivo</t>
        </is>
      </c>
      <c r="D36" s="112" t="inlineStr">
        <is>
          <t>#Confidencialidad, #Integridad, #Disponibilidad</t>
        </is>
      </c>
      <c r="E36" s="112" t="inlineStr">
        <is>
          <t>#Identificar</t>
        </is>
      </c>
      <c r="F36" s="38" t="inlineStr">
        <is>
          <t>#Información_seguridad_garantía</t>
        </is>
      </c>
      <c r="G36" s="112" t="inlineStr">
        <is>
          <t>#Gobernanza_y_Ecosistema</t>
        </is>
      </c>
      <c r="H36" s="112" t="inlineStr">
        <is>
          <t>Obligatorio SEPS (Régimen General)</t>
        </is>
      </c>
      <c r="I36" s="112" t="inlineStr">
        <is>
          <t>-</t>
        </is>
      </c>
      <c r="J36" s="112" t="inlineStr">
        <is>
          <t>1. Regulatorio SEPS 002-2022 + ISO 27001</t>
        </is>
      </c>
      <c r="K36" s="112" t="inlineStr">
        <is>
          <t>Aplica</t>
        </is>
      </c>
      <c r="L36" s="112" t="inlineStr">
        <is>
          <t>Requerido por ente regulador SEPS</t>
        </is>
      </c>
    </row>
    <row r="37" ht="48" customHeight="1" s="106">
      <c r="A37" s="38" t="inlineStr">
        <is>
          <t>5.36</t>
        </is>
      </c>
      <c r="B37" s="112" t="inlineStr">
        <is>
          <t>Cumplimiento de las políticas, normas y estándares de seguridad</t>
        </is>
      </c>
      <c r="C37" s="112" t="inlineStr">
        <is>
          <t>#Preventivo</t>
        </is>
      </c>
      <c r="D37" s="112" t="inlineStr">
        <is>
          <t>#Confidencialidad, #Integridad, #Disponibilidad</t>
        </is>
      </c>
      <c r="E37" s="112" t="inlineStr">
        <is>
          <t>#Identificar</t>
        </is>
      </c>
      <c r="F37" s="38" t="inlineStr">
        <is>
          <t>#Gobernanza</t>
        </is>
      </c>
      <c r="G37" s="112" t="inlineStr">
        <is>
          <t>#Gobernanza_y_Ecosistema</t>
        </is>
      </c>
      <c r="H37" s="112" t="inlineStr">
        <is>
          <t>Obligatorio SEPS (Régimen General)</t>
        </is>
      </c>
      <c r="I37" s="112" t="inlineStr">
        <is>
          <t>-</t>
        </is>
      </c>
      <c r="J37" s="112" t="inlineStr">
        <is>
          <t>1. Regulatorio SEPS 002-2022 + ISO 27001</t>
        </is>
      </c>
      <c r="K37" s="112" t="inlineStr">
        <is>
          <t>Aplica</t>
        </is>
      </c>
      <c r="L37" s="112" t="inlineStr">
        <is>
          <t>Requerido por ente regulador SEPS</t>
        </is>
      </c>
    </row>
    <row r="38" ht="36" customHeight="1" s="106">
      <c r="A38" s="38" t="inlineStr">
        <is>
          <t>5.37</t>
        </is>
      </c>
      <c r="B38" s="112" t="inlineStr">
        <is>
          <t>Procedimientos operativos documentados</t>
        </is>
      </c>
      <c r="C38" s="112" t="inlineStr">
        <is>
          <t>#Preventivo</t>
        </is>
      </c>
      <c r="D38" s="112" t="inlineStr">
        <is>
          <t>#Confidencialidad, #Integridad, #Disponibilidad</t>
        </is>
      </c>
      <c r="E38" s="112" t="inlineStr">
        <is>
          <t>#Proteger</t>
        </is>
      </c>
      <c r="F38" s="38" t="inlineStr">
        <is>
          <t>#Gobernanza</t>
        </is>
      </c>
      <c r="G38" s="112" t="inlineStr">
        <is>
          <t>#Gobernanza_y_Ecosistema</t>
        </is>
      </c>
      <c r="H38" s="112" t="inlineStr">
        <is>
          <t>Obligatorio SEPS (Régimen General)</t>
        </is>
      </c>
      <c r="I38" s="112" t="inlineStr">
        <is>
          <t>-</t>
        </is>
      </c>
      <c r="J38" s="112" t="inlineStr">
        <is>
          <t>1. Regulatorio SEPS 002-2022 + ISO 27001</t>
        </is>
      </c>
      <c r="K38" s="112" t="inlineStr">
        <is>
          <t>Aplica</t>
        </is>
      </c>
      <c r="L38" s="112" t="inlineStr">
        <is>
          <t>Requerido por ente regulador SEPS</t>
        </is>
      </c>
    </row>
    <row r="39" ht="36" customHeight="1" s="106">
      <c r="A39" s="38" t="inlineStr">
        <is>
          <t>6.1</t>
        </is>
      </c>
      <c r="B39" s="112" t="inlineStr">
        <is>
          <t>Investigación de antecedentes</t>
        </is>
      </c>
      <c r="C39" s="112" t="inlineStr">
        <is>
          <t>#Preventivo</t>
        </is>
      </c>
      <c r="D39" s="112" t="inlineStr">
        <is>
          <t>#Confidencialidad, #Integridad, #Disponibilidad</t>
        </is>
      </c>
      <c r="E39" s="112" t="inlineStr">
        <is>
          <t>#Proteger</t>
        </is>
      </c>
      <c r="F39" s="38" t="inlineStr">
        <is>
          <t>#Seguridad_de_recursos_humanos</t>
        </is>
      </c>
      <c r="G39" s="112" t="inlineStr">
        <is>
          <t>#Proteccion</t>
        </is>
      </c>
      <c r="H39" s="112" t="inlineStr">
        <is>
          <t>Obligatorio SEPS (Régimen General)</t>
        </is>
      </c>
      <c r="I39" s="112" t="inlineStr">
        <is>
          <t>-</t>
        </is>
      </c>
      <c r="J39" s="112" t="inlineStr">
        <is>
          <t>1. Regulatorio SEPS 002-2022 + ISO 27001</t>
        </is>
      </c>
      <c r="K39" s="112" t="inlineStr">
        <is>
          <t>Aplica</t>
        </is>
      </c>
      <c r="L39" s="112" t="inlineStr">
        <is>
          <t>Requerido por ente regulador SEPS</t>
        </is>
      </c>
    </row>
    <row r="40" ht="36" customHeight="1" s="106">
      <c r="A40" s="38" t="inlineStr">
        <is>
          <t>6.2</t>
        </is>
      </c>
      <c r="B40" s="112" t="inlineStr">
        <is>
          <t>Términos y condiciones de empleo</t>
        </is>
      </c>
      <c r="C40" s="112" t="inlineStr">
        <is>
          <t>#Preventivo</t>
        </is>
      </c>
      <c r="D40" s="112" t="inlineStr">
        <is>
          <t>#Confidencialidad, #Integridad, #Disponibilidad</t>
        </is>
      </c>
      <c r="E40" s="112" t="inlineStr">
        <is>
          <t>#Proteger</t>
        </is>
      </c>
      <c r="F40" s="38" t="inlineStr">
        <is>
          <t>#Seguridad_de_recursos_humanos</t>
        </is>
      </c>
      <c r="G40" s="112" t="inlineStr">
        <is>
          <t>#Proteccion</t>
        </is>
      </c>
      <c r="H40" s="112" t="inlineStr">
        <is>
          <t>Obligatorio SEPS (Régimen General)</t>
        </is>
      </c>
      <c r="I40" s="112" t="inlineStr">
        <is>
          <t>-</t>
        </is>
      </c>
      <c r="J40" s="112" t="inlineStr">
        <is>
          <t>1. Regulatorio SEPS 002-2022 + ISO 27001</t>
        </is>
      </c>
      <c r="K40" s="112" t="inlineStr">
        <is>
          <t>Aplica</t>
        </is>
      </c>
      <c r="L40" s="112" t="inlineStr">
        <is>
          <t>Requerido por ente regulador SEPS</t>
        </is>
      </c>
    </row>
    <row r="41" ht="36" customHeight="1" s="106">
      <c r="A41" s="38" t="inlineStr">
        <is>
          <t>6.3</t>
        </is>
      </c>
      <c r="B41" s="112" t="inlineStr">
        <is>
          <t>Concienciación, educación y capacitación</t>
        </is>
      </c>
      <c r="C41" s="112" t="inlineStr">
        <is>
          <t>#Preventivo</t>
        </is>
      </c>
      <c r="D41" s="112" t="inlineStr">
        <is>
          <t>#Confidencialidad, #Integridad, #Disponibilidad</t>
        </is>
      </c>
      <c r="E41" s="112" t="inlineStr">
        <is>
          <t>#Proteger</t>
        </is>
      </c>
      <c r="F41" s="38" t="inlineStr">
        <is>
          <t>#Seguridad_de_recursos_humanos</t>
        </is>
      </c>
      <c r="G41" s="112" t="inlineStr">
        <is>
          <t>#Proteccion</t>
        </is>
      </c>
      <c r="H41" s="112" t="inlineStr">
        <is>
          <t>Obligatorio SEPS (Régimen General)</t>
        </is>
      </c>
      <c r="I41" s="112" t="inlineStr">
        <is>
          <t>C5: Programas de concienciación y capacitación</t>
        </is>
      </c>
      <c r="J41" s="112" t="inlineStr">
        <is>
          <t>2. Metodología Interna GSO-GSI + ISO 27001</t>
        </is>
      </c>
      <c r="K41" s="112" t="inlineStr">
        <is>
          <t>Aplica</t>
        </is>
      </c>
      <c r="L41" s="112" t="inlineStr">
        <is>
          <t>Requisito interno GSO-GSI</t>
        </is>
      </c>
    </row>
    <row r="42" ht="36" customHeight="1" s="106">
      <c r="A42" s="38" t="inlineStr">
        <is>
          <t>6.4</t>
        </is>
      </c>
      <c r="B42" s="112" t="inlineStr">
        <is>
          <t>Proceso disciplinario</t>
        </is>
      </c>
      <c r="C42" s="112" t="inlineStr">
        <is>
          <t>#Correctivo, #Preventivo</t>
        </is>
      </c>
      <c r="D42" s="112" t="inlineStr">
        <is>
          <t>#Confidencialidad, #Integridad, #Disponibilidad</t>
        </is>
      </c>
      <c r="E42" s="112" t="inlineStr">
        <is>
          <t>#Responder</t>
        </is>
      </c>
      <c r="F42" s="38" t="inlineStr">
        <is>
          <t>#Seguridad_de_recursos_humanos</t>
        </is>
      </c>
      <c r="G42" s="112" t="inlineStr">
        <is>
          <t>#Defensa</t>
        </is>
      </c>
      <c r="H42" s="112" t="inlineStr">
        <is>
          <t>Obligatorio SEPS (Régimen General)</t>
        </is>
      </c>
      <c r="I42" s="112" t="inlineStr">
        <is>
          <t>-</t>
        </is>
      </c>
      <c r="J42" s="112" t="inlineStr">
        <is>
          <t>1. Regulatorio SEPS 002-2022 + ISO 27001</t>
        </is>
      </c>
      <c r="K42" s="112" t="inlineStr">
        <is>
          <t>Aplica</t>
        </is>
      </c>
      <c r="L42" s="112" t="inlineStr">
        <is>
          <t>Requerido por ente regulador SEPS</t>
        </is>
      </c>
    </row>
    <row r="43" ht="48" customHeight="1" s="106">
      <c r="A43" s="38" t="inlineStr">
        <is>
          <t>6.5</t>
        </is>
      </c>
      <c r="B43" s="112" t="inlineStr">
        <is>
          <t>Responsabilidades después de la terminación o cambio de empleo</t>
        </is>
      </c>
      <c r="C43" s="112" t="inlineStr">
        <is>
          <t>#Preventivo</t>
        </is>
      </c>
      <c r="D43" s="112" t="inlineStr">
        <is>
          <t>#Confidencialidad, #Integridad, #Disponibilidad</t>
        </is>
      </c>
      <c r="E43" s="112" t="inlineStr">
        <is>
          <t>#Proteger</t>
        </is>
      </c>
      <c r="F43" s="38" t="inlineStr">
        <is>
          <t>#Seguridad_de_recursos_humanos</t>
        </is>
      </c>
      <c r="G43" s="112" t="inlineStr">
        <is>
          <t>#Proteccion</t>
        </is>
      </c>
      <c r="H43" s="112" t="inlineStr">
        <is>
          <t>Obligatorio SEPS (Régimen General)</t>
        </is>
      </c>
      <c r="I43" s="112" t="inlineStr">
        <is>
          <t>-</t>
        </is>
      </c>
      <c r="J43" s="112" t="inlineStr">
        <is>
          <t>1. Regulatorio SEPS 002-2022 + ISO 27001</t>
        </is>
      </c>
      <c r="K43" s="112" t="inlineStr">
        <is>
          <t>Aplica</t>
        </is>
      </c>
      <c r="L43" s="112" t="inlineStr">
        <is>
          <t>Requerido por ente regulador SEPS</t>
        </is>
      </c>
    </row>
    <row r="44" ht="36" customHeight="1" s="106">
      <c r="A44" s="38" t="inlineStr">
        <is>
          <t>6.6</t>
        </is>
      </c>
      <c r="B44" s="112" t="inlineStr">
        <is>
          <t>Acuerdos de confidencialidad o no divulgación</t>
        </is>
      </c>
      <c r="C44" s="112" t="inlineStr">
        <is>
          <t>#Preventivo</t>
        </is>
      </c>
      <c r="D44" s="112" t="inlineStr">
        <is>
          <t>#Confidencialidad, #Integridad, #Disponibilidad</t>
        </is>
      </c>
      <c r="E44" s="112" t="inlineStr">
        <is>
          <t>#Proteger</t>
        </is>
      </c>
      <c r="F44" s="38" t="inlineStr">
        <is>
          <t>#Seguridad_de_recursos_humanos</t>
        </is>
      </c>
      <c r="G44" s="112" t="inlineStr">
        <is>
          <t>#Proteccion</t>
        </is>
      </c>
      <c r="H44" s="112" t="inlineStr">
        <is>
          <t>Obligatorio SEPS (Régimen General)</t>
        </is>
      </c>
      <c r="I44" s="112" t="inlineStr">
        <is>
          <t>C3: Acuerdos de confidencialidad</t>
        </is>
      </c>
      <c r="J44" s="112" t="inlineStr">
        <is>
          <t>2. Metodología Interna GSO-GSI + ISO 27001</t>
        </is>
      </c>
      <c r="K44" s="112" t="inlineStr">
        <is>
          <t>Aplica</t>
        </is>
      </c>
      <c r="L44" s="112" t="inlineStr">
        <is>
          <t>Requisito interno GSO-GSI</t>
        </is>
      </c>
    </row>
    <row r="45" ht="48" customHeight="1" s="106">
      <c r="A45" s="38" t="inlineStr">
        <is>
          <t>6.7</t>
        </is>
      </c>
      <c r="B45" s="112" t="inlineStr">
        <is>
          <t>Trabajo a distancia</t>
        </is>
      </c>
      <c r="C45" s="112" t="inlineStr">
        <is>
          <t>#Preventivo</t>
        </is>
      </c>
      <c r="D45" s="112" t="inlineStr">
        <is>
          <t>#Confidencialidad, #Integridad, #Disponibilidad</t>
        </is>
      </c>
      <c r="E45" s="112" t="inlineStr">
        <is>
          <t>#Proteger</t>
        </is>
      </c>
      <c r="F45" s="38" t="inlineStr">
        <is>
          <t>#Seguridad_de_recursos_humanos</t>
        </is>
      </c>
      <c r="G45" s="112" t="inlineStr">
        <is>
          <t>#Proteccion</t>
        </is>
      </c>
      <c r="H45" s="112" t="inlineStr">
        <is>
          <t>Obligatorio SEPS (Régimen General)</t>
        </is>
      </c>
      <c r="I45" s="112" t="inlineStr">
        <is>
          <t>-</t>
        </is>
      </c>
      <c r="J45" s="112" t="inlineStr">
        <is>
          <t>4. No Aplica</t>
        </is>
      </c>
      <c r="K45" s="112" t="inlineStr">
        <is>
          <t>No Aplica</t>
        </is>
      </c>
      <c r="L45" s="112" t="inlineStr">
        <is>
          <t>Control 6.7 no es pertinente a los procesos actuales de la entidad</t>
        </is>
      </c>
    </row>
    <row r="46" ht="36" customHeight="1" s="106">
      <c r="A46" s="38" t="inlineStr">
        <is>
          <t>6.8</t>
        </is>
      </c>
      <c r="B46" s="112" t="inlineStr">
        <is>
          <t>Notificación de eventos de seguridad de la información</t>
        </is>
      </c>
      <c r="C46" s="112" t="inlineStr">
        <is>
          <t>#Preventivo, #Detectivo</t>
        </is>
      </c>
      <c r="D46" s="112" t="inlineStr">
        <is>
          <t>#Confidencialidad, #Integridad, #Disponibilidad</t>
        </is>
      </c>
      <c r="E46" s="112" t="inlineStr">
        <is>
          <t>#Detectar</t>
        </is>
      </c>
      <c r="F46" s="38" t="inlineStr">
        <is>
          <t>#Seguridad_de_recursos_humanos</t>
        </is>
      </c>
      <c r="G46" s="112" t="inlineStr">
        <is>
          <t>#Defensa</t>
        </is>
      </c>
      <c r="H46" s="112" t="inlineStr">
        <is>
          <t>Obligatorio SEPS (Régimen General)</t>
        </is>
      </c>
      <c r="I46" s="112" t="inlineStr">
        <is>
          <t>-</t>
        </is>
      </c>
      <c r="J46" s="112" t="inlineStr">
        <is>
          <t>1. Regulatorio SEPS 002-2022 + ISO 27001</t>
        </is>
      </c>
      <c r="K46" s="112" t="inlineStr">
        <is>
          <t>Aplica</t>
        </is>
      </c>
      <c r="L46" s="112" t="inlineStr">
        <is>
          <t>Requerido por ente regulador SEPS</t>
        </is>
      </c>
    </row>
    <row r="47" ht="36" customHeight="1" s="106">
      <c r="A47" s="38" t="inlineStr">
        <is>
          <t>7.1</t>
        </is>
      </c>
      <c r="B47" s="112" t="inlineStr">
        <is>
          <t>Perímetros de seguridad física</t>
        </is>
      </c>
      <c r="C47" s="112" t="inlineStr">
        <is>
          <t>#Preventivo</t>
        </is>
      </c>
      <c r="D47" s="112" t="inlineStr">
        <is>
          <t>#Confidencialidad, #Integridad, #Disponibilidad</t>
        </is>
      </c>
      <c r="E47" s="112" t="inlineStr">
        <is>
          <t>#Proteger</t>
        </is>
      </c>
      <c r="F47" s="38" t="inlineStr">
        <is>
          <t>#Seguridad_física</t>
        </is>
      </c>
      <c r="G47" s="112" t="inlineStr">
        <is>
          <t>#Proteccion</t>
        </is>
      </c>
      <c r="H47" s="112" t="inlineStr">
        <is>
          <t>Obligatorio SEPS (Régimen General)</t>
        </is>
      </c>
      <c r="I47" s="112" t="inlineStr">
        <is>
          <t>-</t>
        </is>
      </c>
      <c r="J47" s="112" t="inlineStr">
        <is>
          <t>1. Regulatorio SEPS 002-2022 + ISO 27001</t>
        </is>
      </c>
      <c r="K47" s="112" t="inlineStr">
        <is>
          <t>Aplica</t>
        </is>
      </c>
      <c r="L47" s="112" t="inlineStr">
        <is>
          <t>Requerido por ente regulador SEPS</t>
        </is>
      </c>
    </row>
    <row r="48" ht="36" customHeight="1" s="106">
      <c r="A48" s="38" t="inlineStr">
        <is>
          <t>7.2</t>
        </is>
      </c>
      <c r="B48" s="112" t="inlineStr">
        <is>
          <t>Controles de entrada física</t>
        </is>
      </c>
      <c r="C48" s="112" t="inlineStr">
        <is>
          <t>#Preventivo</t>
        </is>
      </c>
      <c r="D48" s="112" t="inlineStr">
        <is>
          <t>#Confidencialidad, #Integridad, #Disponibilidad</t>
        </is>
      </c>
      <c r="E48" s="112" t="inlineStr">
        <is>
          <t>#Proteger</t>
        </is>
      </c>
      <c r="F48" s="38" t="inlineStr">
        <is>
          <t>#Seguridad_física</t>
        </is>
      </c>
      <c r="G48" s="112" t="inlineStr">
        <is>
          <t>#Proteccion</t>
        </is>
      </c>
      <c r="H48" s="112" t="inlineStr">
        <is>
          <t>Obligatorio SEPS (Régimen General)</t>
        </is>
      </c>
      <c r="I48" s="112" t="inlineStr">
        <is>
          <t>-</t>
        </is>
      </c>
      <c r="J48" s="112" t="inlineStr">
        <is>
          <t>1. Regulatorio SEPS 002-2022 + ISO 27001</t>
        </is>
      </c>
      <c r="K48" s="112" t="inlineStr">
        <is>
          <t>Aplica</t>
        </is>
      </c>
      <c r="L48" s="112" t="inlineStr">
        <is>
          <t>Requerido por ente regulador SEPS</t>
        </is>
      </c>
    </row>
    <row r="49" ht="36" customHeight="1" s="106">
      <c r="A49" s="38" t="inlineStr">
        <is>
          <t>7.3</t>
        </is>
      </c>
      <c r="B49" s="112" t="inlineStr">
        <is>
          <t>Seguridad de oficinas, despachos e instalaciones</t>
        </is>
      </c>
      <c r="C49" s="112" t="inlineStr">
        <is>
          <t>#Preventivo</t>
        </is>
      </c>
      <c r="D49" s="112" t="inlineStr">
        <is>
          <t>#Confidencialidad, #Integridad, #Disponibilidad</t>
        </is>
      </c>
      <c r="E49" s="112" t="inlineStr">
        <is>
          <t>#Proteger</t>
        </is>
      </c>
      <c r="F49" s="38" t="inlineStr">
        <is>
          <t>#Seguridad_física</t>
        </is>
      </c>
      <c r="G49" s="112" t="inlineStr">
        <is>
          <t>#Proteccion</t>
        </is>
      </c>
      <c r="H49" s="112" t="inlineStr">
        <is>
          <t>Obligatorio SEPS (Régimen General)</t>
        </is>
      </c>
      <c r="I49" s="112" t="inlineStr">
        <is>
          <t>-</t>
        </is>
      </c>
      <c r="J49" s="112" t="inlineStr">
        <is>
          <t>1. Regulatorio SEPS 002-2022 + ISO 27001</t>
        </is>
      </c>
      <c r="K49" s="112" t="inlineStr">
        <is>
          <t>Aplica</t>
        </is>
      </c>
      <c r="L49" s="112" t="inlineStr">
        <is>
          <t>Requerido por ente regulador SEPS</t>
        </is>
      </c>
    </row>
    <row r="50" ht="36" customHeight="1" s="106">
      <c r="A50" s="38" t="inlineStr">
        <is>
          <t>7.4</t>
        </is>
      </c>
      <c r="B50" s="112" t="inlineStr">
        <is>
          <t>Supervisión de la seguridad física</t>
        </is>
      </c>
      <c r="C50" s="112" t="inlineStr">
        <is>
          <t>#Detectivo</t>
        </is>
      </c>
      <c r="D50" s="112" t="inlineStr">
        <is>
          <t>#Confidencialidad, #Integridad, #Disponibilidad</t>
        </is>
      </c>
      <c r="E50" s="112" t="inlineStr">
        <is>
          <t>#Detectar</t>
        </is>
      </c>
      <c r="F50" s="38" t="inlineStr">
        <is>
          <t>#Seguridad_física</t>
        </is>
      </c>
      <c r="G50" s="112" t="inlineStr">
        <is>
          <t>#Proteccion</t>
        </is>
      </c>
      <c r="H50" s="112" t="inlineStr">
        <is>
          <t>Obligatorio SEPS (Régimen General)</t>
        </is>
      </c>
      <c r="I50" s="112" t="inlineStr">
        <is>
          <t>-</t>
        </is>
      </c>
      <c r="J50" s="112" t="inlineStr">
        <is>
          <t>1. Regulatorio SEPS 002-2022 + ISO 27001</t>
        </is>
      </c>
      <c r="K50" s="112" t="inlineStr">
        <is>
          <t>Aplica</t>
        </is>
      </c>
      <c r="L50" s="112" t="inlineStr">
        <is>
          <t>Requerido por ente regulador SEPS</t>
        </is>
      </c>
    </row>
    <row r="51" ht="36" customHeight="1" s="106">
      <c r="A51" s="38" t="inlineStr">
        <is>
          <t>7.5</t>
        </is>
      </c>
      <c r="B51" s="112" t="inlineStr">
        <is>
          <t>Protección contra amenazas físicas y ambientales</t>
        </is>
      </c>
      <c r="C51" s="112" t="inlineStr">
        <is>
          <t>#Preventivo</t>
        </is>
      </c>
      <c r="D51" s="112" t="inlineStr">
        <is>
          <t>#Confidencialidad, #Integridad, #Disponibilidad</t>
        </is>
      </c>
      <c r="E51" s="112" t="inlineStr">
        <is>
          <t>#Proteger</t>
        </is>
      </c>
      <c r="F51" s="38" t="inlineStr">
        <is>
          <t>#Seguridad_física</t>
        </is>
      </c>
      <c r="G51" s="112" t="inlineStr">
        <is>
          <t>#Resiliencia</t>
        </is>
      </c>
      <c r="H51" s="112" t="inlineStr">
        <is>
          <t>Obligatorio SEPS (Régimen General)</t>
        </is>
      </c>
      <c r="I51" s="112" t="inlineStr">
        <is>
          <t>-</t>
        </is>
      </c>
      <c r="J51" s="112" t="inlineStr">
        <is>
          <t>1. Regulatorio SEPS 002-2022 + ISO 27001</t>
        </is>
      </c>
      <c r="K51" s="112" t="inlineStr">
        <is>
          <t>Aplica</t>
        </is>
      </c>
      <c r="L51" s="112" t="inlineStr">
        <is>
          <t>Requerido por ente regulador SEPS</t>
        </is>
      </c>
    </row>
    <row r="52" ht="36" customHeight="1" s="106">
      <c r="A52" s="38" t="inlineStr">
        <is>
          <t>7.6</t>
        </is>
      </c>
      <c r="B52" s="112" t="inlineStr">
        <is>
          <t>Trabajo en áreas seguras</t>
        </is>
      </c>
      <c r="C52" s="112" t="inlineStr">
        <is>
          <t>#Preventivo</t>
        </is>
      </c>
      <c r="D52" s="112" t="inlineStr">
        <is>
          <t>#Confidencialidad, #Integridad, #Disponibilidad</t>
        </is>
      </c>
      <c r="E52" s="112" t="inlineStr">
        <is>
          <t>#Proteger</t>
        </is>
      </c>
      <c r="F52" s="38" t="inlineStr">
        <is>
          <t>#Seguridad_física</t>
        </is>
      </c>
      <c r="G52" s="112" t="inlineStr">
        <is>
          <t>#Proteccion</t>
        </is>
      </c>
      <c r="H52" s="112" t="inlineStr">
        <is>
          <t>Obligatorio SEPS (Régimen General)</t>
        </is>
      </c>
      <c r="I52" s="112" t="inlineStr">
        <is>
          <t>-</t>
        </is>
      </c>
      <c r="J52" s="112" t="inlineStr">
        <is>
          <t>1. Regulatorio SEPS 002-2022 + ISO 27001</t>
        </is>
      </c>
      <c r="K52" s="112" t="inlineStr">
        <is>
          <t>Aplica</t>
        </is>
      </c>
      <c r="L52" s="112" t="inlineStr">
        <is>
          <t>Requerido por ente regulador SEPS</t>
        </is>
      </c>
    </row>
    <row r="53" ht="36" customHeight="1" s="106">
      <c r="A53" s="38" t="inlineStr">
        <is>
          <t>7.7</t>
        </is>
      </c>
      <c r="B53" s="112" t="inlineStr">
        <is>
          <t>Política de escritorio despejado y pantalla despejada</t>
        </is>
      </c>
      <c r="C53" s="112" t="inlineStr">
        <is>
          <t>#Preventivo</t>
        </is>
      </c>
      <c r="D53" s="112" t="inlineStr">
        <is>
          <t>#Confidencialidad, #Integridad, #Disponibilidad</t>
        </is>
      </c>
      <c r="E53" s="112" t="inlineStr">
        <is>
          <t>#Proteger</t>
        </is>
      </c>
      <c r="F53" s="38" t="inlineStr">
        <is>
          <t>#Seguridad_física</t>
        </is>
      </c>
      <c r="G53" s="112" t="inlineStr">
        <is>
          <t>#Proteccion</t>
        </is>
      </c>
      <c r="H53" s="112" t="inlineStr">
        <is>
          <t>Obligatorio SEPS (Régimen General)</t>
        </is>
      </c>
      <c r="I53" s="112" t="inlineStr">
        <is>
          <t>-</t>
        </is>
      </c>
      <c r="J53" s="112" t="inlineStr">
        <is>
          <t>1. Regulatorio SEPS 002-2022 + ISO 27001</t>
        </is>
      </c>
      <c r="K53" s="112" t="inlineStr">
        <is>
          <t>Aplica</t>
        </is>
      </c>
      <c r="L53" s="112" t="inlineStr">
        <is>
          <t>Requerido por ente regulador SEPS</t>
        </is>
      </c>
    </row>
    <row r="54" ht="36" customHeight="1" s="106">
      <c r="A54" s="38" t="inlineStr">
        <is>
          <t>7.8</t>
        </is>
      </c>
      <c r="B54" s="112" t="inlineStr">
        <is>
          <t>Emplazamiento y protección de equipos</t>
        </is>
      </c>
      <c r="C54" s="112" t="inlineStr">
        <is>
          <t>#Preventivo</t>
        </is>
      </c>
      <c r="D54" s="112" t="inlineStr">
        <is>
          <t>#Confidencialidad, #Integridad, #Disponibilidad</t>
        </is>
      </c>
      <c r="E54" s="112" t="inlineStr">
        <is>
          <t>#Proteger</t>
        </is>
      </c>
      <c r="F54" s="38" t="inlineStr">
        <is>
          <t>#Seguridad_física</t>
        </is>
      </c>
      <c r="G54" s="112" t="inlineStr">
        <is>
          <t>#Proteccion</t>
        </is>
      </c>
      <c r="H54" s="112" t="inlineStr">
        <is>
          <t>Obligatorio SEPS (Régimen General)</t>
        </is>
      </c>
      <c r="I54" s="112" t="inlineStr">
        <is>
          <t>-</t>
        </is>
      </c>
      <c r="J54" s="112" t="inlineStr">
        <is>
          <t>1. Regulatorio SEPS 002-2022 + ISO 27001</t>
        </is>
      </c>
      <c r="K54" s="112" t="inlineStr">
        <is>
          <t>Aplica</t>
        </is>
      </c>
      <c r="L54" s="112" t="inlineStr">
        <is>
          <t>Requerido por ente regulador SEPS</t>
        </is>
      </c>
    </row>
    <row r="55" ht="36" customHeight="1" s="106">
      <c r="A55" s="38" t="inlineStr">
        <is>
          <t>7.9</t>
        </is>
      </c>
      <c r="B55" s="112" t="inlineStr">
        <is>
          <t>Seguridad de los activos fuera de las instalaciones</t>
        </is>
      </c>
      <c r="C55" s="112" t="inlineStr">
        <is>
          <t>#Preventivo</t>
        </is>
      </c>
      <c r="D55" s="112" t="inlineStr">
        <is>
          <t>#Confidencialidad, #Integridad, #Disponibilidad</t>
        </is>
      </c>
      <c r="E55" s="112" t="inlineStr">
        <is>
          <t>#Proteger</t>
        </is>
      </c>
      <c r="F55" s="38" t="inlineStr">
        <is>
          <t>#Gestión_de_activos</t>
        </is>
      </c>
      <c r="G55" s="112" t="inlineStr">
        <is>
          <t>#Proteccion</t>
        </is>
      </c>
      <c r="H55" s="112" t="inlineStr">
        <is>
          <t>Obligatorio SEPS (Régimen General)</t>
        </is>
      </c>
      <c r="I55" s="112" t="inlineStr">
        <is>
          <t>-</t>
        </is>
      </c>
      <c r="J55" s="112" t="inlineStr">
        <is>
          <t>1. Regulatorio SEPS 002-2022 + ISO 27001</t>
        </is>
      </c>
      <c r="K55" s="112" t="inlineStr">
        <is>
          <t>Aplica</t>
        </is>
      </c>
      <c r="L55" s="112" t="inlineStr">
        <is>
          <t>Requerido por ente regulador SEPS</t>
        </is>
      </c>
    </row>
    <row r="56" ht="36" customHeight="1" s="106">
      <c r="A56" s="38" t="inlineStr">
        <is>
          <t>7.10</t>
        </is>
      </c>
      <c r="B56" s="112" t="inlineStr">
        <is>
          <t>Soportes de almacenamiento</t>
        </is>
      </c>
      <c r="C56" s="112" t="inlineStr">
        <is>
          <t>#Preventivo</t>
        </is>
      </c>
      <c r="D56" s="112" t="inlineStr">
        <is>
          <t>#Confidencialidad, #Integridad, #Disponibilidad</t>
        </is>
      </c>
      <c r="E56" s="112" t="inlineStr">
        <is>
          <t>#Proteger</t>
        </is>
      </c>
      <c r="F56" s="38" t="inlineStr">
        <is>
          <t>#Gestión_de_activos</t>
        </is>
      </c>
      <c r="G56" s="112" t="inlineStr">
        <is>
          <t>#Proteccion</t>
        </is>
      </c>
      <c r="H56" s="112" t="inlineStr">
        <is>
          <t>Obligatorio SEPS (Régimen General)</t>
        </is>
      </c>
      <c r="I56" s="112" t="inlineStr">
        <is>
          <t>-</t>
        </is>
      </c>
      <c r="J56" s="112" t="inlineStr">
        <is>
          <t>1. Regulatorio SEPS 002-2022 + ISO 27001</t>
        </is>
      </c>
      <c r="K56" s="112" t="inlineStr">
        <is>
          <t>Aplica</t>
        </is>
      </c>
      <c r="L56" s="112" t="inlineStr">
        <is>
          <t>Requerido por ente regulador SEPS</t>
        </is>
      </c>
    </row>
    <row r="57" ht="36" customHeight="1" s="106">
      <c r="A57" s="38" t="inlineStr">
        <is>
          <t>7.11</t>
        </is>
      </c>
      <c r="B57" s="112" t="inlineStr">
        <is>
          <t>Servicios públicos</t>
        </is>
      </c>
      <c r="C57" s="112" t="inlineStr">
        <is>
          <t>#Preventivo</t>
        </is>
      </c>
      <c r="D57" s="112" t="inlineStr">
        <is>
          <t>#Confidencialidad, #Integridad, #Disponibilidad</t>
        </is>
      </c>
      <c r="E57" s="112" t="inlineStr">
        <is>
          <t>#Proteger</t>
        </is>
      </c>
      <c r="F57" s="38" t="inlineStr">
        <is>
          <t>#Seguridad_física</t>
        </is>
      </c>
      <c r="G57" s="112" t="inlineStr">
        <is>
          <t>#Resiliencia</t>
        </is>
      </c>
      <c r="H57" s="112" t="inlineStr">
        <is>
          <t>Obligatorio SEPS (Régimen General)</t>
        </is>
      </c>
      <c r="I57" s="112" t="inlineStr">
        <is>
          <t>-</t>
        </is>
      </c>
      <c r="J57" s="112" t="inlineStr">
        <is>
          <t>1. Regulatorio SEPS 002-2022 + ISO 27001</t>
        </is>
      </c>
      <c r="K57" s="112" t="inlineStr">
        <is>
          <t>Aplica</t>
        </is>
      </c>
      <c r="L57" s="112" t="inlineStr">
        <is>
          <t>Requerido por ente regulador SEPS</t>
        </is>
      </c>
    </row>
    <row r="58" ht="36" customHeight="1" s="106">
      <c r="A58" s="38" t="inlineStr">
        <is>
          <t>7.12</t>
        </is>
      </c>
      <c r="B58" s="112" t="inlineStr">
        <is>
          <t>Seguridad del cableado</t>
        </is>
      </c>
      <c r="C58" s="112" t="inlineStr">
        <is>
          <t>#Preventivo</t>
        </is>
      </c>
      <c r="D58" s="112" t="inlineStr">
        <is>
          <t>#Confidencialidad, #Integridad, #Disponibilidad</t>
        </is>
      </c>
      <c r="E58" s="112" t="inlineStr">
        <is>
          <t>#Proteger</t>
        </is>
      </c>
      <c r="F58" s="38" t="inlineStr">
        <is>
          <t>#Seguridad_física</t>
        </is>
      </c>
      <c r="G58" s="112" t="inlineStr">
        <is>
          <t>#Proteccion</t>
        </is>
      </c>
      <c r="H58" s="112" t="inlineStr">
        <is>
          <t>Obligatorio SEPS (Régimen General)</t>
        </is>
      </c>
      <c r="I58" s="112" t="inlineStr">
        <is>
          <t>-</t>
        </is>
      </c>
      <c r="J58" s="112" t="inlineStr">
        <is>
          <t>1. Regulatorio SEPS 002-2022 + ISO 27001</t>
        </is>
      </c>
      <c r="K58" s="112" t="inlineStr">
        <is>
          <t>Aplica</t>
        </is>
      </c>
      <c r="L58" s="112" t="inlineStr">
        <is>
          <t>Requerido por ente regulador SEPS</t>
        </is>
      </c>
    </row>
    <row r="59" ht="36" customHeight="1" s="106">
      <c r="A59" s="38" t="inlineStr">
        <is>
          <t>7.13</t>
        </is>
      </c>
      <c r="B59" s="112" t="inlineStr">
        <is>
          <t>Mantenimiento de equipos</t>
        </is>
      </c>
      <c r="C59" s="112" t="inlineStr">
        <is>
          <t>#Preventivo</t>
        </is>
      </c>
      <c r="D59" s="112" t="inlineStr">
        <is>
          <t>#Confidencialidad, #Integridad, #Disponibilidad</t>
        </is>
      </c>
      <c r="E59" s="112" t="inlineStr">
        <is>
          <t>#Proteger</t>
        </is>
      </c>
      <c r="F59" s="38" t="inlineStr">
        <is>
          <t>#Seguridad_física</t>
        </is>
      </c>
      <c r="G59" s="112" t="inlineStr">
        <is>
          <t>#Proteccion</t>
        </is>
      </c>
      <c r="H59" s="112" t="inlineStr">
        <is>
          <t>Obligatorio SEPS (Régimen General)</t>
        </is>
      </c>
      <c r="I59" s="112" t="inlineStr">
        <is>
          <t>C11: Mantenimiento periódico de activos físicos</t>
        </is>
      </c>
      <c r="J59" s="112" t="inlineStr">
        <is>
          <t>2. Metodología Interna GSO-GSI + ISO 27001</t>
        </is>
      </c>
      <c r="K59" s="112" t="inlineStr">
        <is>
          <t>Aplica</t>
        </is>
      </c>
      <c r="L59" s="112" t="inlineStr">
        <is>
          <t>Requisito interno GSO-GSI</t>
        </is>
      </c>
    </row>
    <row r="60" ht="36" customHeight="1" s="106">
      <c r="A60" s="38" t="inlineStr">
        <is>
          <t>7.14</t>
        </is>
      </c>
      <c r="B60" s="112" t="inlineStr">
        <is>
          <t>Eliminación segura o reutilización de equipos</t>
        </is>
      </c>
      <c r="C60" s="112" t="inlineStr">
        <is>
          <t>#Preventivo</t>
        </is>
      </c>
      <c r="D60" s="112" t="inlineStr">
        <is>
          <t>#Confidencialidad, #Integridad, #Disponibilidad</t>
        </is>
      </c>
      <c r="E60" s="112" t="inlineStr">
        <is>
          <t>#Proteger</t>
        </is>
      </c>
      <c r="F60" s="38" t="inlineStr">
        <is>
          <t>#Seguridad_física</t>
        </is>
      </c>
      <c r="G60" s="112" t="inlineStr">
        <is>
          <t>#Proteccion</t>
        </is>
      </c>
      <c r="H60" s="112" t="inlineStr">
        <is>
          <t>Obligatorio SEPS (Régimen General)</t>
        </is>
      </c>
      <c r="I60" s="112" t="inlineStr">
        <is>
          <t>-</t>
        </is>
      </c>
      <c r="J60" s="112" t="inlineStr">
        <is>
          <t>1. Regulatorio SEPS 002-2022 + ISO 27001</t>
        </is>
      </c>
      <c r="K60" s="112" t="inlineStr">
        <is>
          <t>Aplica</t>
        </is>
      </c>
      <c r="L60" s="112" t="inlineStr">
        <is>
          <t>Requerido por ente regulador SEPS</t>
        </is>
      </c>
    </row>
    <row r="61" ht="36" customHeight="1" s="106">
      <c r="A61" s="38" t="inlineStr">
        <is>
          <t>8.1</t>
        </is>
      </c>
      <c r="B61" s="112" t="inlineStr">
        <is>
          <t>Dispositivos de punto final de usuario</t>
        </is>
      </c>
      <c r="C61" s="112" t="inlineStr">
        <is>
          <t>#Preventivo</t>
        </is>
      </c>
      <c r="D61" s="112" t="inlineStr">
        <is>
          <t>#Confidencialidad, #Integridad, #Disponibilidad</t>
        </is>
      </c>
      <c r="E61" s="112" t="inlineStr">
        <is>
          <t>#Proteger</t>
        </is>
      </c>
      <c r="F61" s="38" t="inlineStr">
        <is>
          <t>#Gestión_de_activos</t>
        </is>
      </c>
      <c r="G61" s="112" t="inlineStr">
        <is>
          <t>#Proteccion</t>
        </is>
      </c>
      <c r="H61" s="112" t="inlineStr">
        <is>
          <t>Obligatorio SEPS (Régimen General)</t>
        </is>
      </c>
      <c r="I61" s="112" t="inlineStr">
        <is>
          <t>-</t>
        </is>
      </c>
      <c r="J61" s="112" t="inlineStr">
        <is>
          <t>1. Regulatorio SEPS 002-2022 + ISO 27001</t>
        </is>
      </c>
      <c r="K61" s="112" t="inlineStr">
        <is>
          <t>Aplica</t>
        </is>
      </c>
      <c r="L61" s="112" t="inlineStr">
        <is>
          <t>Requerido por ente regulador SEPS</t>
        </is>
      </c>
    </row>
    <row r="62" ht="36" customHeight="1" s="106">
      <c r="A62" s="38" t="inlineStr">
        <is>
          <t>8.2</t>
        </is>
      </c>
      <c r="B62" s="112" t="inlineStr">
        <is>
          <t>Derechos de acceso privilegiado</t>
        </is>
      </c>
      <c r="C62" s="112" t="inlineStr">
        <is>
          <t>#Preventivo</t>
        </is>
      </c>
      <c r="D62" s="112" t="inlineStr">
        <is>
          <t>#Confidencialidad, #Integridad, #Disponibilidad</t>
        </is>
      </c>
      <c r="E62" s="112" t="inlineStr">
        <is>
          <t>#Proteger</t>
        </is>
      </c>
      <c r="F62" s="38" t="inlineStr">
        <is>
          <t>#Administración_de_identidad_y_acceso</t>
        </is>
      </c>
      <c r="G62" s="112" t="inlineStr">
        <is>
          <t>#Proteccion</t>
        </is>
      </c>
      <c r="H62" s="112" t="inlineStr">
        <is>
          <t>Obligatorio SEPS (Régimen General)</t>
        </is>
      </c>
      <c r="I62" s="112" t="inlineStr">
        <is>
          <t>C9: Principio de mínimos privilegios</t>
        </is>
      </c>
      <c r="J62" s="112" t="inlineStr">
        <is>
          <t>2. Metodología Interna GSO-GSI + ISO 27001</t>
        </is>
      </c>
      <c r="K62" s="112" t="inlineStr">
        <is>
          <t>Aplica</t>
        </is>
      </c>
      <c r="L62" s="112" t="inlineStr">
        <is>
          <t>Requisito interno GSO-GSI</t>
        </is>
      </c>
    </row>
    <row r="63" ht="36" customHeight="1" s="106">
      <c r="A63" s="38" t="inlineStr">
        <is>
          <t>8.3</t>
        </is>
      </c>
      <c r="B63" s="112" t="inlineStr">
        <is>
          <t>Restricción del acceso a la información</t>
        </is>
      </c>
      <c r="C63" s="112" t="inlineStr">
        <is>
          <t>#Preventivo</t>
        </is>
      </c>
      <c r="D63" s="112" t="inlineStr">
        <is>
          <t>#Confidencialidad, #Integridad, #Disponibilidad</t>
        </is>
      </c>
      <c r="E63" s="112" t="inlineStr">
        <is>
          <t>#Proteger</t>
        </is>
      </c>
      <c r="F63" s="38" t="inlineStr">
        <is>
          <t>#Administración_de_identidad_y_acceso</t>
        </is>
      </c>
      <c r="G63" s="112" t="inlineStr">
        <is>
          <t>#Proteccion</t>
        </is>
      </c>
      <c r="H63" s="112" t="inlineStr">
        <is>
          <t>Obligatorio SEPS (Régimen General)</t>
        </is>
      </c>
      <c r="I63" s="112" t="inlineStr">
        <is>
          <t>C4: Restricción del control de acceso</t>
        </is>
      </c>
      <c r="J63" s="112" t="inlineStr">
        <is>
          <t>2. Metodología Interna GSO-GSI + ISO 27001</t>
        </is>
      </c>
      <c r="K63" s="112" t="inlineStr">
        <is>
          <t>Aplica</t>
        </is>
      </c>
      <c r="L63" s="112" t="inlineStr">
        <is>
          <t>Requisito interno GSO-GSI</t>
        </is>
      </c>
    </row>
    <row r="64" ht="36" customHeight="1" s="106">
      <c r="A64" s="38" t="inlineStr">
        <is>
          <t>8.4</t>
        </is>
      </c>
      <c r="B64" s="112" t="inlineStr">
        <is>
          <t>Acceso al código fuente</t>
        </is>
      </c>
      <c r="C64" s="112" t="inlineStr">
        <is>
          <t>#Preventivo</t>
        </is>
      </c>
      <c r="D64" s="112" t="inlineStr">
        <is>
          <t>#Confidencialidad, #Integridad, #Disponibilidad</t>
        </is>
      </c>
      <c r="E64" s="112" t="inlineStr">
        <is>
          <t>#Proteger</t>
        </is>
      </c>
      <c r="F64" s="38" t="inlineStr">
        <is>
          <t>#Seguridad_de_aplicaciones</t>
        </is>
      </c>
      <c r="G64" s="112" t="inlineStr">
        <is>
          <t>#Proteccion</t>
        </is>
      </c>
      <c r="H64" s="112" t="inlineStr">
        <is>
          <t>Obligatorio SEPS (Régimen General)</t>
        </is>
      </c>
      <c r="I64" s="112" t="inlineStr">
        <is>
          <t>-</t>
        </is>
      </c>
      <c r="J64" s="112" t="inlineStr">
        <is>
          <t>1. Regulatorio SEPS 002-2022 + ISO 27001</t>
        </is>
      </c>
      <c r="K64" s="112" t="inlineStr">
        <is>
          <t>Aplica</t>
        </is>
      </c>
      <c r="L64" s="112" t="inlineStr">
        <is>
          <t>Requerido por ente regulador SEPS</t>
        </is>
      </c>
    </row>
    <row r="65" ht="36" customHeight="1" s="106">
      <c r="A65" s="38" t="inlineStr">
        <is>
          <t>8.5</t>
        </is>
      </c>
      <c r="B65" s="112" t="inlineStr">
        <is>
          <t>Autenticación segura</t>
        </is>
      </c>
      <c r="C65" s="112" t="inlineStr">
        <is>
          <t>#Preventivo</t>
        </is>
      </c>
      <c r="D65" s="112" t="inlineStr">
        <is>
          <t>#Confidencialidad, #Integridad, #Disponibilidad</t>
        </is>
      </c>
      <c r="E65" s="112" t="inlineStr">
        <is>
          <t>#Proteger</t>
        </is>
      </c>
      <c r="F65" s="38" t="inlineStr">
        <is>
          <t>#Administración_de_identidad_y_acceso</t>
        </is>
      </c>
      <c r="G65" s="112" t="inlineStr">
        <is>
          <t>#Proteccion</t>
        </is>
      </c>
      <c r="H65" s="112" t="inlineStr">
        <is>
          <t>Obligatorio SEPS (Régimen General)</t>
        </is>
      </c>
      <c r="I65" s="112" t="inlineStr">
        <is>
          <t>-</t>
        </is>
      </c>
      <c r="J65" s="112" t="inlineStr">
        <is>
          <t>1. Regulatorio SEPS 002-2022 + ISO 27001</t>
        </is>
      </c>
      <c r="K65" s="112" t="inlineStr">
        <is>
          <t>Aplica</t>
        </is>
      </c>
      <c r="L65" s="112" t="inlineStr">
        <is>
          <t>Requerido por ente regulador SEPS</t>
        </is>
      </c>
    </row>
    <row r="66" ht="36" customHeight="1" s="106">
      <c r="A66" s="38" t="inlineStr">
        <is>
          <t>8.6</t>
        </is>
      </c>
      <c r="B66" s="112" t="inlineStr">
        <is>
          <t>Gestión de capacidad</t>
        </is>
      </c>
      <c r="C66" s="112" t="inlineStr">
        <is>
          <t>#Preventivo</t>
        </is>
      </c>
      <c r="D66" s="112" t="inlineStr">
        <is>
          <t>#Confidencialidad, #Integridad, #Disponibilidad</t>
        </is>
      </c>
      <c r="E66" s="112" t="inlineStr">
        <is>
          <t>#Proteger</t>
        </is>
      </c>
      <c r="F66" s="38" t="inlineStr">
        <is>
          <t>#Seguridad_de_sistemas_y_redes</t>
        </is>
      </c>
      <c r="G66" s="112" t="inlineStr">
        <is>
          <t>#Resiliencia</t>
        </is>
      </c>
      <c r="H66" s="112" t="inlineStr">
        <is>
          <t>Obligatorio SEPS (Régimen General)</t>
        </is>
      </c>
      <c r="I66" s="112" t="inlineStr">
        <is>
          <t>-</t>
        </is>
      </c>
      <c r="J66" s="112" t="inlineStr">
        <is>
          <t>1. Regulatorio SEPS 002-2022 + ISO 27001</t>
        </is>
      </c>
      <c r="K66" s="112" t="inlineStr">
        <is>
          <t>Aplica</t>
        </is>
      </c>
      <c r="L66" s="112" t="inlineStr">
        <is>
          <t>Requerido por ente regulador SEPS</t>
        </is>
      </c>
    </row>
    <row r="67" ht="36" customHeight="1" s="106">
      <c r="A67" s="38" t="inlineStr">
        <is>
          <t>8.7</t>
        </is>
      </c>
      <c r="B67" s="112" t="inlineStr">
        <is>
          <t>Protección contra malware</t>
        </is>
      </c>
      <c r="C67" s="112" t="inlineStr">
        <is>
          <t>#Preventivo, #Detectivo, #Correctivo</t>
        </is>
      </c>
      <c r="D67" s="112" t="inlineStr">
        <is>
          <t>#Confidencialidad, #Integridad, #Disponibilidad</t>
        </is>
      </c>
      <c r="E67" s="112" t="inlineStr">
        <is>
          <t>#Proteger</t>
        </is>
      </c>
      <c r="F67" s="38" t="inlineStr">
        <is>
          <t>#Seguridad_de_sistemas_y_redes</t>
        </is>
      </c>
      <c r="G67" s="112" t="inlineStr">
        <is>
          <t>#Defensa</t>
        </is>
      </c>
      <c r="H67" s="112" t="inlineStr">
        <is>
          <t>Obligatorio SEPS (Régimen General)</t>
        </is>
      </c>
      <c r="I67" s="112" t="inlineStr">
        <is>
          <t>-</t>
        </is>
      </c>
      <c r="J67" s="112" t="inlineStr">
        <is>
          <t>1. Regulatorio SEPS 002-2022 + ISO 27001</t>
        </is>
      </c>
      <c r="K67" s="112" t="inlineStr">
        <is>
          <t>Aplica</t>
        </is>
      </c>
      <c r="L67" s="112" t="inlineStr">
        <is>
          <t>Requerido por ente regulador SEPS</t>
        </is>
      </c>
    </row>
    <row r="68" ht="48" customHeight="1" s="106">
      <c r="A68" s="38" t="inlineStr">
        <is>
          <t>8.8</t>
        </is>
      </c>
      <c r="B68" s="112" t="inlineStr">
        <is>
          <t>Gestión de vulnerabilidades técnicas</t>
        </is>
      </c>
      <c r="C68" s="112" t="inlineStr">
        <is>
          <t>#Preventivo, #Correctivo</t>
        </is>
      </c>
      <c r="D68" s="112" t="inlineStr">
        <is>
          <t>#Confidencialidad, #Integridad, #Disponibilidad</t>
        </is>
      </c>
      <c r="E68" s="112" t="inlineStr">
        <is>
          <t>#Proteger</t>
        </is>
      </c>
      <c r="F68" s="38" t="inlineStr">
        <is>
          <t>#Gestión_de_amenazas_y_vulnerabilidades</t>
        </is>
      </c>
      <c r="G68" s="112" t="inlineStr">
        <is>
          <t>#Defensa</t>
        </is>
      </c>
      <c r="H68" s="112" t="inlineStr">
        <is>
          <t>Obligatorio SEPS (Régimen General)</t>
        </is>
      </c>
      <c r="I68" s="112" t="inlineStr">
        <is>
          <t>C12: Actualizaciones periódicas firmware/software</t>
        </is>
      </c>
      <c r="J68" s="112" t="inlineStr">
        <is>
          <t>2. Metodología Interna GSO-GSI + ISO 27001</t>
        </is>
      </c>
      <c r="K68" s="112" t="inlineStr">
        <is>
          <t>Aplica</t>
        </is>
      </c>
      <c r="L68" s="112" t="inlineStr">
        <is>
          <t>Requisito interno GSO-GSI</t>
        </is>
      </c>
    </row>
    <row r="69" ht="48" customHeight="1" s="106">
      <c r="A69" s="38" t="inlineStr">
        <is>
          <t>8.9</t>
        </is>
      </c>
      <c r="B69" s="112" t="inlineStr">
        <is>
          <t>Gestión de la configuración</t>
        </is>
      </c>
      <c r="C69" s="112" t="inlineStr">
        <is>
          <t>#Preventivo</t>
        </is>
      </c>
      <c r="D69" s="112" t="inlineStr">
        <is>
          <t>#Confidencialidad, #Integridad, #Disponibilidad</t>
        </is>
      </c>
      <c r="E69" s="112" t="inlineStr">
        <is>
          <t>#Proteger</t>
        </is>
      </c>
      <c r="F69" s="38" t="inlineStr">
        <is>
          <t>#Configuración_segura</t>
        </is>
      </c>
      <c r="G69" s="112" t="inlineStr">
        <is>
          <t>#Proteccion</t>
        </is>
      </c>
      <c r="H69" s="112" t="inlineStr">
        <is>
          <t>Obligatorio SEPS (Régimen General)</t>
        </is>
      </c>
      <c r="I69" s="112" t="inlineStr">
        <is>
          <t>C52: Mantenimiento preventivo / Configuración segura</t>
        </is>
      </c>
      <c r="J69" s="112" t="inlineStr">
        <is>
          <t>2. Metodología Interna GSO-GSI + ISO 27001</t>
        </is>
      </c>
      <c r="K69" s="112" t="inlineStr">
        <is>
          <t>Aplica</t>
        </is>
      </c>
      <c r="L69" s="112" t="inlineStr">
        <is>
          <t>Requisito interno GSO-GSI</t>
        </is>
      </c>
    </row>
    <row r="70" ht="36" customHeight="1" s="106">
      <c r="A70" s="38" t="inlineStr">
        <is>
          <t>8.10</t>
        </is>
      </c>
      <c r="B70" s="112" t="inlineStr">
        <is>
          <t>Eliminación de información</t>
        </is>
      </c>
      <c r="C70" s="112" t="inlineStr">
        <is>
          <t>#Preventivo</t>
        </is>
      </c>
      <c r="D70" s="112" t="inlineStr">
        <is>
          <t>#Confidencialidad, #Integridad, #Disponibilidad</t>
        </is>
      </c>
      <c r="E70" s="112" t="inlineStr">
        <is>
          <t>#Proteger</t>
        </is>
      </c>
      <c r="F70" s="38" t="inlineStr">
        <is>
          <t>#Protección_de_la_información</t>
        </is>
      </c>
      <c r="G70" s="112" t="inlineStr">
        <is>
          <t>#Proteccion</t>
        </is>
      </c>
      <c r="H70" s="112" t="inlineStr">
        <is>
          <t>Obligatorio SEPS (Régimen General)</t>
        </is>
      </c>
      <c r="I70" s="112" t="inlineStr">
        <is>
          <t>-</t>
        </is>
      </c>
      <c r="J70" s="112" t="inlineStr">
        <is>
          <t>1. Regulatorio SEPS 002-2022 + ISO 27001</t>
        </is>
      </c>
      <c r="K70" s="112" t="inlineStr">
        <is>
          <t>Aplica</t>
        </is>
      </c>
      <c r="L70" s="112" t="inlineStr">
        <is>
          <t>Requerido por ente regulador SEPS</t>
        </is>
      </c>
    </row>
    <row r="71" ht="60" customHeight="1" s="106">
      <c r="A71" s="38" t="inlineStr">
        <is>
          <t>8.11</t>
        </is>
      </c>
      <c r="B71" s="112" t="inlineStr">
        <is>
          <t>Enmascaramiento de datos</t>
        </is>
      </c>
      <c r="C71" s="112" t="inlineStr">
        <is>
          <t>#Preventivo</t>
        </is>
      </c>
      <c r="D71" s="112" t="inlineStr">
        <is>
          <t>#Confidencialidad, #Integridad, #Disponibilidad</t>
        </is>
      </c>
      <c r="E71" s="112" t="inlineStr">
        <is>
          <t>#Proteger</t>
        </is>
      </c>
      <c r="F71" s="38" t="inlineStr">
        <is>
          <t>#Protección_de_la_información</t>
        </is>
      </c>
      <c r="G71" s="112" t="inlineStr">
        <is>
          <t>#Proteccion</t>
        </is>
      </c>
      <c r="H71" s="112" t="inlineStr">
        <is>
          <t>Mejor Práctica (No obligatorio SEPS)</t>
        </is>
      </c>
      <c r="I71" s="112" t="inlineStr">
        <is>
          <t>-</t>
        </is>
      </c>
      <c r="J71" s="112" t="inlineStr">
        <is>
          <t>3. Tratamiento de Riesgos Específico (ISO 27002 / MAGERIT)</t>
        </is>
      </c>
      <c r="K71" s="112" t="inlineStr">
        <is>
          <t>Aplica</t>
        </is>
      </c>
      <c r="L71" s="112" t="inlineStr">
        <is>
          <t>Requisito de control complementario y mejor práctica de seguridad</t>
        </is>
      </c>
    </row>
    <row r="72" ht="36" customHeight="1" s="106">
      <c r="A72" s="38" t="inlineStr">
        <is>
          <t>8.12</t>
        </is>
      </c>
      <c r="B72" s="112" t="inlineStr">
        <is>
          <t>Prevención de fuga de datos</t>
        </is>
      </c>
      <c r="C72" s="112" t="inlineStr">
        <is>
          <t>#Preventivo, #Detectivo</t>
        </is>
      </c>
      <c r="D72" s="112" t="inlineStr">
        <is>
          <t>#Confidencialidad, #Integridad, #Disponibilidad</t>
        </is>
      </c>
      <c r="E72" s="112" t="inlineStr">
        <is>
          <t>#Proteger</t>
        </is>
      </c>
      <c r="F72" s="38" t="inlineStr">
        <is>
          <t>#Protección_de_la_información</t>
        </is>
      </c>
      <c r="G72" s="112" t="inlineStr">
        <is>
          <t>#Proteccion</t>
        </is>
      </c>
      <c r="H72" s="112" t="inlineStr">
        <is>
          <t>Obligatorio SEPS (Régimen General)</t>
        </is>
      </c>
      <c r="I72" s="112" t="inlineStr">
        <is>
          <t>-</t>
        </is>
      </c>
      <c r="J72" s="112" t="inlineStr">
        <is>
          <t>1. Regulatorio SEPS 002-2022 + ISO 27001</t>
        </is>
      </c>
      <c r="K72" s="112" t="inlineStr">
        <is>
          <t>Aplica</t>
        </is>
      </c>
      <c r="L72" s="112" t="inlineStr">
        <is>
          <t>Requerido por ente regulador SEPS</t>
        </is>
      </c>
    </row>
    <row r="73" ht="48" customHeight="1" s="106">
      <c r="A73" s="38" t="inlineStr">
        <is>
          <t>8.13</t>
        </is>
      </c>
      <c r="B73" s="112" t="inlineStr">
        <is>
          <t>Copias de seguridad de la información</t>
        </is>
      </c>
      <c r="C73" s="112" t="inlineStr">
        <is>
          <t>#Preventivo, #Correctivo</t>
        </is>
      </c>
      <c r="D73" s="112" t="inlineStr">
        <is>
          <t>#Confidencialidad, #Integridad, #Disponibilidad</t>
        </is>
      </c>
      <c r="E73" s="112" t="inlineStr">
        <is>
          <t>#Recuperar</t>
        </is>
      </c>
      <c r="F73" s="38" t="inlineStr">
        <is>
          <t>#Continuidad</t>
        </is>
      </c>
      <c r="G73" s="112" t="inlineStr">
        <is>
          <t>#Resiliencia</t>
        </is>
      </c>
      <c r="H73" s="112" t="inlineStr">
        <is>
          <t>Obligatorio SEPS (Régimen General)</t>
        </is>
      </c>
      <c r="I73" s="112" t="inlineStr">
        <is>
          <t>C6: Procedimientos de reversión (rollback) / Respaldo</t>
        </is>
      </c>
      <c r="J73" s="112" t="inlineStr">
        <is>
          <t>2. Metodología Interna GSO-GSI + ISO 27001</t>
        </is>
      </c>
      <c r="K73" s="112" t="inlineStr">
        <is>
          <t>Aplica</t>
        </is>
      </c>
      <c r="L73" s="112" t="inlineStr">
        <is>
          <t>Requisito interno GSO-GSI</t>
        </is>
      </c>
    </row>
    <row r="74" ht="48" customHeight="1" s="106">
      <c r="A74" s="38" t="inlineStr">
        <is>
          <t>8.14</t>
        </is>
      </c>
      <c r="B74" s="112" t="inlineStr">
        <is>
          <t>Redundancia de las instalaciones de procesamiento de información</t>
        </is>
      </c>
      <c r="C74" s="112" t="inlineStr">
        <is>
          <t>#Preventivo</t>
        </is>
      </c>
      <c r="D74" s="112" t="inlineStr">
        <is>
          <t>#Confidencialidad, #Integridad, #Disponibilidad</t>
        </is>
      </c>
      <c r="E74" s="112" t="inlineStr">
        <is>
          <t>#Recuperar</t>
        </is>
      </c>
      <c r="F74" s="38" t="inlineStr">
        <is>
          <t>#Continuidad</t>
        </is>
      </c>
      <c r="G74" s="112" t="inlineStr">
        <is>
          <t>#Resiliencia</t>
        </is>
      </c>
      <c r="H74" s="112" t="inlineStr">
        <is>
          <t>Obligatorio SEPS (Régimen General)</t>
        </is>
      </c>
      <c r="I74" s="112" t="inlineStr">
        <is>
          <t>-</t>
        </is>
      </c>
      <c r="J74" s="112" t="inlineStr">
        <is>
          <t>1. Regulatorio SEPS 002-2022 + ISO 27001</t>
        </is>
      </c>
      <c r="K74" s="112" t="inlineStr">
        <is>
          <t>Aplica</t>
        </is>
      </c>
      <c r="L74" s="112" t="inlineStr">
        <is>
          <t>Requerido por ente regulador SEPS</t>
        </is>
      </c>
    </row>
    <row r="75" ht="36" customHeight="1" s="106">
      <c r="A75" s="38" t="inlineStr">
        <is>
          <t>8.15</t>
        </is>
      </c>
      <c r="B75" s="112" t="inlineStr">
        <is>
          <t>Registro de eventos (Logging)</t>
        </is>
      </c>
      <c r="C75" s="112" t="inlineStr">
        <is>
          <t>#Detectivo</t>
        </is>
      </c>
      <c r="D75" s="112" t="inlineStr">
        <is>
          <t>#Confidencialidad, #Integridad, #Disponibilidad</t>
        </is>
      </c>
      <c r="E75" s="112" t="inlineStr">
        <is>
          <t>#Detectar</t>
        </is>
      </c>
      <c r="F75" s="38" t="inlineStr">
        <is>
          <t>#Seguridad_de_la_información_gestión_de_eventos</t>
        </is>
      </c>
      <c r="G75" s="112" t="inlineStr">
        <is>
          <t>#Defensa</t>
        </is>
      </c>
      <c r="H75" s="112" t="inlineStr">
        <is>
          <t>Obligatorio SEPS (Régimen General)</t>
        </is>
      </c>
      <c r="I75" s="112" t="inlineStr">
        <is>
          <t>C10: Registro de fallos en el control de acceso</t>
        </is>
      </c>
      <c r="J75" s="112" t="inlineStr">
        <is>
          <t>2. Metodología Interna GSO-GSI + ISO 27001</t>
        </is>
      </c>
      <c r="K75" s="112" t="inlineStr">
        <is>
          <t>Aplica</t>
        </is>
      </c>
      <c r="L75" s="112" t="inlineStr">
        <is>
          <t>Requisito interno GSO-GSI</t>
        </is>
      </c>
    </row>
    <row r="76" ht="36" customHeight="1" s="106">
      <c r="A76" s="38" t="inlineStr">
        <is>
          <t>8.16</t>
        </is>
      </c>
      <c r="B76" s="112" t="inlineStr">
        <is>
          <t>Actividades de seguimiento (Monitoring)</t>
        </is>
      </c>
      <c r="C76" s="112" t="inlineStr">
        <is>
          <t>#Detectivo</t>
        </is>
      </c>
      <c r="D76" s="112" t="inlineStr">
        <is>
          <t>#Confidencialidad, #Integridad, #Disponibilidad</t>
        </is>
      </c>
      <c r="E76" s="112" t="inlineStr">
        <is>
          <t>#Detectar</t>
        </is>
      </c>
      <c r="F76" s="38" t="inlineStr">
        <is>
          <t>#Seguridad_de_la_información_gestión_de_eventos</t>
        </is>
      </c>
      <c r="G76" s="112" t="inlineStr">
        <is>
          <t>#Defensa</t>
        </is>
      </c>
      <c r="H76" s="112" t="inlineStr">
        <is>
          <t>Obligatorio SEPS (Régimen General)</t>
        </is>
      </c>
      <c r="I76" s="112" t="inlineStr">
        <is>
          <t>C13: Monitoreo y control</t>
        </is>
      </c>
      <c r="J76" s="112" t="inlineStr">
        <is>
          <t>2. Metodología Interna GSO-GSI + ISO 27001</t>
        </is>
      </c>
      <c r="K76" s="112" t="inlineStr">
        <is>
          <t>Aplica</t>
        </is>
      </c>
      <c r="L76" s="112" t="inlineStr">
        <is>
          <t>Requisito interno GSO-GSI</t>
        </is>
      </c>
    </row>
    <row r="77" ht="36" customHeight="1" s="106">
      <c r="A77" s="38" t="inlineStr">
        <is>
          <t>8.17</t>
        </is>
      </c>
      <c r="B77" s="112" t="inlineStr">
        <is>
          <t>Sincronización de relojes</t>
        </is>
      </c>
      <c r="C77" s="112" t="inlineStr">
        <is>
          <t>#Preventivo</t>
        </is>
      </c>
      <c r="D77" s="112" t="inlineStr">
        <is>
          <t>#Confidencialidad, #Integridad, #Disponibilidad</t>
        </is>
      </c>
      <c r="E77" s="112" t="inlineStr">
        <is>
          <t>#Proteger</t>
        </is>
      </c>
      <c r="F77" s="38" t="inlineStr">
        <is>
          <t>#Seguridad_de_sistemas_y_redes</t>
        </is>
      </c>
      <c r="G77" s="112" t="inlineStr">
        <is>
          <t>#Proteccion</t>
        </is>
      </c>
      <c r="H77" s="112" t="inlineStr">
        <is>
          <t>Obligatorio SEPS (Régimen General)</t>
        </is>
      </c>
      <c r="I77" s="112" t="inlineStr">
        <is>
          <t>-</t>
        </is>
      </c>
      <c r="J77" s="112" t="inlineStr">
        <is>
          <t>1. Regulatorio SEPS 002-2022 + ISO 27001</t>
        </is>
      </c>
      <c r="K77" s="112" t="inlineStr">
        <is>
          <t>Aplica</t>
        </is>
      </c>
      <c r="L77" s="112" t="inlineStr">
        <is>
          <t>Requerido por ente regulador SEPS</t>
        </is>
      </c>
    </row>
    <row r="78" ht="36" customHeight="1" s="106">
      <c r="A78" s="38" t="inlineStr">
        <is>
          <t>8.18</t>
        </is>
      </c>
      <c r="B78" s="112" t="inlineStr">
        <is>
          <t>Uso de programas de utilidad privilegiados</t>
        </is>
      </c>
      <c r="C78" s="112" t="inlineStr">
        <is>
          <t>#Preventivo</t>
        </is>
      </c>
      <c r="D78" s="112" t="inlineStr">
        <is>
          <t>#Confidencialidad, #Integridad, #Disponibilidad</t>
        </is>
      </c>
      <c r="E78" s="112" t="inlineStr">
        <is>
          <t>#Proteger</t>
        </is>
      </c>
      <c r="F78" s="38" t="inlineStr">
        <is>
          <t>#Administración_de_identidad_y_acceso</t>
        </is>
      </c>
      <c r="G78" s="112" t="inlineStr">
        <is>
          <t>#Proteccion</t>
        </is>
      </c>
      <c r="H78" s="112" t="inlineStr">
        <is>
          <t>Obligatorio SEPS (Régimen General)</t>
        </is>
      </c>
      <c r="I78" s="112" t="inlineStr">
        <is>
          <t>-</t>
        </is>
      </c>
      <c r="J78" s="112" t="inlineStr">
        <is>
          <t>1. Regulatorio SEPS 002-2022 + ISO 27001</t>
        </is>
      </c>
      <c r="K78" s="112" t="inlineStr">
        <is>
          <t>Aplica</t>
        </is>
      </c>
      <c r="L78" s="112" t="inlineStr">
        <is>
          <t>Requerido por ente regulador SEPS</t>
        </is>
      </c>
    </row>
    <row r="79" ht="48" customHeight="1" s="106">
      <c r="A79" s="38" t="inlineStr">
        <is>
          <t>8.19</t>
        </is>
      </c>
      <c r="B79" s="112" t="inlineStr">
        <is>
          <t>Instalación de software en sistemas operativos</t>
        </is>
      </c>
      <c r="C79" s="112" t="inlineStr">
        <is>
          <t>#Preventivo</t>
        </is>
      </c>
      <c r="D79" s="112" t="inlineStr">
        <is>
          <t>#Confidencialidad, #Integridad, #Disponibilidad</t>
        </is>
      </c>
      <c r="E79" s="112" t="inlineStr">
        <is>
          <t>#Proteger</t>
        </is>
      </c>
      <c r="F79" s="38" t="inlineStr">
        <is>
          <t>#Configuración_segura</t>
        </is>
      </c>
      <c r="G79" s="112" t="inlineStr">
        <is>
          <t>#Proteccion</t>
        </is>
      </c>
      <c r="H79" s="112" t="inlineStr">
        <is>
          <t>Obligatorio SEPS (Régimen General)</t>
        </is>
      </c>
      <c r="I79" s="112" t="inlineStr">
        <is>
          <t>C12: Actualizaciones periódicas firmware/software</t>
        </is>
      </c>
      <c r="J79" s="112" t="inlineStr">
        <is>
          <t>2. Metodología Interna GSO-GSI + ISO 27001</t>
        </is>
      </c>
      <c r="K79" s="112" t="inlineStr">
        <is>
          <t>Aplica</t>
        </is>
      </c>
      <c r="L79" s="112" t="inlineStr">
        <is>
          <t>Requisito interno GSO-GSI</t>
        </is>
      </c>
    </row>
    <row r="80" ht="48" customHeight="1" s="106">
      <c r="A80" s="38" t="inlineStr">
        <is>
          <t>8.20</t>
        </is>
      </c>
      <c r="B80" s="112" t="inlineStr">
        <is>
          <t>Seguridad de las redes</t>
        </is>
      </c>
      <c r="C80" s="112" t="inlineStr">
        <is>
          <t>#Preventivo</t>
        </is>
      </c>
      <c r="D80" s="112" t="inlineStr">
        <is>
          <t>#Confidencialidad, #Integridad, #Disponibilidad</t>
        </is>
      </c>
      <c r="E80" s="112" t="inlineStr">
        <is>
          <t>#Proteger</t>
        </is>
      </c>
      <c r="F80" s="38" t="inlineStr">
        <is>
          <t>#Seguridad_de_sistemas_y_redes</t>
        </is>
      </c>
      <c r="G80" s="112" t="inlineStr">
        <is>
          <t>#Proteccion</t>
        </is>
      </c>
      <c r="H80" s="112" t="inlineStr">
        <is>
          <t>Obligatorio SEPS (Régimen General)</t>
        </is>
      </c>
      <c r="I80" s="112" t="inlineStr">
        <is>
          <t>C52: Mantenimiento preventivo / Configuración segura</t>
        </is>
      </c>
      <c r="J80" s="112" t="inlineStr">
        <is>
          <t>2. Metodología Interna GSO-GSI + ISO 27001</t>
        </is>
      </c>
      <c r="K80" s="112" t="inlineStr">
        <is>
          <t>Aplica</t>
        </is>
      </c>
      <c r="L80" s="112" t="inlineStr">
        <is>
          <t>Requisito interno GSO-GSI</t>
        </is>
      </c>
    </row>
    <row r="81" ht="36" customHeight="1" s="106">
      <c r="A81" s="38" t="inlineStr">
        <is>
          <t>8.21</t>
        </is>
      </c>
      <c r="B81" s="112" t="inlineStr">
        <is>
          <t>Seguridad de los servicios de red</t>
        </is>
      </c>
      <c r="C81" s="112" t="inlineStr">
        <is>
          <t>#Preventivo</t>
        </is>
      </c>
      <c r="D81" s="112" t="inlineStr">
        <is>
          <t>#Confidencialidad, #Integridad, #Disponibilidad</t>
        </is>
      </c>
      <c r="E81" s="112" t="inlineStr">
        <is>
          <t>#Proteger</t>
        </is>
      </c>
      <c r="F81" s="38" t="inlineStr">
        <is>
          <t>#Seguridad_de_sistemas_y_redes</t>
        </is>
      </c>
      <c r="G81" s="112" t="inlineStr">
        <is>
          <t>#Proteccion</t>
        </is>
      </c>
      <c r="H81" s="112" t="inlineStr">
        <is>
          <t>Obligatorio SEPS (Régimen General)</t>
        </is>
      </c>
      <c r="I81" s="112" t="inlineStr">
        <is>
          <t>-</t>
        </is>
      </c>
      <c r="J81" s="112" t="inlineStr">
        <is>
          <t>1. Regulatorio SEPS 002-2022 + ISO 27001</t>
        </is>
      </c>
      <c r="K81" s="112" t="inlineStr">
        <is>
          <t>Aplica</t>
        </is>
      </c>
      <c r="L81" s="112" t="inlineStr">
        <is>
          <t>Requerido por ente regulador SEPS</t>
        </is>
      </c>
    </row>
    <row r="82" ht="36" customHeight="1" s="106">
      <c r="A82" s="38" t="inlineStr">
        <is>
          <t>8.22</t>
        </is>
      </c>
      <c r="B82" s="112" t="inlineStr">
        <is>
          <t>Segregación de redes</t>
        </is>
      </c>
      <c r="C82" s="112" t="inlineStr">
        <is>
          <t>#Preventivo</t>
        </is>
      </c>
      <c r="D82" s="112" t="inlineStr">
        <is>
          <t>#Confidencialidad, #Integridad, #Disponibilidad</t>
        </is>
      </c>
      <c r="E82" s="112" t="inlineStr">
        <is>
          <t>#Proteger</t>
        </is>
      </c>
      <c r="F82" s="38" t="inlineStr">
        <is>
          <t>#Seguridad_de_sistemas_y_redes</t>
        </is>
      </c>
      <c r="G82" s="112" t="inlineStr">
        <is>
          <t>#Proteccion</t>
        </is>
      </c>
      <c r="H82" s="112" t="inlineStr">
        <is>
          <t>Obligatorio SEPS (Régimen General)</t>
        </is>
      </c>
      <c r="I82" s="112" t="inlineStr">
        <is>
          <t>-</t>
        </is>
      </c>
      <c r="J82" s="112" t="inlineStr">
        <is>
          <t>1. Regulatorio SEPS 002-2022 + ISO 27001</t>
        </is>
      </c>
      <c r="K82" s="112" t="inlineStr">
        <is>
          <t>Aplica</t>
        </is>
      </c>
      <c r="L82" s="112" t="inlineStr">
        <is>
          <t>Requerido por ente regulador SEPS</t>
        </is>
      </c>
    </row>
    <row r="83" ht="60" customHeight="1" s="106">
      <c r="A83" s="38" t="inlineStr">
        <is>
          <t>8.23</t>
        </is>
      </c>
      <c r="B83" s="112" t="inlineStr">
        <is>
          <t>Filtrado web</t>
        </is>
      </c>
      <c r="C83" s="112" t="inlineStr">
        <is>
          <t>#Preventivo</t>
        </is>
      </c>
      <c r="D83" s="112" t="inlineStr">
        <is>
          <t>#Confidencialidad, #Integridad, #Disponibilidad</t>
        </is>
      </c>
      <c r="E83" s="112" t="inlineStr">
        <is>
          <t>#Proteger</t>
        </is>
      </c>
      <c r="F83" s="38" t="inlineStr">
        <is>
          <t>#Seguridad_de_sistemas_y_redes</t>
        </is>
      </c>
      <c r="G83" s="112" t="inlineStr">
        <is>
          <t>#Proteccion</t>
        </is>
      </c>
      <c r="H83" s="112" t="inlineStr">
        <is>
          <t>Mejor Práctica (No obligatorio SEPS)</t>
        </is>
      </c>
      <c r="I83" s="112" t="inlineStr">
        <is>
          <t>-</t>
        </is>
      </c>
      <c r="J83" s="112" t="inlineStr">
        <is>
          <t>3. Tratamiento de Riesgos Específico (ISO 27002 / MAGERIT)</t>
        </is>
      </c>
      <c r="K83" s="112" t="inlineStr">
        <is>
          <t>Aplica</t>
        </is>
      </c>
      <c r="L83" s="112" t="inlineStr">
        <is>
          <t>Requisito de control complementario y mejor práctica de seguridad</t>
        </is>
      </c>
    </row>
    <row r="84" ht="36" customHeight="1" s="106">
      <c r="A84" s="38" t="inlineStr">
        <is>
          <t>8.24</t>
        </is>
      </c>
      <c r="B84" s="112" t="inlineStr">
        <is>
          <t>Uso de criptografía</t>
        </is>
      </c>
      <c r="C84" s="112" t="inlineStr">
        <is>
          <t>#Preventivo</t>
        </is>
      </c>
      <c r="D84" s="112" t="inlineStr">
        <is>
          <t>#Confidencialidad, #Integridad, #Disponibilidad</t>
        </is>
      </c>
      <c r="E84" s="112" t="inlineStr">
        <is>
          <t>#Proteger</t>
        </is>
      </c>
      <c r="F84" s="38" t="inlineStr">
        <is>
          <t>#Protección_de_la_información</t>
        </is>
      </c>
      <c r="G84" s="112" t="inlineStr">
        <is>
          <t>#Proteccion</t>
        </is>
      </c>
      <c r="H84" s="112" t="inlineStr">
        <is>
          <t>Obligatorio SEPS (Régimen General)</t>
        </is>
      </c>
      <c r="I84" s="112" t="inlineStr">
        <is>
          <t>-</t>
        </is>
      </c>
      <c r="J84" s="112" t="inlineStr">
        <is>
          <t>1. Regulatorio SEPS 002-2022 + ISO 27001</t>
        </is>
      </c>
      <c r="K84" s="112" t="inlineStr">
        <is>
          <t>Aplica</t>
        </is>
      </c>
      <c r="L84" s="112" t="inlineStr">
        <is>
          <t>Requerido por ente regulador SEPS</t>
        </is>
      </c>
    </row>
    <row r="85" ht="36" customHeight="1" s="106">
      <c r="A85" s="38" t="inlineStr">
        <is>
          <t>8.25</t>
        </is>
      </c>
      <c r="B85" s="112" t="inlineStr">
        <is>
          <t>Ciclo de vida del desarrollo seguro</t>
        </is>
      </c>
      <c r="C85" s="112" t="inlineStr">
        <is>
          <t>#Preventivo</t>
        </is>
      </c>
      <c r="D85" s="112" t="inlineStr">
        <is>
          <t>#Confidencialidad, #Integridad, #Disponibilidad</t>
        </is>
      </c>
      <c r="E85" s="112" t="inlineStr">
        <is>
          <t>#Proteger</t>
        </is>
      </c>
      <c r="F85" s="38" t="inlineStr">
        <is>
          <t>#Seguridad_de_aplicaciones</t>
        </is>
      </c>
      <c r="G85" s="112" t="inlineStr">
        <is>
          <t>#Proteccion</t>
        </is>
      </c>
      <c r="H85" s="112" t="inlineStr">
        <is>
          <t>Obligatorio SEPS (Régimen General)</t>
        </is>
      </c>
      <c r="I85" s="112" t="inlineStr">
        <is>
          <t>-</t>
        </is>
      </c>
      <c r="J85" s="112" t="inlineStr">
        <is>
          <t>1. Regulatorio SEPS 002-2022 + ISO 27001</t>
        </is>
      </c>
      <c r="K85" s="112" t="inlineStr">
        <is>
          <t>Aplica</t>
        </is>
      </c>
      <c r="L85" s="112" t="inlineStr">
        <is>
          <t>Requerido por ente regulador SEPS</t>
        </is>
      </c>
    </row>
    <row r="86" ht="36" customHeight="1" s="106">
      <c r="A86" s="38" t="inlineStr">
        <is>
          <t>8.26</t>
        </is>
      </c>
      <c r="B86" s="112" t="inlineStr">
        <is>
          <t>Requisitos de seguridad de las aplicaciones</t>
        </is>
      </c>
      <c r="C86" s="112" t="inlineStr">
        <is>
          <t>#Preventivo</t>
        </is>
      </c>
      <c r="D86" s="112" t="inlineStr">
        <is>
          <t>#Confidencialidad, #Integridad, #Disponibilidad</t>
        </is>
      </c>
      <c r="E86" s="112" t="inlineStr">
        <is>
          <t>#Proteger</t>
        </is>
      </c>
      <c r="F86" s="38" t="inlineStr">
        <is>
          <t>#Seguridad_de_aplicaciones</t>
        </is>
      </c>
      <c r="G86" s="112" t="inlineStr">
        <is>
          <t>#Proteccion</t>
        </is>
      </c>
      <c r="H86" s="112" t="inlineStr">
        <is>
          <t>Obligatorio SEPS (Régimen General)</t>
        </is>
      </c>
      <c r="I86" s="112" t="inlineStr">
        <is>
          <t>-</t>
        </is>
      </c>
      <c r="J86" s="112" t="inlineStr">
        <is>
          <t>1. Regulatorio SEPS 002-2022 + ISO 27001</t>
        </is>
      </c>
      <c r="K86" s="112" t="inlineStr">
        <is>
          <t>Aplica</t>
        </is>
      </c>
      <c r="L86" s="112" t="inlineStr">
        <is>
          <t>Requerido por ente regulador SEPS</t>
        </is>
      </c>
    </row>
    <row r="87" ht="48" customHeight="1" s="106">
      <c r="A87" s="38" t="inlineStr">
        <is>
          <t>8.27</t>
        </is>
      </c>
      <c r="B87" s="112" t="inlineStr">
        <is>
          <t>Arquitectura de sistemas seguros y principios de ingeniería</t>
        </is>
      </c>
      <c r="C87" s="112" t="inlineStr">
        <is>
          <t>#Preventivo</t>
        </is>
      </c>
      <c r="D87" s="112" t="inlineStr">
        <is>
          <t>#Confidencialidad, #Integridad, #Disponibilidad</t>
        </is>
      </c>
      <c r="E87" s="112" t="inlineStr">
        <is>
          <t>#Proteger</t>
        </is>
      </c>
      <c r="F87" s="38" t="inlineStr">
        <is>
          <t>#Seguridad_de_aplicaciones</t>
        </is>
      </c>
      <c r="G87" s="112" t="inlineStr">
        <is>
          <t>#Proteccion</t>
        </is>
      </c>
      <c r="H87" s="112" t="inlineStr">
        <is>
          <t>Obligatorio SEPS (Régimen General)</t>
        </is>
      </c>
      <c r="I87" s="112" t="inlineStr">
        <is>
          <t>-</t>
        </is>
      </c>
      <c r="J87" s="112" t="inlineStr">
        <is>
          <t>1. Regulatorio SEPS 002-2022 + ISO 27001</t>
        </is>
      </c>
      <c r="K87" s="112" t="inlineStr">
        <is>
          <t>Aplica</t>
        </is>
      </c>
      <c r="L87" s="112" t="inlineStr">
        <is>
          <t>Requerido por ente regulador SEPS</t>
        </is>
      </c>
    </row>
    <row r="88" ht="36" customHeight="1" s="106">
      <c r="A88" s="38" t="inlineStr">
        <is>
          <t>8.28</t>
        </is>
      </c>
      <c r="B88" s="112" t="inlineStr">
        <is>
          <t>Codificación segura</t>
        </is>
      </c>
      <c r="C88" s="112" t="inlineStr">
        <is>
          <t>#Preventivo</t>
        </is>
      </c>
      <c r="D88" s="112" t="inlineStr">
        <is>
          <t>#Confidencialidad, #Integridad, #Disponibilidad</t>
        </is>
      </c>
      <c r="E88" s="112" t="inlineStr">
        <is>
          <t>#Proteger</t>
        </is>
      </c>
      <c r="F88" s="38" t="inlineStr">
        <is>
          <t>#Seguridad_de_aplicaciones</t>
        </is>
      </c>
      <c r="G88" s="112" t="inlineStr">
        <is>
          <t>#Proteccion</t>
        </is>
      </c>
      <c r="H88" s="112" t="inlineStr">
        <is>
          <t>Obligatorio SEPS (Régimen General)</t>
        </is>
      </c>
      <c r="I88" s="112" t="inlineStr">
        <is>
          <t>-</t>
        </is>
      </c>
      <c r="J88" s="112" t="inlineStr">
        <is>
          <t>1. Regulatorio SEPS 002-2022 + ISO 27001</t>
        </is>
      </c>
      <c r="K88" s="112" t="inlineStr">
        <is>
          <t>Aplica</t>
        </is>
      </c>
      <c r="L88" s="112" t="inlineStr">
        <is>
          <t>Requerido por ente regulador SEPS</t>
        </is>
      </c>
    </row>
    <row r="89" ht="48" customHeight="1" s="106">
      <c r="A89" s="38" t="inlineStr">
        <is>
          <t>8.29</t>
        </is>
      </c>
      <c r="B89" s="112" t="inlineStr">
        <is>
          <t>Pruebas de seguridad en el desarrollo y la aceptación</t>
        </is>
      </c>
      <c r="C89" s="112" t="inlineStr">
        <is>
          <t>#Preventivo, #Detectivo</t>
        </is>
      </c>
      <c r="D89" s="112" t="inlineStr">
        <is>
          <t>#Confidencialidad, #Integridad, #Disponibilidad</t>
        </is>
      </c>
      <c r="E89" s="112" t="inlineStr">
        <is>
          <t>#Proteger</t>
        </is>
      </c>
      <c r="F89" s="38" t="inlineStr">
        <is>
          <t>#Seguridad_de_aplicaciones</t>
        </is>
      </c>
      <c r="G89" s="112" t="inlineStr">
        <is>
          <t>#Proteccion</t>
        </is>
      </c>
      <c r="H89" s="112" t="inlineStr">
        <is>
          <t>Obligatorio SEPS (Régimen General)</t>
        </is>
      </c>
      <c r="I89" s="112" t="inlineStr">
        <is>
          <t>-</t>
        </is>
      </c>
      <c r="J89" s="112" t="inlineStr">
        <is>
          <t>1. Regulatorio SEPS 002-2022 + ISO 27001</t>
        </is>
      </c>
      <c r="K89" s="112" t="inlineStr">
        <is>
          <t>Aplica</t>
        </is>
      </c>
      <c r="L89" s="112" t="inlineStr">
        <is>
          <t>Requerido por ente regulador SEPS</t>
        </is>
      </c>
    </row>
    <row r="90" ht="48" customHeight="1" s="106">
      <c r="A90" s="38" t="inlineStr">
        <is>
          <t>8.30</t>
        </is>
      </c>
      <c r="B90" s="112" t="inlineStr">
        <is>
          <t>Desarrollo externalizado</t>
        </is>
      </c>
      <c r="C90" s="112" t="inlineStr">
        <is>
          <t>#Preventivo</t>
        </is>
      </c>
      <c r="D90" s="112" t="inlineStr">
        <is>
          <t>#Confidencialidad, #Integridad, #Disponibilidad</t>
        </is>
      </c>
      <c r="E90" s="112" t="inlineStr">
        <is>
          <t>#Proteger</t>
        </is>
      </c>
      <c r="F90" s="38" t="inlineStr">
        <is>
          <t>#Seguridad_de_aplicaciones</t>
        </is>
      </c>
      <c r="G90" s="112" t="inlineStr">
        <is>
          <t>#Proteccion</t>
        </is>
      </c>
      <c r="H90" s="112" t="inlineStr">
        <is>
          <t>Mejor Práctica (No obligatorio SEPS)</t>
        </is>
      </c>
      <c r="I90" s="112" t="inlineStr">
        <is>
          <t>-</t>
        </is>
      </c>
      <c r="J90" s="112" t="inlineStr">
        <is>
          <t>4. No Aplica</t>
        </is>
      </c>
      <c r="K90" s="112" t="inlineStr">
        <is>
          <t>No Aplica</t>
        </is>
      </c>
      <c r="L90" s="112" t="inlineStr">
        <is>
          <t>Control 8.30 no es pertinente a los procesos actuales de la entidad</t>
        </is>
      </c>
    </row>
    <row r="91" ht="48" customHeight="1" s="106">
      <c r="A91" s="38" t="inlineStr">
        <is>
          <t>8.31</t>
        </is>
      </c>
      <c r="B91" s="112" t="inlineStr">
        <is>
          <t>Separación de entornos de desarrollo, pruebas y producción</t>
        </is>
      </c>
      <c r="C91" s="112" t="inlineStr">
        <is>
          <t>#Preventivo</t>
        </is>
      </c>
      <c r="D91" s="112" t="inlineStr">
        <is>
          <t>#Confidencialidad, #Integridad, #Disponibilidad</t>
        </is>
      </c>
      <c r="E91" s="112" t="inlineStr">
        <is>
          <t>#Proteger</t>
        </is>
      </c>
      <c r="F91" s="38" t="inlineStr">
        <is>
          <t>#Seguridad_de_sistemas_y_redes</t>
        </is>
      </c>
      <c r="G91" s="112" t="inlineStr">
        <is>
          <t>#Proteccion</t>
        </is>
      </c>
      <c r="H91" s="112" t="inlineStr">
        <is>
          <t>Obligatorio SEPS (Régimen General)</t>
        </is>
      </c>
      <c r="I91" s="112" t="inlineStr">
        <is>
          <t>-</t>
        </is>
      </c>
      <c r="J91" s="112" t="inlineStr">
        <is>
          <t>1. Regulatorio SEPS 002-2022 + ISO 27001</t>
        </is>
      </c>
      <c r="K91" s="112" t="inlineStr">
        <is>
          <t>Aplica</t>
        </is>
      </c>
      <c r="L91" s="112" t="inlineStr">
        <is>
          <t>Requerido por ente regulador SEPS</t>
        </is>
      </c>
    </row>
    <row r="92" ht="36" customHeight="1" s="106">
      <c r="A92" s="38" t="inlineStr">
        <is>
          <t>8.32</t>
        </is>
      </c>
      <c r="B92" s="112" t="inlineStr">
        <is>
          <t>Gestión de cambios</t>
        </is>
      </c>
      <c r="C92" s="112" t="inlineStr">
        <is>
          <t>#Preventivo</t>
        </is>
      </c>
      <c r="D92" s="112" t="inlineStr">
        <is>
          <t>#Confidencialidad, #Integridad, #Disponibilidad</t>
        </is>
      </c>
      <c r="E92" s="112" t="inlineStr">
        <is>
          <t>#Proteger</t>
        </is>
      </c>
      <c r="F92" s="38" t="inlineStr">
        <is>
          <t>#Seguridad_de_sistemas_y_redes</t>
        </is>
      </c>
      <c r="G92" s="112" t="inlineStr">
        <is>
          <t>#Proteccion</t>
        </is>
      </c>
      <c r="H92" s="112" t="inlineStr">
        <is>
          <t>Obligatorio SEPS (Régimen General)</t>
        </is>
      </c>
      <c r="I92" s="112" t="inlineStr">
        <is>
          <t>-</t>
        </is>
      </c>
      <c r="J92" s="112" t="inlineStr">
        <is>
          <t>1. Regulatorio SEPS 002-2022 + ISO 27001</t>
        </is>
      </c>
      <c r="K92" s="112" t="inlineStr">
        <is>
          <t>Aplica</t>
        </is>
      </c>
      <c r="L92" s="112" t="inlineStr">
        <is>
          <t>Requerido por ente regulador SEPS</t>
        </is>
      </c>
    </row>
    <row r="93" ht="36" customHeight="1" s="106">
      <c r="A93" s="38" t="inlineStr">
        <is>
          <t>8.33</t>
        </is>
      </c>
      <c r="B93" s="112" t="inlineStr">
        <is>
          <t>Información de prueba</t>
        </is>
      </c>
      <c r="C93" s="112" t="inlineStr">
        <is>
          <t>#Preventivo</t>
        </is>
      </c>
      <c r="D93" s="112" t="inlineStr">
        <is>
          <t>#Confidencialidad, #Integridad, #Disponibilidad</t>
        </is>
      </c>
      <c r="E93" s="112" t="inlineStr">
        <is>
          <t>#Proteger</t>
        </is>
      </c>
      <c r="F93" s="38" t="inlineStr">
        <is>
          <t>#Seguridad_de_aplicaciones</t>
        </is>
      </c>
      <c r="G93" s="112" t="inlineStr">
        <is>
          <t>#Proteccion</t>
        </is>
      </c>
      <c r="H93" s="112" t="inlineStr">
        <is>
          <t>Obligatorio SEPS (Régimen General)</t>
        </is>
      </c>
      <c r="I93" s="112" t="inlineStr">
        <is>
          <t>-</t>
        </is>
      </c>
      <c r="J93" s="112" t="inlineStr">
        <is>
          <t>1. Regulatorio SEPS 002-2022 + ISO 27001</t>
        </is>
      </c>
      <c r="K93" s="112" t="inlineStr">
        <is>
          <t>Aplica</t>
        </is>
      </c>
      <c r="L93" s="112" t="inlineStr">
        <is>
          <t>Requerido por ente regulador SEPS</t>
        </is>
      </c>
    </row>
    <row r="94" ht="60" customHeight="1" s="106">
      <c r="A94" s="38" t="inlineStr">
        <is>
          <t>8.34</t>
        </is>
      </c>
      <c r="B94" s="112" t="inlineStr">
        <is>
          <t>Protección de los sistemas de información durante las pruebas de auditoría</t>
        </is>
      </c>
      <c r="C94" s="112" t="inlineStr">
        <is>
          <t>#Preventivo</t>
        </is>
      </c>
      <c r="D94" s="112" t="inlineStr">
        <is>
          <t>#Confidencialidad, #Integridad, #Disponibilidad</t>
        </is>
      </c>
      <c r="E94" s="112" t="inlineStr">
        <is>
          <t>#Proteger</t>
        </is>
      </c>
      <c r="F94" s="38" t="inlineStr">
        <is>
          <t>#Seguridad_de_sistemas_y_redes</t>
        </is>
      </c>
      <c r="G94" s="112" t="inlineStr">
        <is>
          <t>#Proteccion</t>
        </is>
      </c>
      <c r="H94" s="112" t="inlineStr">
        <is>
          <t>Mejor Práctica (No obligatorio SEPS)</t>
        </is>
      </c>
      <c r="I94" s="112" t="inlineStr">
        <is>
          <t>-</t>
        </is>
      </c>
      <c r="J94" s="112" t="inlineStr">
        <is>
          <t>3. Tratamiento de Riesgos Específico (ISO 27002 / MAGERIT)</t>
        </is>
      </c>
      <c r="K94" s="112" t="inlineStr">
        <is>
          <t>No Aplica</t>
        </is>
      </c>
      <c r="L94" s="112" t="inlineStr">
        <is>
          <t>No aplicable a la arquitectura/infraestructura actual</t>
        </is>
      </c>
    </row>
  </sheetData>
  <autoFilter ref="A1:L9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94"/>
  <sheetViews>
    <sheetView topLeftCell="D1" zoomScale="93" zoomScaleNormal="93" workbookViewId="0">
      <selection activeCell="I90" sqref="I90"/>
    </sheetView>
  </sheetViews>
  <sheetFormatPr baseColWidth="10" defaultColWidth="8.6640625" defaultRowHeight="11.25"/>
  <cols>
    <col width="9.6640625" customWidth="1" style="33" min="1" max="1"/>
    <col width="35.1640625" customWidth="1" style="112" min="2" max="2"/>
    <col width="22.5" customWidth="1" style="33" min="3" max="3"/>
    <col width="11.1640625" customWidth="1" style="33" min="4" max="4"/>
    <col width="24.83203125" customWidth="1" style="38" min="5" max="5"/>
    <col width="17.6640625" customWidth="1" style="90" min="6" max="6"/>
    <col width="27" customWidth="1" style="38" min="7" max="7"/>
    <col width="24.33203125" customWidth="1" style="38" min="8" max="8"/>
    <col width="51.1640625" customWidth="1" style="91" min="9" max="9"/>
    <col width="17.5" customWidth="1" style="106" min="10" max="10"/>
    <col width="19.1640625" customWidth="1" style="106" min="11" max="11"/>
    <col width="18" customWidth="1" style="106" min="12" max="12"/>
    <col width="13.83203125" customWidth="1" style="106" min="13" max="13"/>
    <col width="14.6640625" customWidth="1" style="106" min="14" max="14"/>
  </cols>
  <sheetData>
    <row r="1" ht="33.75" customHeight="1" s="106">
      <c r="A1" s="89" t="inlineStr">
        <is>
          <t>ID Control</t>
        </is>
      </c>
      <c r="B1" s="89" t="inlineStr">
        <is>
          <t>Nombre del Control</t>
        </is>
      </c>
      <c r="C1" s="89" t="inlineStr">
        <is>
          <t>Dominio ISO 27001</t>
        </is>
      </c>
      <c r="D1" s="89" t="inlineStr">
        <is>
          <t>¿Aplica?</t>
        </is>
      </c>
      <c r="E1" s="89" t="inlineStr">
        <is>
          <t>Obligatoriedad Regulatoria SEPS</t>
        </is>
      </c>
      <c r="F1" s="89" t="inlineStr">
        <is>
          <t>Control Metodología GSO-GSI</t>
        </is>
      </c>
      <c r="G1" s="89" t="inlineStr">
        <is>
          <t>Origen de Aplicabilidad</t>
        </is>
      </c>
      <c r="H1" s="92" t="inlineStr">
        <is>
          <t>Justificación Inclusión / Exclusión</t>
        </is>
      </c>
      <c r="I1" s="89" t="inlineStr">
        <is>
          <t>Acción</t>
        </is>
      </c>
      <c r="J1" s="89" t="inlineStr">
        <is>
          <t>Estado de Implementación</t>
        </is>
      </c>
      <c r="K1" s="89" t="inlineStr">
        <is>
          <t>Tipo de Protección MAGERIT</t>
        </is>
      </c>
      <c r="L1" s="89" t="inlineStr">
        <is>
          <t>Nivel de Madurez / Efectividad</t>
        </is>
      </c>
      <c r="M1" s="89" t="inlineStr">
        <is>
          <t>Riesgos / Amenazas que Mitiga</t>
        </is>
      </c>
      <c r="N1" s="89" t="inlineStr">
        <is>
          <t>Evidencia / Documentación Asociada</t>
        </is>
      </c>
    </row>
    <row r="2" ht="45" customHeight="1" s="106">
      <c r="A2" s="33">
        <f>'ANEXO A'!A2</f>
        <v/>
      </c>
      <c r="B2" s="112">
        <f>IFERROR(VLOOKUP(A2, 'ANEXO A'!$A$2:$L$94, 2, FALSE), "")</f>
        <v/>
      </c>
      <c r="C2" s="33">
        <f>IF(LEFT(A2,1)="5", "5. Organizacionales", IF(LEFT(A2,1)="6", "6. Personas", IF(LEFT(A2,1)="7", "7. Físicos", "8. Tecnológicos")))</f>
        <v/>
      </c>
      <c r="D2" s="33">
        <f>IFERROR(VLOOKUP(A2, 'ANEXO A'!$A$2:$L$94, 11, FALSE), "")</f>
        <v/>
      </c>
      <c r="E2" s="38">
        <f>IFERROR(VLOOKUP(A2, 'ANEXO A'!$A$2:$L$94, 8, FALSE), "")</f>
        <v/>
      </c>
      <c r="F2" s="90">
        <f>IFERROR(VLOOKUP(A2, 'ANEXO A'!$A$2:$L$94, 9, FALSE), "")</f>
        <v/>
      </c>
      <c r="G2" s="38">
        <f>IFERROR(VLOOKUP(A2, 'ANEXO A'!$A$2:$L$94, 10, FALSE), "")</f>
        <v/>
      </c>
      <c r="H2" s="38">
        <f>IFERROR(VLOOKUP(A2, 'ANEXO A'!$A$2:$L$94, 12, FALSE), "")</f>
        <v/>
      </c>
      <c r="I2" s="91" t="inlineStr">
        <is>
          <t>6.1. Políticas Generales - Establecer directrices de seguridad (GSO-GSI-MP-GSI)</t>
        </is>
      </c>
    </row>
    <row r="3" ht="33.75" customHeight="1" s="106">
      <c r="A3" s="33">
        <f>'ANEXO A'!A3</f>
        <v/>
      </c>
      <c r="B3" s="112">
        <f>IFERROR(VLOOKUP(A3, 'ANEXO A'!$A$2:$L$94, 2, FALSE), "")</f>
        <v/>
      </c>
      <c r="C3" s="33">
        <f>IF(LEFT(A3,1)="5", "5. Organizacionales", IF(LEFT(A3,1)="6", "6. Personas", IF(LEFT(A3,1)="7", "7. Físicos", "8. Tecnológicos")))</f>
        <v/>
      </c>
      <c r="D3" s="33">
        <f>IFERROR(VLOOKUP(A3, 'ANEXO A'!$A$2:$L$94, 11, FALSE), "")</f>
        <v/>
      </c>
      <c r="E3" s="38">
        <f>IFERROR(VLOOKUP(A3, 'ANEXO A'!$A$2:$L$94, 8, FALSE), "")</f>
        <v/>
      </c>
      <c r="F3" s="90">
        <f>IFERROR(VLOOKUP(A3, 'ANEXO A'!$A$2:$L$94, 9, FALSE), "")</f>
        <v/>
      </c>
      <c r="G3" s="38">
        <f>IFERROR(VLOOKUP(A3, 'ANEXO A'!$A$2:$L$94, 10, FALSE), "")</f>
        <v/>
      </c>
      <c r="H3" s="38">
        <f>IFERROR(VLOOKUP(A3, 'ANEXO A'!$A$2:$L$94, 12, FALSE), "")</f>
        <v/>
      </c>
      <c r="I3" s="91" t="inlineStr">
        <is>
          <t>6.1 Políticas Generales / Sec. 12 SEPS 002: Definir, asignar y comunicar formalmente las funciones del Oficial/Jefe de SI, custodios y comités (GSO-GSI-MP-GSI / SEPS-2022-002).</t>
        </is>
      </c>
    </row>
    <row r="4" ht="33.75" customHeight="1" s="106">
      <c r="A4" s="33">
        <f>'ANEXO A'!A4</f>
        <v/>
      </c>
      <c r="B4" s="112">
        <f>IFERROR(VLOOKUP(A4, 'ANEXO A'!$A$2:$L$94, 2, FALSE), "")</f>
        <v/>
      </c>
      <c r="C4" s="33">
        <f>IF(LEFT(A4,1)="5", "5. Organizacionales", IF(LEFT(A4,1)="6", "6. Personas", IF(LEFT(A4,1)="7", "7. Físicos", "8. Tecnológicos")))</f>
        <v/>
      </c>
      <c r="D4" s="33">
        <f>IFERROR(VLOOKUP(A4, 'ANEXO A'!$A$2:$L$94, 11, FALSE), "")</f>
        <v/>
      </c>
      <c r="E4" s="38">
        <f>IFERROR(VLOOKUP(A4, 'ANEXO A'!$A$2:$L$94, 8, FALSE), "")</f>
        <v/>
      </c>
      <c r="F4" s="90">
        <f>IFERROR(VLOOKUP(A4, 'ANEXO A'!$A$2:$L$94, 9, FALSE), "")</f>
        <v/>
      </c>
      <c r="G4" s="38">
        <f>IFERROR(VLOOKUP(A4, 'ANEXO A'!$A$2:$L$94, 10, FALSE), "")</f>
        <v/>
      </c>
      <c r="H4" s="38">
        <f>IFERROR(VLOOKUP(A4, 'ANEXO A'!$A$2:$L$94, 12, FALSE), "")</f>
        <v/>
      </c>
      <c r="I4" s="91" t="inlineStr">
        <is>
          <t>6.7 Administración de roles y perfiles: Parametrizar y validar incompatibilidad de funciones y accesos mediante matrices SoD y workflows (GSO-GSI-MP-GSI).</t>
        </is>
      </c>
    </row>
    <row r="5" ht="33.75" customHeight="1" s="106">
      <c r="A5" s="33">
        <f>'ANEXO A'!A5</f>
        <v/>
      </c>
      <c r="B5" s="112">
        <f>IFERROR(VLOOKUP(A5, 'ANEXO A'!$A$2:$L$94, 2, FALSE), "")</f>
        <v/>
      </c>
      <c r="C5" s="33">
        <f>IF(LEFT(A5,1)="5", "5. Organizacionales", IF(LEFT(A5,1)="6", "6. Personas", IF(LEFT(A5,1)="7", "7. Físicos", "8. Tecnológicos")))</f>
        <v/>
      </c>
      <c r="D5" s="33">
        <f>IFERROR(VLOOKUP(A5, 'ANEXO A'!$A$2:$L$94, 11, FALSE), "")</f>
        <v/>
      </c>
      <c r="E5" s="38">
        <f>IFERROR(VLOOKUP(A5, 'ANEXO A'!$A$2:$L$94, 8, FALSE), "")</f>
        <v/>
      </c>
      <c r="F5" s="90">
        <f>IFERROR(VLOOKUP(A5, 'ANEXO A'!$A$2:$L$94, 9, FALSE), "")</f>
        <v/>
      </c>
      <c r="G5" s="38">
        <f>IFERROR(VLOOKUP(A5, 'ANEXO A'!$A$2:$L$94, 10, FALSE), "")</f>
        <v/>
      </c>
      <c r="H5" s="38">
        <f>IFERROR(VLOOKUP(A5, 'ANEXO A'!$A$2:$L$94, 12, FALSE), "")</f>
        <v/>
      </c>
      <c r="I5" s="91" t="inlineStr">
        <is>
          <t>6.1 Políticas Generales / Sec. 12 SEPS 002: Compromiso de la Alta Dirección y jefaturas en la exigencia y cumplimiento de políticas de SI (GSO-GSI-MP-GSI / SEPS-2022-002).</t>
        </is>
      </c>
    </row>
    <row r="6" ht="45" customHeight="1" s="106">
      <c r="A6" s="33">
        <f>'ANEXO A'!A6</f>
        <v/>
      </c>
      <c r="B6" s="112">
        <f>IFERROR(VLOOKUP(A6, 'ANEXO A'!$A$2:$L$94, 2, FALSE), "")</f>
        <v/>
      </c>
      <c r="C6" s="33">
        <f>IF(LEFT(A6,1)="5", "5. Organizacionales", IF(LEFT(A6,1)="6", "6. Personas", IF(LEFT(A6,1)="7", "7. Físicos", "8. Tecnológicos")))</f>
        <v/>
      </c>
      <c r="D6" s="33">
        <f>IFERROR(VLOOKUP(A6, 'ANEXO A'!$A$2:$L$94, 11, FALSE), "")</f>
        <v/>
      </c>
      <c r="E6" s="38">
        <f>IFERROR(VLOOKUP(A6, 'ANEXO A'!$A$2:$L$94, 8, FALSE), "")</f>
        <v/>
      </c>
      <c r="F6" s="90">
        <f>IFERROR(VLOOKUP(A6, 'ANEXO A'!$A$2:$L$94, 9, FALSE), "")</f>
        <v/>
      </c>
      <c r="G6" s="38">
        <f>IFERROR(VLOOKUP(A6, 'ANEXO A'!$A$2:$L$94, 10, FALSE), "")</f>
        <v/>
      </c>
      <c r="H6" s="38">
        <f>IFERROR(VLOOKUP(A6, 'ANEXO A'!$A$2:$L$94, 12, FALSE), "")</f>
        <v/>
      </c>
      <c r="I6" s="91" t="inlineStr">
        <is>
          <t>Disposición General 1era SEPS 002 / 6.15 Gestión de Incidentes: Notificación obligatoria e inmediata a la SEPS, Fiscalía y entes de control ante eventos críticos (SEPS-2022-002 / GSO-GSI-MP-GSI).</t>
        </is>
      </c>
    </row>
    <row r="7" ht="45" customHeight="1" s="106">
      <c r="A7" s="33">
        <f>'ANEXO A'!A7</f>
        <v/>
      </c>
      <c r="B7" s="112">
        <f>IFERROR(VLOOKUP(A7, 'ANEXO A'!$A$2:$L$94, 2, FALSE), "")</f>
        <v/>
      </c>
      <c r="C7" s="33">
        <f>IF(LEFT(A7,1)="5", "5. Organizacionales", IF(LEFT(A7,1)="6", "6. Personas", IF(LEFT(A7,1)="7", "7. Físicos", "8. Tecnológicos")))</f>
        <v/>
      </c>
      <c r="D7" s="33">
        <f>IFERROR(VLOOKUP(A7, 'ANEXO A'!$A$2:$L$94, 11, FALSE), "")</f>
        <v/>
      </c>
      <c r="E7" s="38">
        <f>IFERROR(VLOOKUP(A7, 'ANEXO A'!$A$2:$L$94, 8, FALSE), "")</f>
        <v/>
      </c>
      <c r="F7" s="90">
        <f>IFERROR(VLOOKUP(A7, 'ANEXO A'!$A$2:$L$94, 9, FALSE), "")</f>
        <v/>
      </c>
      <c r="G7" s="38">
        <f>IFERROR(VLOOKUP(A7, 'ANEXO A'!$A$2:$L$94, 10, FALSE), "")</f>
        <v/>
      </c>
      <c r="H7" s="38">
        <f>IFERROR(VLOOKUP(A7, 'ANEXO A'!$A$2:$L$94, 12, FALSE), "")</f>
        <v/>
      </c>
      <c r="I7" s="91" t="inlineStr">
        <is>
          <t>Marco Normativo y Alianzas: Mantener membresías, foros y canales de comunicación técnica con asociaciones del sector financiero popular y solidario (ISO 27002 / GSO-GSI-MP-GSI).</t>
        </is>
      </c>
    </row>
    <row r="8" ht="33.75" customHeight="1" s="106">
      <c r="A8" s="33">
        <f>'ANEXO A'!A8</f>
        <v/>
      </c>
      <c r="B8" s="112">
        <f>IFERROR(VLOOKUP(A8, 'ANEXO A'!$A$2:$L$94, 2, FALSE), "")</f>
        <v/>
      </c>
      <c r="C8" s="33">
        <f>IF(LEFT(A8,1)="5", "5. Organizacionales", IF(LEFT(A8,1)="6", "6. Personas", IF(LEFT(A8,1)="7", "7. Físicos", "8. Tecnológicos")))</f>
        <v/>
      </c>
      <c r="D8" s="33">
        <f>IFERROR(VLOOKUP(A8, 'ANEXO A'!$A$2:$L$94, 11, FALSE), "")</f>
        <v/>
      </c>
      <c r="E8" s="38">
        <f>IFERROR(VLOOKUP(A8, 'ANEXO A'!$A$2:$L$94, 8, FALSE), "")</f>
        <v/>
      </c>
      <c r="F8" s="90">
        <f>IFERROR(VLOOKUP(A8, 'ANEXO A'!$A$2:$L$94, 9, FALSE), "")</f>
        <v/>
      </c>
      <c r="G8" s="38">
        <f>IFERROR(VLOOKUP(A8, 'ANEXO A'!$A$2:$L$94, 10, FALSE), "")</f>
        <v/>
      </c>
      <c r="H8" s="38">
        <f>IFERROR(VLOOKUP(A8, 'ANEXO A'!$A$2:$L$94, 12, FALSE), "")</f>
        <v/>
      </c>
      <c r="I8" s="91" t="inlineStr">
        <is>
          <t>10.2 Metodología GAI / 6.19 Escaneo: Recopilación y análisis de fuentes de amenazas adversarias y no adversarias (S1-S40) (GSO-GSI-ME-GAI / GSO-GSI-MP-GSI).</t>
        </is>
      </c>
    </row>
    <row r="9" ht="45" customHeight="1" s="106">
      <c r="A9" s="33">
        <f>'ANEXO A'!A9</f>
        <v/>
      </c>
      <c r="B9" s="112">
        <f>IFERROR(VLOOKUP(A9, 'ANEXO A'!$A$2:$L$94, 2, FALSE), "")</f>
        <v/>
      </c>
      <c r="C9" s="33">
        <f>IF(LEFT(A9,1)="5", "5. Organizacionales", IF(LEFT(A9,1)="6", "6. Personas", IF(LEFT(A9,1)="7", "7. Físicos", "8. Tecnológicos")))</f>
        <v/>
      </c>
      <c r="D9" s="33">
        <f>IFERROR(VLOOKUP(A9, 'ANEXO A'!$A$2:$L$94, 11, FALSE), "")</f>
        <v/>
      </c>
      <c r="E9" s="38">
        <f>IFERROR(VLOOKUP(A9, 'ANEXO A'!$A$2:$L$94, 8, FALSE), "")</f>
        <v/>
      </c>
      <c r="F9" s="90">
        <f>IFERROR(VLOOKUP(A9, 'ANEXO A'!$A$2:$L$94, 9, FALSE), "")</f>
        <v/>
      </c>
      <c r="G9" s="38">
        <f>IFERROR(VLOOKUP(A9, 'ANEXO A'!$A$2:$L$94, 10, FALSE), "")</f>
        <v/>
      </c>
      <c r="H9" s="38">
        <f>IFERROR(VLOOKUP(A9, 'ANEXO A'!$A$2:$L$94, 12, FALSE), "")</f>
        <v/>
      </c>
      <c r="I9" s="91" t="inlineStr">
        <is>
          <t>6.13 Gestión de activos / Anexo 1 SEPS: Inclusión de directrices y análisis de riesgos de SI desde las fases iniciales de nuevos proyectos y servicios (GSO-GSI-ME-GAI / SEPS-2022-002).</t>
        </is>
      </c>
    </row>
    <row r="10" ht="22.5" customHeight="1" s="106">
      <c r="A10" s="33">
        <f>'ANEXO A'!A10</f>
        <v/>
      </c>
      <c r="B10" s="112">
        <f>IFERROR(VLOOKUP(A10, 'ANEXO A'!$A$2:$L$94, 2, FALSE), "")</f>
        <v/>
      </c>
      <c r="C10" s="33">
        <f>IF(LEFT(A10,1)="5", "5. Organizacionales", IF(LEFT(A10,1)="6", "6. Personas", IF(LEFT(A10,1)="7", "7. Físicos", "8. Tecnológicos")))</f>
        <v/>
      </c>
      <c r="D10" s="33">
        <f>IFERROR(VLOOKUP(A10, 'ANEXO A'!$A$2:$L$94, 11, FALSE), "")</f>
        <v/>
      </c>
      <c r="E10" s="38">
        <f>IFERROR(VLOOKUP(A10, 'ANEXO A'!$A$2:$L$94, 8, FALSE), "")</f>
        <v/>
      </c>
      <c r="F10" s="90">
        <f>IFERROR(VLOOKUP(A10, 'ANEXO A'!$A$2:$L$94, 9, FALSE), "")</f>
        <v/>
      </c>
      <c r="G10" s="38">
        <f>IFERROR(VLOOKUP(A10, 'ANEXO A'!$A$2:$L$94, 10, FALSE), "")</f>
        <v/>
      </c>
      <c r="H10" s="38">
        <f>IFERROR(VLOOKUP(A10, 'ANEXO A'!$A$2:$L$94, 12, FALSE), "")</f>
        <v/>
      </c>
      <c r="I10" s="91" t="inlineStr">
        <is>
          <t>6.13. Gestión de activos de información - Mantener un inventario actualizado (GSO-GSI-MP-GSI)</t>
        </is>
      </c>
    </row>
    <row r="11" ht="33.75" customHeight="1" s="106">
      <c r="A11" s="33">
        <f>'ANEXO A'!A11</f>
        <v/>
      </c>
      <c r="B11" s="112">
        <f>IFERROR(VLOOKUP(A11, 'ANEXO A'!$A$2:$L$94, 2, FALSE), "")</f>
        <v/>
      </c>
      <c r="C11" s="33">
        <f>IF(LEFT(A11,1)="5", "5. Organizacionales", IF(LEFT(A11,1)="6", "6. Personas", IF(LEFT(A11,1)="7", "7. Físicos", "8. Tecnológicos")))</f>
        <v/>
      </c>
      <c r="D11" s="33">
        <f>IFERROR(VLOOKUP(A11, 'ANEXO A'!$A$2:$L$94, 11, FALSE), "")</f>
        <v/>
      </c>
      <c r="E11" s="38">
        <f>IFERROR(VLOOKUP(A11, 'ANEXO A'!$A$2:$L$94, 8, FALSE), "")</f>
        <v/>
      </c>
      <c r="F11" s="90">
        <f>IFERROR(VLOOKUP(A11, 'ANEXO A'!$A$2:$L$94, 9, FALSE), "")</f>
        <v/>
      </c>
      <c r="G11" s="38">
        <f>IFERROR(VLOOKUP(A11, 'ANEXO A'!$A$2:$L$94, 10, FALSE), "")</f>
        <v/>
      </c>
      <c r="H11" s="38">
        <f>IFERROR(VLOOKUP(A11, 'ANEXO A'!$A$2:$L$94, 12, FALSE), "")</f>
        <v/>
      </c>
      <c r="I11" s="91" t="inlineStr">
        <is>
          <t>6.16 Revisión y monitoreo de políticas: Difundir y fiscalizar el uso legítimo de estaciones, correo y recursos corporativos (GSO-GSI-MP-GSI).</t>
        </is>
      </c>
    </row>
    <row r="12" ht="33.75" customHeight="1" s="106">
      <c r="A12" s="33">
        <f>'ANEXO A'!A12</f>
        <v/>
      </c>
      <c r="B12" s="112">
        <f>IFERROR(VLOOKUP(A12, 'ANEXO A'!$A$2:$L$94, 2, FALSE), "")</f>
        <v/>
      </c>
      <c r="C12" s="33">
        <f>IF(LEFT(A12,1)="5", "5. Organizacionales", IF(LEFT(A12,1)="6", "6. Personas", IF(LEFT(A12,1)="7", "7. Físicos", "8. Tecnológicos")))</f>
        <v/>
      </c>
      <c r="D12" s="33">
        <f>IFERROR(VLOOKUP(A12, 'ANEXO A'!$A$2:$L$94, 11, FALSE), "")</f>
        <v/>
      </c>
      <c r="E12" s="38">
        <f>IFERROR(VLOOKUP(A12, 'ANEXO A'!$A$2:$L$94, 8, FALSE), "")</f>
        <v/>
      </c>
      <c r="F12" s="90">
        <f>IFERROR(VLOOKUP(A12, 'ANEXO A'!$A$2:$L$94, 9, FALSE), "")</f>
        <v/>
      </c>
      <c r="G12" s="38">
        <f>IFERROR(VLOOKUP(A12, 'ANEXO A'!$A$2:$L$94, 10, FALSE), "")</f>
        <v/>
      </c>
      <c r="H12" s="38">
        <f>IFERROR(VLOOKUP(A12, 'ANEXO A'!$A$2:$L$94, 12, FALSE), "")</f>
        <v/>
      </c>
      <c r="I12" s="91" t="inlineStr">
        <is>
          <t>6.5 Eliminación de usuarios: Recepción formal y descargo de equipos, accesos y credenciales ante terminación o rotación laboral (GSO-GSI-MP-GSI / GSO-GSI-ME-GAI Sec. 1).</t>
        </is>
      </c>
    </row>
    <row r="13" ht="33.75" customHeight="1" s="106">
      <c r="A13" s="33">
        <f>'ANEXO A'!A13</f>
        <v/>
      </c>
      <c r="B13" s="112">
        <f>IFERROR(VLOOKUP(A13, 'ANEXO A'!$A$2:$L$94, 2, FALSE), "")</f>
        <v/>
      </c>
      <c r="C13" s="33">
        <f>IF(LEFT(A13,1)="5", "5. Organizacionales", IF(LEFT(A13,1)="6", "6. Personas", IF(LEFT(A13,1)="7", "7. Físicos", "8. Tecnológicos")))</f>
        <v/>
      </c>
      <c r="D13" s="33">
        <f>IFERROR(VLOOKUP(A13, 'ANEXO A'!$A$2:$L$94, 11, FALSE), "")</f>
        <v/>
      </c>
      <c r="E13" s="38">
        <f>IFERROR(VLOOKUP(A13, 'ANEXO A'!$A$2:$L$94, 8, FALSE), "")</f>
        <v/>
      </c>
      <c r="F13" s="90">
        <f>IFERROR(VLOOKUP(A13, 'ANEXO A'!$A$2:$L$94, 9, FALSE), "")</f>
        <v/>
      </c>
      <c r="G13" s="38">
        <f>IFERROR(VLOOKUP(A13, 'ANEXO A'!$A$2:$L$94, 10, FALSE), "")</f>
        <v/>
      </c>
      <c r="H13" s="38">
        <f>IFERROR(VLOOKUP(A13, 'ANEXO A'!$A$2:$L$94, 12, FALSE), "")</f>
        <v/>
      </c>
      <c r="I13" s="91" t="inlineStr">
        <is>
          <t>Sec. 7 y 8 Metodología GAI: Clasificación y valoración de activos en Confidencialidad, Integridad y Disponibilidad (Pública, Uso Interno, Restringida) (GSO-GSI-ME-GAI).</t>
        </is>
      </c>
    </row>
    <row r="14" ht="33.75" customHeight="1" s="106">
      <c r="A14" s="33">
        <f>'ANEXO A'!A14</f>
        <v/>
      </c>
      <c r="B14" s="112">
        <f>IFERROR(VLOOKUP(A14, 'ANEXO A'!$A$2:$L$94, 2, FALSE), "")</f>
        <v/>
      </c>
      <c r="C14" s="33">
        <f>IF(LEFT(A14,1)="5", "5. Organizacionales", IF(LEFT(A14,1)="6", "6. Personas", IF(LEFT(A14,1)="7", "7. Físicos", "8. Tecnológicos")))</f>
        <v/>
      </c>
      <c r="D14" s="33">
        <f>IFERROR(VLOOKUP(A14, 'ANEXO A'!$A$2:$L$94, 11, FALSE), "")</f>
        <v/>
      </c>
      <c r="E14" s="38">
        <f>IFERROR(VLOOKUP(A14, 'ANEXO A'!$A$2:$L$94, 8, FALSE), "")</f>
        <v/>
      </c>
      <c r="F14" s="90">
        <f>IFERROR(VLOOKUP(A14, 'ANEXO A'!$A$2:$L$94, 9, FALSE), "")</f>
        <v/>
      </c>
      <c r="G14" s="38">
        <f>IFERROR(VLOOKUP(A14, 'ANEXO A'!$A$2:$L$94, 10, FALSE), "")</f>
        <v/>
      </c>
      <c r="H14" s="38">
        <f>IFERROR(VLOOKUP(A14, 'ANEXO A'!$A$2:$L$94, 12, FALSE), "")</f>
        <v/>
      </c>
      <c r="I14" s="91" t="inlineStr">
        <is>
          <t>Sec. 5 y 7 Metodología GAI: Aplicación de lineamientos para marcado y rotulado de información física y digital según su confidencialidad (GSO-GSI-ME-GAI).</t>
        </is>
      </c>
    </row>
    <row r="15" ht="33.75" customHeight="1" s="106">
      <c r="A15" s="33">
        <f>'ANEXO A'!A15</f>
        <v/>
      </c>
      <c r="B15" s="112">
        <f>IFERROR(VLOOKUP(A15, 'ANEXO A'!$A$2:$L$94, 2, FALSE), "")</f>
        <v/>
      </c>
      <c r="C15" s="33">
        <f>IF(LEFT(A15,1)="5", "5. Organizacionales", IF(LEFT(A15,1)="6", "6. Personas", IF(LEFT(A15,1)="7", "7. Físicos", "8. Tecnológicos")))</f>
        <v/>
      </c>
      <c r="D15" s="33">
        <f>IFERROR(VLOOKUP(A15, 'ANEXO A'!$A$2:$L$94, 11, FALSE), "")</f>
        <v/>
      </c>
      <c r="E15" s="38">
        <f>IFERROR(VLOOKUP(A15, 'ANEXO A'!$A$2:$L$94, 8, FALSE), "")</f>
        <v/>
      </c>
      <c r="F15" s="90">
        <f>IFERROR(VLOOKUP(A15, 'ANEXO A'!$A$2:$L$94, 9, FALSE), "")</f>
        <v/>
      </c>
      <c r="G15" s="38">
        <f>IFERROR(VLOOKUP(A15, 'ANEXO A'!$A$2:$L$94, 10, FALSE), "")</f>
        <v/>
      </c>
      <c r="H15" s="38">
        <f>IFERROR(VLOOKUP(A15, 'ANEXO A'!$A$2:$L$94, 12, FALSE), "")</f>
        <v/>
      </c>
      <c r="I15" s="91" t="inlineStr">
        <is>
          <t>6.9 Control de acceso FTP / Acuerdos: Procedimientos seguros de transmisión de datos cifrados interna y externamente vía canales autorizados (GSO-GSI-MP-GSI).</t>
        </is>
      </c>
    </row>
    <row r="16" ht="22.5" customHeight="1" s="106">
      <c r="A16" s="33">
        <f>'ANEXO A'!A16</f>
        <v/>
      </c>
      <c r="B16" s="112">
        <f>IFERROR(VLOOKUP(A16, 'ANEXO A'!$A$2:$L$94, 2, FALSE), "")</f>
        <v/>
      </c>
      <c r="C16" s="33">
        <f>IF(LEFT(A16,1)="5", "5. Organizacionales", IF(LEFT(A16,1)="6", "6. Personas", IF(LEFT(A16,1)="7", "7. Físicos", "8. Tecnológicos")))</f>
        <v/>
      </c>
      <c r="D16" s="33">
        <f>IFERROR(VLOOKUP(A16, 'ANEXO A'!$A$2:$L$94, 11, FALSE), "")</f>
        <v/>
      </c>
      <c r="E16" s="38">
        <f>IFERROR(VLOOKUP(A16, 'ANEXO A'!$A$2:$L$94, 8, FALSE), "")</f>
        <v/>
      </c>
      <c r="F16" s="90">
        <f>IFERROR(VLOOKUP(A16, 'ANEXO A'!$A$2:$L$94, 9, FALSE), "")</f>
        <v/>
      </c>
      <c r="G16" s="38">
        <f>IFERROR(VLOOKUP(A16, 'ANEXO A'!$A$2:$L$94, 10, FALSE), "")</f>
        <v/>
      </c>
      <c r="H16" s="38">
        <f>IFERROR(VLOOKUP(A16, 'ANEXO A'!$A$2:$L$94, 12, FALSE), "")</f>
        <v/>
      </c>
      <c r="I16" s="91" t="inlineStr">
        <is>
          <t>6.2. Creación de nuevos usuarios - Asignación de usuarios y roles según GSO-GSI-MP-GSI</t>
        </is>
      </c>
    </row>
    <row r="17" ht="22.5" customHeight="1" s="106">
      <c r="A17" s="33">
        <f>'ANEXO A'!A17</f>
        <v/>
      </c>
      <c r="B17" s="112">
        <f>IFERROR(VLOOKUP(A17, 'ANEXO A'!$A$2:$L$94, 2, FALSE), "")</f>
        <v/>
      </c>
      <c r="C17" s="33">
        <f>IF(LEFT(A17,1)="5", "5. Organizacionales", IF(LEFT(A17,1)="6", "6. Personas", IF(LEFT(A17,1)="7", "7. Físicos", "8. Tecnológicos")))</f>
        <v/>
      </c>
      <c r="D17" s="33">
        <f>IFERROR(VLOOKUP(A17, 'ANEXO A'!$A$2:$L$94, 11, FALSE), "")</f>
        <v/>
      </c>
      <c r="E17" s="38">
        <f>IFERROR(VLOOKUP(A17, 'ANEXO A'!$A$2:$L$94, 8, FALSE), "")</f>
        <v/>
      </c>
      <c r="F17" s="90">
        <f>IFERROR(VLOOKUP(A17, 'ANEXO A'!$A$2:$L$94, 9, FALSE), "")</f>
        <v/>
      </c>
      <c r="G17" s="38">
        <f>IFERROR(VLOOKUP(A17, 'ANEXO A'!$A$2:$L$94, 10, FALSE), "")</f>
        <v/>
      </c>
      <c r="H17" s="38">
        <f>IFERROR(VLOOKUP(A17, 'ANEXO A'!$A$2:$L$94, 12, FALSE), "")</f>
        <v/>
      </c>
      <c r="I17" s="91" t="inlineStr">
        <is>
          <t>6.2. Creación de nuevos usuarios - Asignación de usuarios y roles según GSO-GSI-MP-GSI</t>
        </is>
      </c>
    </row>
    <row r="18" ht="33.75" customHeight="1" s="106">
      <c r="A18" s="33">
        <f>'ANEXO A'!A18</f>
        <v/>
      </c>
      <c r="B18" s="112">
        <f>IFERROR(VLOOKUP(A18, 'ANEXO A'!$A$2:$L$94, 2, FALSE), "")</f>
        <v/>
      </c>
      <c r="C18" s="33">
        <f>IF(LEFT(A18,1)="5", "5. Organizacionales", IF(LEFT(A18,1)="6", "6. Personas", IF(LEFT(A18,1)="7", "7. Físicos", "8. Tecnológicos")))</f>
        <v/>
      </c>
      <c r="D18" s="33">
        <f>IFERROR(VLOOKUP(A18, 'ANEXO A'!$A$2:$L$94, 11, FALSE), "")</f>
        <v/>
      </c>
      <c r="E18" s="38">
        <f>IFERROR(VLOOKUP(A18, 'ANEXO A'!$A$2:$L$94, 8, FALSE), "")</f>
        <v/>
      </c>
      <c r="F18" s="90">
        <f>IFERROR(VLOOKUP(A18, 'ANEXO A'!$A$2:$L$94, 9, FALSE), "")</f>
        <v/>
      </c>
      <c r="G18" s="38">
        <f>IFERROR(VLOOKUP(A18, 'ANEXO A'!$A$2:$L$94, 10, FALSE), "")</f>
        <v/>
      </c>
      <c r="H18" s="38">
        <f>IFERROR(VLOOKUP(A18, 'ANEXO A'!$A$2:$L$94, 12, FALSE), "")</f>
        <v/>
      </c>
      <c r="I18" s="91" t="inlineStr">
        <is>
          <t>6.11. Cambio de claves de cuentas críticas - Renovar periódicamente las contraseñas (GSO-GSI-MP-GSI)</t>
        </is>
      </c>
    </row>
    <row r="19" ht="45" customHeight="1" s="106">
      <c r="A19" s="33">
        <f>'ANEXO A'!A19</f>
        <v/>
      </c>
      <c r="B19" s="112">
        <f>IFERROR(VLOOKUP(A19, 'ANEXO A'!$A$2:$L$94, 2, FALSE), "")</f>
        <v/>
      </c>
      <c r="C19" s="33">
        <f>IF(LEFT(A19,1)="5", "5. Organizacionales", IF(LEFT(A19,1)="6", "6. Personas", IF(LEFT(A19,1)="7", "7. Físicos", "8. Tecnológicos")))</f>
        <v/>
      </c>
      <c r="D19" s="33">
        <f>IFERROR(VLOOKUP(A19, 'ANEXO A'!$A$2:$L$94, 11, FALSE), "")</f>
        <v/>
      </c>
      <c r="E19" s="38">
        <f>IFERROR(VLOOKUP(A19, 'ANEXO A'!$A$2:$L$94, 8, FALSE), "")</f>
        <v/>
      </c>
      <c r="F19" s="90">
        <f>IFERROR(VLOOKUP(A19, 'ANEXO A'!$A$2:$L$94, 9, FALSE), "")</f>
        <v/>
      </c>
      <c r="G19" s="38">
        <f>IFERROR(VLOOKUP(A19, 'ANEXO A'!$A$2:$L$94, 10, FALSE), "")</f>
        <v/>
      </c>
      <c r="H19" s="38">
        <f>IFERROR(VLOOKUP(A19, 'ANEXO A'!$A$2:$L$94, 12, FALSE), "")</f>
        <v/>
      </c>
      <c r="I19" s="91" t="inlineStr">
        <is>
          <t>6.10. Revisión periódica de roles y usuarios - Control y auditoría de accesos (GSO-GSI-MP-GSI)</t>
        </is>
      </c>
    </row>
    <row r="20" ht="45" customHeight="1" s="106">
      <c r="A20" s="33">
        <f>'ANEXO A'!A20</f>
        <v/>
      </c>
      <c r="B20" s="112">
        <f>IFERROR(VLOOKUP(A20, 'ANEXO A'!$A$2:$L$94, 2, FALSE), "")</f>
        <v/>
      </c>
      <c r="C20" s="33">
        <f>IF(LEFT(A20,1)="5", "5. Organizacionales", IF(LEFT(A20,1)="6", "6. Personas", IF(LEFT(A20,1)="7", "7. Físicos", "8. Tecnológicos")))</f>
        <v/>
      </c>
      <c r="D20" s="33">
        <f>IFERROR(VLOOKUP(A20, 'ANEXO A'!$A$2:$L$94, 11, FALSE), "")</f>
        <v/>
      </c>
      <c r="E20" s="38">
        <f>IFERROR(VLOOKUP(A20, 'ANEXO A'!$A$2:$L$94, 8, FALSE), "")</f>
        <v/>
      </c>
      <c r="F20" s="90">
        <f>IFERROR(VLOOKUP(A20, 'ANEXO A'!$A$2:$L$94, 9, FALSE), "")</f>
        <v/>
      </c>
      <c r="G20" s="38">
        <f>IFERROR(VLOOKUP(A20, 'ANEXO A'!$A$2:$L$94, 10, FALSE), "")</f>
        <v/>
      </c>
      <c r="H20" s="38">
        <f>IFERROR(VLOOKUP(A20, 'ANEXO A'!$A$2:$L$94, 12, FALSE), "")</f>
        <v/>
      </c>
      <c r="I20" s="91" t="inlineStr">
        <is>
          <t>6.19 Escaneo / Disp. General 2da SEPS 002: Evaluación periódica de riesgos de seguridad y solicitud de auditorías a prestadores de servicios (SEPS-2022-002 / GSO-GSI-MP-GSI).</t>
        </is>
      </c>
    </row>
    <row r="21" ht="33.75" customHeight="1" s="106">
      <c r="A21" s="33">
        <f>'ANEXO A'!A21</f>
        <v/>
      </c>
      <c r="B21" s="112">
        <f>IFERROR(VLOOKUP(A21, 'ANEXO A'!$A$2:$L$94, 2, FALSE), "")</f>
        <v/>
      </c>
      <c r="C21" s="33">
        <f>IF(LEFT(A21,1)="5", "5. Organizacionales", IF(LEFT(A21,1)="6", "6. Personas", IF(LEFT(A21,1)="7", "7. Físicos", "8. Tecnológicos")))</f>
        <v/>
      </c>
      <c r="D21" s="33">
        <f>IFERROR(VLOOKUP(A21, 'ANEXO A'!$A$2:$L$94, 11, FALSE), "")</f>
        <v/>
      </c>
      <c r="E21" s="38">
        <f>IFERROR(VLOOKUP(A21, 'ANEXO A'!$A$2:$L$94, 8, FALSE), "")</f>
        <v/>
      </c>
      <c r="F21" s="90">
        <f>IFERROR(VLOOKUP(A21, 'ANEXO A'!$A$2:$L$94, 9, FALSE), "")</f>
        <v/>
      </c>
      <c r="G21" s="38">
        <f>IFERROR(VLOOKUP(A21, 'ANEXO A'!$A$2:$L$94, 10, FALSE), "")</f>
        <v/>
      </c>
      <c r="H21" s="38">
        <f>IFERROR(VLOOKUP(A21, 'ANEXO A'!$A$2:$L$94, 12, FALSE), "")</f>
        <v/>
      </c>
      <c r="I21" s="91" t="inlineStr">
        <is>
          <t>Disp. General 3era SEPS 002: Incorporación obligatoria de cláusulas de seguridad de la información, protección de datos y confidencialidad en contratos (SEPS-2022-002).</t>
        </is>
      </c>
    </row>
    <row r="22" ht="33.75" customHeight="1" s="106">
      <c r="A22" s="33">
        <f>'ANEXO A'!A22</f>
        <v/>
      </c>
      <c r="B22" s="112">
        <f>IFERROR(VLOOKUP(A22, 'ANEXO A'!$A$2:$L$94, 2, FALSE), "")</f>
        <v/>
      </c>
      <c r="C22" s="33">
        <f>IF(LEFT(A22,1)="5", "5. Organizacionales", IF(LEFT(A22,1)="6", "6. Personas", IF(LEFT(A22,1)="7", "7. Físicos", "8. Tecnológicos")))</f>
        <v/>
      </c>
      <c r="D22" s="33">
        <f>IFERROR(VLOOKUP(A22, 'ANEXO A'!$A$2:$L$94, 11, FALSE), "")</f>
        <v/>
      </c>
      <c r="E22" s="38">
        <f>IFERROR(VLOOKUP(A22, 'ANEXO A'!$A$2:$L$94, 8, FALSE), "")</f>
        <v/>
      </c>
      <c r="F22" s="90">
        <f>IFERROR(VLOOKUP(A22, 'ANEXO A'!$A$2:$L$94, 9, FALSE), "")</f>
        <v/>
      </c>
      <c r="G22" s="38">
        <f>IFERROR(VLOOKUP(A22, 'ANEXO A'!$A$2:$L$94, 10, FALSE), "")</f>
        <v/>
      </c>
      <c r="H22" s="38">
        <f>IFERROR(VLOOKUP(A22, 'ANEXO A'!$A$2:$L$94, 12, FALSE), "")</f>
        <v/>
      </c>
      <c r="I22" s="91" t="inlineStr">
        <is>
          <t>Anexo 1 SEPS 002: Evaluación de procedencia, confiabilidad y riesgos en la adquisición de hardware, software y suministros de TIC (SEPS-2022-002).</t>
        </is>
      </c>
    </row>
    <row r="23" ht="33.75" customHeight="1" s="106">
      <c r="A23" s="33">
        <f>'ANEXO A'!A23</f>
        <v/>
      </c>
      <c r="B23" s="112">
        <f>IFERROR(VLOOKUP(A23, 'ANEXO A'!$A$2:$L$94, 2, FALSE), "")</f>
        <v/>
      </c>
      <c r="C23" s="33">
        <f>IF(LEFT(A23,1)="5", "5. Organizacionales", IF(LEFT(A23,1)="6", "6. Personas", IF(LEFT(A23,1)="7", "7. Físicos", "8. Tecnológicos")))</f>
        <v/>
      </c>
      <c r="D23" s="33">
        <f>IFERROR(VLOOKUP(A23, 'ANEXO A'!$A$2:$L$94, 11, FALSE), "")</f>
        <v/>
      </c>
      <c r="E23" s="38">
        <f>IFERROR(VLOOKUP(A23, 'ANEXO A'!$A$2:$L$94, 8, FALSE), "")</f>
        <v/>
      </c>
      <c r="F23" s="90">
        <f>IFERROR(VLOOKUP(A23, 'ANEXO A'!$A$2:$L$94, 9, FALSE), "")</f>
        <v/>
      </c>
      <c r="G23" s="38">
        <f>IFERROR(VLOOKUP(A23, 'ANEXO A'!$A$2:$L$94, 10, FALSE), "")</f>
        <v/>
      </c>
      <c r="H23" s="38">
        <f>IFERROR(VLOOKUP(A23, 'ANEXO A'!$A$2:$L$94, 12, FALSE), "")</f>
        <v/>
      </c>
      <c r="I23" s="91" t="inlineStr">
        <is>
          <t>Anexo 1 SEPS 002 / Disp. General 2da: Supervisión continua de ANS (SLA) y auditoría a cambios técnicos en plataformas provistas por terceros (SEPS-2022-002).</t>
        </is>
      </c>
    </row>
    <row r="24" ht="33.75" customHeight="1" s="106">
      <c r="A24" s="33">
        <f>'ANEXO A'!A24</f>
        <v/>
      </c>
      <c r="B24" s="112">
        <f>IFERROR(VLOOKUP(A24, 'ANEXO A'!$A$2:$L$94, 2, FALSE), "")</f>
        <v/>
      </c>
      <c r="C24" s="33">
        <f>IF(LEFT(A24,1)="5", "5. Organizacionales", IF(LEFT(A24,1)="6", "6. Personas", IF(LEFT(A24,1)="7", "7. Físicos", "8. Tecnológicos")))</f>
        <v/>
      </c>
      <c r="D24" s="33">
        <f>IFERROR(VLOOKUP(A24, 'ANEXO A'!$A$2:$L$94, 11, FALSE), "")</f>
        <v/>
      </c>
      <c r="E24" s="38">
        <f>IFERROR(VLOOKUP(A24, 'ANEXO A'!$A$2:$L$94, 8, FALSE), "")</f>
        <v/>
      </c>
      <c r="F24" s="90">
        <f>IFERROR(VLOOKUP(A24, 'ANEXO A'!$A$2:$L$94, 9, FALSE), "")</f>
        <v/>
      </c>
      <c r="G24" s="38">
        <f>IFERROR(VLOOKUP(A24, 'ANEXO A'!$A$2:$L$94, 10, FALSE), "")</f>
        <v/>
      </c>
      <c r="H24" s="38">
        <f>IFERROR(VLOOKUP(A24, 'ANEXO A'!$A$2:$L$94, 12, FALSE), "")</f>
        <v/>
      </c>
      <c r="I24" s="91" t="inlineStr">
        <is>
          <t>6.2 Azure / 6.12 MyHSM: Gestión de configuraciones, segregación y control de llaves y servicios en esquemas SaaS/PaaS (GSO-GSI-MP-GSI).</t>
        </is>
      </c>
    </row>
    <row r="25" ht="22.5" customHeight="1" s="106">
      <c r="A25" s="33">
        <f>'ANEXO A'!A25</f>
        <v/>
      </c>
      <c r="B25" s="112">
        <f>IFERROR(VLOOKUP(A25, 'ANEXO A'!$A$2:$L$94, 2, FALSE), "")</f>
        <v/>
      </c>
      <c r="C25" s="33">
        <f>IF(LEFT(A25,1)="5", "5. Organizacionales", IF(LEFT(A25,1)="6", "6. Personas", IF(LEFT(A25,1)="7", "7. Físicos", "8. Tecnológicos")))</f>
        <v/>
      </c>
      <c r="D25" s="33">
        <f>IFERROR(VLOOKUP(A25, 'ANEXO A'!$A$2:$L$94, 11, FALSE), "")</f>
        <v/>
      </c>
      <c r="E25" s="38">
        <f>IFERROR(VLOOKUP(A25, 'ANEXO A'!$A$2:$L$94, 8, FALSE), "")</f>
        <v/>
      </c>
      <c r="F25" s="90">
        <f>IFERROR(VLOOKUP(A25, 'ANEXO A'!$A$2:$L$94, 9, FALSE), "")</f>
        <v/>
      </c>
      <c r="G25" s="38">
        <f>IFERROR(VLOOKUP(A25, 'ANEXO A'!$A$2:$L$94, 10, FALSE), "")</f>
        <v/>
      </c>
      <c r="H25" s="38">
        <f>IFERROR(VLOOKUP(A25, 'ANEXO A'!$A$2:$L$94, 12, FALSE), "")</f>
        <v/>
      </c>
      <c r="I25" s="91" t="inlineStr">
        <is>
          <t>6.15. Gestión de incidentes de seguridad de la información - Planificación de respuesta (GSO-GSI-MP-GSI)</t>
        </is>
      </c>
    </row>
    <row r="26" ht="33.75" customHeight="1" s="106">
      <c r="A26" s="33">
        <f>'ANEXO A'!A26</f>
        <v/>
      </c>
      <c r="B26" s="112">
        <f>IFERROR(VLOOKUP(A26, 'ANEXO A'!$A$2:$L$94, 2, FALSE), "")</f>
        <v/>
      </c>
      <c r="C26" s="33">
        <f>IF(LEFT(A26,1)="5", "5. Organizacionales", IF(LEFT(A26,1)="6", "6. Personas", IF(LEFT(A26,1)="7", "7. Físicos", "8. Tecnológicos")))</f>
        <v/>
      </c>
      <c r="D26" s="33">
        <f>IFERROR(VLOOKUP(A26, 'ANEXO A'!$A$2:$L$94, 11, FALSE), "")</f>
        <v/>
      </c>
      <c r="E26" s="38">
        <f>IFERROR(VLOOKUP(A26, 'ANEXO A'!$A$2:$L$94, 8, FALSE), "")</f>
        <v/>
      </c>
      <c r="F26" s="90">
        <f>IFERROR(VLOOKUP(A26, 'ANEXO A'!$A$2:$L$94, 9, FALSE), "")</f>
        <v/>
      </c>
      <c r="G26" s="38">
        <f>IFERROR(VLOOKUP(A26, 'ANEXO A'!$A$2:$L$94, 10, FALSE), "")</f>
        <v/>
      </c>
      <c r="H26" s="38">
        <f>IFERROR(VLOOKUP(A26, 'ANEXO A'!$A$2:$L$94, 12, FALSE), "")</f>
        <v/>
      </c>
      <c r="I26" s="91" t="inlineStr">
        <is>
          <t>6.15 Gestión de incidentes (Act. 2 y 3): Análisis, categorización, clasificación y registro de eventos y riesgos en el sistema RDS (GSO-GSI-MP-GSI).</t>
        </is>
      </c>
    </row>
    <row r="27" ht="33.75" customHeight="1" s="106">
      <c r="A27" s="33">
        <f>'ANEXO A'!A27</f>
        <v/>
      </c>
      <c r="B27" s="112">
        <f>IFERROR(VLOOKUP(A27, 'ANEXO A'!$A$2:$L$94, 2, FALSE), "")</f>
        <v/>
      </c>
      <c r="C27" s="33">
        <f>IF(LEFT(A27,1)="5", "5. Organizacionales", IF(LEFT(A27,1)="6", "6. Personas", IF(LEFT(A27,1)="7", "7. Físicos", "8. Tecnológicos")))</f>
        <v/>
      </c>
      <c r="D27" s="33">
        <f>IFERROR(VLOOKUP(A27, 'ANEXO A'!$A$2:$L$94, 11, FALSE), "")</f>
        <v/>
      </c>
      <c r="E27" s="38">
        <f>IFERROR(VLOOKUP(A27, 'ANEXO A'!$A$2:$L$94, 8, FALSE), "")</f>
        <v/>
      </c>
      <c r="F27" s="90">
        <f>IFERROR(VLOOKUP(A27, 'ANEXO A'!$A$2:$L$94, 9, FALSE), "")</f>
        <v/>
      </c>
      <c r="G27" s="38">
        <f>IFERROR(VLOOKUP(A27, 'ANEXO A'!$A$2:$L$94, 10, FALSE), "")</f>
        <v/>
      </c>
      <c r="H27" s="38">
        <f>IFERROR(VLOOKUP(A27, 'ANEXO A'!$A$2:$L$94, 12, FALSE), "")</f>
        <v/>
      </c>
      <c r="I27" s="91" t="inlineStr">
        <is>
          <t>6.15 Gestión de incidentes (Act. 3, 4 y 5): Ejecución de acciones de contención, mitigación y escalamiento a Gerencia y Comité de Seguridad (GSO-GSI-MP-GSI).</t>
        </is>
      </c>
    </row>
    <row r="28" ht="33.75" customHeight="1" s="106">
      <c r="A28" s="33">
        <f>'ANEXO A'!A28</f>
        <v/>
      </c>
      <c r="B28" s="112">
        <f>IFERROR(VLOOKUP(A28, 'ANEXO A'!$A$2:$L$94, 2, FALSE), "")</f>
        <v/>
      </c>
      <c r="C28" s="33">
        <f>IF(LEFT(A28,1)="5", "5. Organizacionales", IF(LEFT(A28,1)="6", "6. Personas", IF(LEFT(A28,1)="7", "7. Físicos", "8. Tecnológicos")))</f>
        <v/>
      </c>
      <c r="D28" s="33">
        <f>IFERROR(VLOOKUP(A28, 'ANEXO A'!$A$2:$L$94, 11, FALSE), "")</f>
        <v/>
      </c>
      <c r="E28" s="38">
        <f>IFERROR(VLOOKUP(A28, 'ANEXO A'!$A$2:$L$94, 8, FALSE), "")</f>
        <v/>
      </c>
      <c r="F28" s="90">
        <f>IFERROR(VLOOKUP(A28, 'ANEXO A'!$A$2:$L$94, 9, FALSE), "")</f>
        <v/>
      </c>
      <c r="G28" s="38">
        <f>IFERROR(VLOOKUP(A28, 'ANEXO A'!$A$2:$L$94, 10, FALSE), "")</f>
        <v/>
      </c>
      <c r="H28" s="38">
        <f>IFERROR(VLOOKUP(A28, 'ANEXO A'!$A$2:$L$94, 12, FALSE), "")</f>
        <v/>
      </c>
      <c r="I28" s="91" t="inlineStr">
        <is>
          <t>6.15 Gestión de incidentes (Act. 7 y 8): Análisis de causa raíz, actualización de controles y enriquecimiento del Plan Anual de SI (GSO-GSI-MP-GSI).</t>
        </is>
      </c>
    </row>
    <row r="29" ht="33.75" customHeight="1" s="106">
      <c r="A29" s="33">
        <f>'ANEXO A'!A29</f>
        <v/>
      </c>
      <c r="B29" s="112">
        <f>IFERROR(VLOOKUP(A29, 'ANEXO A'!$A$2:$L$94, 2, FALSE), "")</f>
        <v/>
      </c>
      <c r="C29" s="33">
        <f>IF(LEFT(A29,1)="5", "5. Organizacionales", IF(LEFT(A29,1)="6", "6. Personas", IF(LEFT(A29,1)="7", "7. Físicos", "8. Tecnológicos")))</f>
        <v/>
      </c>
      <c r="D29" s="33">
        <f>IFERROR(VLOOKUP(A29, 'ANEXO A'!$A$2:$L$94, 11, FALSE), "")</f>
        <v/>
      </c>
      <c r="E29" s="38">
        <f>IFERROR(VLOOKUP(A29, 'ANEXO A'!$A$2:$L$94, 8, FALSE), "")</f>
        <v/>
      </c>
      <c r="F29" s="90">
        <f>IFERROR(VLOOKUP(A29, 'ANEXO A'!$A$2:$L$94, 9, FALSE), "")</f>
        <v/>
      </c>
      <c r="G29" s="38">
        <f>IFERROR(VLOOKUP(A29, 'ANEXO A'!$A$2:$L$94, 10, FALSE), "")</f>
        <v/>
      </c>
      <c r="H29" s="38">
        <f>IFERROR(VLOOKUP(A29, 'ANEXO A'!$A$2:$L$94, 12, FALSE), "")</f>
        <v/>
      </c>
      <c r="I29" s="91" t="inlineStr">
        <is>
          <t>6.14 Auditoría BD / 6.15 Incidentes: Preservación de logs, pistas de auditoría y cadena de custodia técnica (GSO-GSI-MP-GSI / ISO 27002).</t>
        </is>
      </c>
    </row>
    <row r="30" ht="45" customHeight="1" s="106">
      <c r="A30" s="33">
        <f>'ANEXO A'!A30</f>
        <v/>
      </c>
      <c r="B30" s="112">
        <f>IFERROR(VLOOKUP(A30, 'ANEXO A'!$A$2:$L$94, 2, FALSE), "")</f>
        <v/>
      </c>
      <c r="C30" s="33">
        <f>IF(LEFT(A30,1)="5", "5. Organizacionales", IF(LEFT(A30,1)="6", "6. Personas", IF(LEFT(A30,1)="7", "7. Físicos", "8. Tecnológicos")))</f>
        <v/>
      </c>
      <c r="D30" s="33">
        <f>IFERROR(VLOOKUP(A30, 'ANEXO A'!$A$2:$L$94, 11, FALSE), "")</f>
        <v/>
      </c>
      <c r="E30" s="38">
        <f>IFERROR(VLOOKUP(A30, 'ANEXO A'!$A$2:$L$94, 8, FALSE), "")</f>
        <v/>
      </c>
      <c r="F30" s="90">
        <f>IFERROR(VLOOKUP(A30, 'ANEXO A'!$A$2:$L$94, 9, FALSE), "")</f>
        <v/>
      </c>
      <c r="G30" s="38">
        <f>IFERROR(VLOOKUP(A30, 'ANEXO A'!$A$2:$L$94, 10, FALSE), "")</f>
        <v/>
      </c>
      <c r="H30" s="38">
        <f>IFERROR(VLOOKUP(A30, 'ANEXO A'!$A$2:$L$94, 12, FALSE), "")</f>
        <v/>
      </c>
      <c r="I30" s="91" t="inlineStr">
        <is>
          <t>Anexo 1 SEPS / DRP: Mantenimiento de las salvaguardas de confidencialidad e integridad durante la activación de contingencias (SEPS-2022-002 / ISO 27001).</t>
        </is>
      </c>
    </row>
    <row r="31" ht="33.75" customHeight="1" s="106">
      <c r="A31" s="33">
        <f>'ANEXO A'!A31</f>
        <v/>
      </c>
      <c r="B31" s="112">
        <f>IFERROR(VLOOKUP(A31, 'ANEXO A'!$A$2:$L$94, 2, FALSE), "")</f>
        <v/>
      </c>
      <c r="C31" s="33">
        <f>IF(LEFT(A31,1)="5", "5. Organizacionales", IF(LEFT(A31,1)="6", "6. Personas", IF(LEFT(A31,1)="7", "7. Físicos", "8. Tecnológicos")))</f>
        <v/>
      </c>
      <c r="D31" s="33">
        <f>IFERROR(VLOOKUP(A31, 'ANEXO A'!$A$2:$L$94, 11, FALSE), "")</f>
        <v/>
      </c>
      <c r="E31" s="38">
        <f>IFERROR(VLOOKUP(A31, 'ANEXO A'!$A$2:$L$94, 8, FALSE), "")</f>
        <v/>
      </c>
      <c r="F31" s="90">
        <f>IFERROR(VLOOKUP(A31, 'ANEXO A'!$A$2:$L$94, 9, FALSE), "")</f>
        <v/>
      </c>
      <c r="G31" s="38">
        <f>IFERROR(VLOOKUP(A31, 'ANEXO A'!$A$2:$L$94, 10, FALSE), "")</f>
        <v/>
      </c>
      <c r="H31" s="38">
        <f>IFERROR(VLOOKUP(A31, 'ANEXO A'!$A$2:$L$94, 12, FALSE), "")</f>
        <v/>
      </c>
      <c r="I31" s="91" t="inlineStr">
        <is>
          <t>Anexo 1 SEPS (Planes de Contingencia): Definición y pruebas periódicas de RTO/RPO y continuidad en infraestructura tecnológica (SEPS-2022-002).</t>
        </is>
      </c>
    </row>
    <row r="32" ht="33.75" customHeight="1" s="106">
      <c r="A32" s="33">
        <f>'ANEXO A'!A32</f>
        <v/>
      </c>
      <c r="B32" s="112">
        <f>IFERROR(VLOOKUP(A32, 'ANEXO A'!$A$2:$L$94, 2, FALSE), "")</f>
        <v/>
      </c>
      <c r="C32" s="33">
        <f>IF(LEFT(A32,1)="5", "5. Organizacionales", IF(LEFT(A32,1)="6", "6. Personas", IF(LEFT(A32,1)="7", "7. Físicos", "8. Tecnológicos")))</f>
        <v/>
      </c>
      <c r="D32" s="33">
        <f>IFERROR(VLOOKUP(A32, 'ANEXO A'!$A$2:$L$94, 11, FALSE), "")</f>
        <v/>
      </c>
      <c r="E32" s="38">
        <f>IFERROR(VLOOKUP(A32, 'ANEXO A'!$A$2:$L$94, 8, FALSE), "")</f>
        <v/>
      </c>
      <c r="F32" s="90">
        <f>IFERROR(VLOOKUP(A32, 'ANEXO A'!$A$2:$L$94, 9, FALSE), "")</f>
        <v/>
      </c>
      <c r="G32" s="38">
        <f>IFERROR(VLOOKUP(A32, 'ANEXO A'!$A$2:$L$94, 10, FALSE), "")</f>
        <v/>
      </c>
      <c r="H32" s="38">
        <f>IFERROR(VLOOKUP(A32, 'ANEXO A'!$A$2:$L$94, 12, FALSE), "")</f>
        <v/>
      </c>
      <c r="I32" s="91" t="inlineStr">
        <is>
          <t>Sec. 3 Marco Normativo SEPS 002: Mapeo y cumplimiento sistemático del marco legal (SEPS, LOPDP, ISO 27001) (GSO-GSI-MP-GSI / SEPS-2022-002).</t>
        </is>
      </c>
    </row>
    <row r="33" ht="33.75" customHeight="1" s="106">
      <c r="A33" s="33">
        <f>'ANEXO A'!A33</f>
        <v/>
      </c>
      <c r="B33" s="112">
        <f>IFERROR(VLOOKUP(A33, 'ANEXO A'!$A$2:$L$94, 2, FALSE), "")</f>
        <v/>
      </c>
      <c r="C33" s="33">
        <f>IF(LEFT(A33,1)="5", "5. Organizacionales", IF(LEFT(A33,1)="6", "6. Personas", IF(LEFT(A33,1)="7", "7. Físicos", "8. Tecnológicos")))</f>
        <v/>
      </c>
      <c r="D33" s="33">
        <f>IFERROR(VLOOKUP(A33, 'ANEXO A'!$A$2:$L$94, 11, FALSE), "")</f>
        <v/>
      </c>
      <c r="E33" s="38">
        <f>IFERROR(VLOOKUP(A33, 'ANEXO A'!$A$2:$L$94, 8, FALSE), "")</f>
        <v/>
      </c>
      <c r="F33" s="90">
        <f>IFERROR(VLOOKUP(A33, 'ANEXO A'!$A$2:$L$94, 9, FALSE), "")</f>
        <v/>
      </c>
      <c r="G33" s="38">
        <f>IFERROR(VLOOKUP(A33, 'ANEXO A'!$A$2:$L$94, 10, FALSE), "")</f>
        <v/>
      </c>
      <c r="H33" s="38">
        <f>IFERROR(VLOOKUP(A33, 'ANEXO A'!$A$2:$L$94, 12, FALSE), "")</f>
        <v/>
      </c>
      <c r="I33" s="91" t="inlineStr">
        <is>
          <t>6.13 Gestión de activos / Anexo 1 SEPS: Control y verificación de licenciamiento de software y restricción de uso no autorizado (GSO-GSI-ME-GAI / SEPS-2022-002).</t>
        </is>
      </c>
    </row>
    <row r="34" ht="33.75" customHeight="1" s="106">
      <c r="A34" s="33">
        <f>'ANEXO A'!A34</f>
        <v/>
      </c>
      <c r="B34" s="112">
        <f>IFERROR(VLOOKUP(A34, 'ANEXO A'!$A$2:$L$94, 2, FALSE), "")</f>
        <v/>
      </c>
      <c r="C34" s="33">
        <f>IF(LEFT(A34,1)="5", "5. Organizacionales", IF(LEFT(A34,1)="6", "6. Personas", IF(LEFT(A34,1)="7", "7. Físicos", "8. Tecnológicos")))</f>
        <v/>
      </c>
      <c r="D34" s="33">
        <f>IFERROR(VLOOKUP(A34, 'ANEXO A'!$A$2:$L$94, 11, FALSE), "")</f>
        <v/>
      </c>
      <c r="E34" s="38">
        <f>IFERROR(VLOOKUP(A34, 'ANEXO A'!$A$2:$L$94, 8, FALSE), "")</f>
        <v/>
      </c>
      <c r="F34" s="90">
        <f>IFERROR(VLOOKUP(A34, 'ANEXO A'!$A$2:$L$94, 9, FALSE), "")</f>
        <v/>
      </c>
      <c r="G34" s="38">
        <f>IFERROR(VLOOKUP(A34, 'ANEXO A'!$A$2:$L$94, 10, FALSE), "")</f>
        <v/>
      </c>
      <c r="H34" s="38">
        <f>IFERROR(VLOOKUP(A34, 'ANEXO A'!$A$2:$L$94, 12, FALSE), "")</f>
        <v/>
      </c>
      <c r="I34" s="91" t="inlineStr">
        <is>
          <t>6.1 Políticas / 6.14 Auditoría BD: Custodia, retención y protección física y lógica de bitácoras, actas y registros digitales (GSO-GSI-MP-GSI).</t>
        </is>
      </c>
    </row>
    <row r="35" ht="33.75" customHeight="1" s="106">
      <c r="A35" s="33">
        <f>'ANEXO A'!A35</f>
        <v/>
      </c>
      <c r="B35" s="112">
        <f>IFERROR(VLOOKUP(A35, 'ANEXO A'!$A$2:$L$94, 2, FALSE), "")</f>
        <v/>
      </c>
      <c r="C35" s="33">
        <f>IF(LEFT(A35,1)="5", "5. Organizacionales", IF(LEFT(A35,1)="6", "6. Personas", IF(LEFT(A35,1)="7", "7. Físicos", "8. Tecnológicos")))</f>
        <v/>
      </c>
      <c r="D35" s="33">
        <f>IFERROR(VLOOKUP(A35, 'ANEXO A'!$A$2:$L$94, 11, FALSE), "")</f>
        <v/>
      </c>
      <c r="E35" s="38">
        <f>IFERROR(VLOOKUP(A35, 'ANEXO A'!$A$2:$L$94, 8, FALSE), "")</f>
        <v/>
      </c>
      <c r="F35" s="90">
        <f>IFERROR(VLOOKUP(A35, 'ANEXO A'!$A$2:$L$94, 9, FALSE), "")</f>
        <v/>
      </c>
      <c r="G35" s="38">
        <f>IFERROR(VLOOKUP(A35, 'ANEXO A'!$A$2:$L$94, 10, FALSE), "")</f>
        <v/>
      </c>
      <c r="H35" s="38">
        <f>IFERROR(VLOOKUP(A35, 'ANEXO A'!$A$2:$L$94, 12, FALSE), "")</f>
        <v/>
      </c>
      <c r="I35" s="91" t="inlineStr">
        <is>
          <t>6.17 Escaneo PCI DSS / LOPDP: Tratamiento lícito, enmascaramiento y resguardo de datos personales y tarjetahabientes (GSO-GSI-MP-GSI / SEPS-2022-002).</t>
        </is>
      </c>
    </row>
    <row r="36" ht="33.75" customHeight="1" s="106">
      <c r="A36" s="33">
        <f>'ANEXO A'!A36</f>
        <v/>
      </c>
      <c r="B36" s="112">
        <f>IFERROR(VLOOKUP(A36, 'ANEXO A'!$A$2:$L$94, 2, FALSE), "")</f>
        <v/>
      </c>
      <c r="C36" s="33">
        <f>IF(LEFT(A36,1)="5", "5. Organizacionales", IF(LEFT(A36,1)="6", "6. Personas", IF(LEFT(A36,1)="7", "7. Físicos", "8. Tecnológicos")))</f>
        <v/>
      </c>
      <c r="D36" s="33">
        <f>IFERROR(VLOOKUP(A36, 'ANEXO A'!$A$2:$L$94, 11, FALSE), "")</f>
        <v/>
      </c>
      <c r="E36" s="38">
        <f>IFERROR(VLOOKUP(A36, 'ANEXO A'!$A$2:$L$94, 8, FALSE), "")</f>
        <v/>
      </c>
      <c r="F36" s="90">
        <f>IFERROR(VLOOKUP(A36, 'ANEXO A'!$A$2:$L$94, 9, FALSE), "")</f>
        <v/>
      </c>
      <c r="G36" s="38">
        <f>IFERROR(VLOOKUP(A36, 'ANEXO A'!$A$2:$L$94, 10, FALSE), "")</f>
        <v/>
      </c>
      <c r="H36" s="38">
        <f>IFERROR(VLOOKUP(A36, 'ANEXO A'!$A$2:$L$94, 12, FALSE), "")</f>
        <v/>
      </c>
      <c r="I36" s="91" t="inlineStr">
        <is>
          <t>6.2 Controles / Sec. 12 SEPS 002: Auditorías informáticas internas y externas anuales al SGSI (GSO-GSI-MP-GSI / SEPS-2022-002).</t>
        </is>
      </c>
    </row>
    <row r="37" ht="33.75" customHeight="1" s="106">
      <c r="A37" s="33">
        <f>'ANEXO A'!A37</f>
        <v/>
      </c>
      <c r="B37" s="112">
        <f>IFERROR(VLOOKUP(A37, 'ANEXO A'!$A$2:$L$94, 2, FALSE), "")</f>
        <v/>
      </c>
      <c r="C37" s="33">
        <f>IF(LEFT(A37,1)="5", "5. Organizacionales", IF(LEFT(A37,1)="6", "6. Personas", IF(LEFT(A37,1)="7", "7. Físicos", "8. Tecnológicos")))</f>
        <v/>
      </c>
      <c r="D37" s="33">
        <f>IFERROR(VLOOKUP(A37, 'ANEXO A'!$A$2:$L$94, 11, FALSE), "")</f>
        <v/>
      </c>
      <c r="E37" s="38">
        <f>IFERROR(VLOOKUP(A37, 'ANEXO A'!$A$2:$L$94, 8, FALSE), "")</f>
        <v/>
      </c>
      <c r="F37" s="90">
        <f>IFERROR(VLOOKUP(A37, 'ANEXO A'!$A$2:$L$94, 9, FALSE), "")</f>
        <v/>
      </c>
      <c r="G37" s="38">
        <f>IFERROR(VLOOKUP(A37, 'ANEXO A'!$A$2:$L$94, 10, FALSE), "")</f>
        <v/>
      </c>
      <c r="H37" s="38">
        <f>IFERROR(VLOOKUP(A37, 'ANEXO A'!$A$2:$L$94, 12, FALSE), "")</f>
        <v/>
      </c>
      <c r="I37" s="91" t="inlineStr">
        <is>
          <t>6.16 Revisión y monitoreo: Ejecución de checklist semestral y elaboración de informe de cumplimiento de políticas (GSO-GSI-MP-GSI).</t>
        </is>
      </c>
    </row>
    <row r="38" ht="33.75" customHeight="1" s="106">
      <c r="A38" s="33">
        <f>'ANEXO A'!A38</f>
        <v/>
      </c>
      <c r="B38" s="112">
        <f>IFERROR(VLOOKUP(A38, 'ANEXO A'!$A$2:$L$94, 2, FALSE), "")</f>
        <v/>
      </c>
      <c r="C38" s="33">
        <f>IF(LEFT(A38,1)="5", "5. Organizacionales", IF(LEFT(A38,1)="6", "6. Personas", IF(LEFT(A38,1)="7", "7. Físicos", "8. Tecnológicos")))</f>
        <v/>
      </c>
      <c r="D38" s="33">
        <f>IFERROR(VLOOKUP(A38, 'ANEXO A'!$A$2:$L$94, 11, FALSE), "")</f>
        <v/>
      </c>
      <c r="E38" s="38">
        <f>IFERROR(VLOOKUP(A38, 'ANEXO A'!$A$2:$L$94, 8, FALSE), "")</f>
        <v/>
      </c>
      <c r="F38" s="90">
        <f>IFERROR(VLOOKUP(A38, 'ANEXO A'!$A$2:$L$94, 9, FALSE), "")</f>
        <v/>
      </c>
      <c r="G38" s="38">
        <f>IFERROR(VLOOKUP(A38, 'ANEXO A'!$A$2:$L$94, 10, FALSE), "")</f>
        <v/>
      </c>
      <c r="H38" s="38">
        <f>IFERROR(VLOOKUP(A38, 'ANEXO A'!$A$2:$L$94, 12, FALSE), "")</f>
        <v/>
      </c>
      <c r="I38" s="91" t="inlineStr">
        <is>
          <t>Sec. 6 Procedimientos Operativos GSI: Elaboración, actualización y formalización de manuales e instructivos de seguridad (GSO-GSI-MP-GSI).</t>
        </is>
      </c>
    </row>
    <row r="39" ht="33.75" customHeight="1" s="106">
      <c r="A39" s="33">
        <f>'ANEXO A'!A39</f>
        <v/>
      </c>
      <c r="B39" s="112">
        <f>IFERROR(VLOOKUP(A39, 'ANEXO A'!$A$2:$L$94, 2, FALSE), "")</f>
        <v/>
      </c>
      <c r="C39" s="33">
        <f>IF(LEFT(A39,1)="5", "5. Organizacionales", IF(LEFT(A39,1)="6", "6. Personas", IF(LEFT(A39,1)="7", "7. Físicos", "8. Tecnológicos")))</f>
        <v/>
      </c>
      <c r="D39" s="33">
        <f>IFERROR(VLOOKUP(A39, 'ANEXO A'!$A$2:$L$94, 11, FALSE), "")</f>
        <v/>
      </c>
      <c r="E39" s="38">
        <f>IFERROR(VLOOKUP(A39, 'ANEXO A'!$A$2:$L$94, 8, FALSE), "")</f>
        <v/>
      </c>
      <c r="F39" s="90">
        <f>IFERROR(VLOOKUP(A39, 'ANEXO A'!$A$2:$L$94, 9, FALSE), "")</f>
        <v/>
      </c>
      <c r="G39" s="38">
        <f>IFERROR(VLOOKUP(A39, 'ANEXO A'!$A$2:$L$94, 10, FALSE), "")</f>
        <v/>
      </c>
      <c r="H39" s="38">
        <f>IFERROR(VLOOKUP(A39, 'ANEXO A'!$A$2:$L$94, 12, FALSE), "")</f>
        <v/>
      </c>
      <c r="I39" s="91" t="inlineStr">
        <is>
          <t>6.2 Creación de nuevos usuarios (GTH): Validación previa de antecedentes laborales, penales y académicos por Talento Humano (GSO-GSI-MP-GSI / GTH-IDP).</t>
        </is>
      </c>
    </row>
    <row r="40" ht="33.75" customHeight="1" s="106">
      <c r="A40" s="33">
        <f>'ANEXO A'!A40</f>
        <v/>
      </c>
      <c r="B40" s="112">
        <f>IFERROR(VLOOKUP(A40, 'ANEXO A'!$A$2:$L$94, 2, FALSE), "")</f>
        <v/>
      </c>
      <c r="C40" s="33">
        <f>IF(LEFT(A40,1)="5", "5. Organizacionales", IF(LEFT(A40,1)="6", "6. Personas", IF(LEFT(A40,1)="7", "7. Físicos", "8. Tecnológicos")))</f>
        <v/>
      </c>
      <c r="D40" s="33">
        <f>IFERROR(VLOOKUP(A40, 'ANEXO A'!$A$2:$L$94, 11, FALSE), "")</f>
        <v/>
      </c>
      <c r="E40" s="38">
        <f>IFERROR(VLOOKUP(A40, 'ANEXO A'!$A$2:$L$94, 8, FALSE), "")</f>
        <v/>
      </c>
      <c r="F40" s="90">
        <f>IFERROR(VLOOKUP(A40, 'ANEXO A'!$A$2:$L$94, 9, FALSE), "")</f>
        <v/>
      </c>
      <c r="G40" s="38">
        <f>IFERROR(VLOOKUP(A40, 'ANEXO A'!$A$2:$L$94, 10, FALSE), "")</f>
        <v/>
      </c>
      <c r="H40" s="38">
        <f>IFERROR(VLOOKUP(A40, 'ANEXO A'!$A$2:$L$94, 12, FALSE), "")</f>
        <v/>
      </c>
      <c r="I40" s="91" t="inlineStr">
        <is>
          <t>6.2 Políticas Específicas / GTH: Inclusión contractual de responsabilidades de seguridad y deber de sigilo institucional (GSO-GSI-MP-GSI / SEPS-2022-002).</t>
        </is>
      </c>
    </row>
    <row r="41" ht="33.75" customHeight="1" s="106">
      <c r="A41" s="33">
        <f>'ANEXO A'!A41</f>
        <v/>
      </c>
      <c r="B41" s="112">
        <f>IFERROR(VLOOKUP(A41, 'ANEXO A'!$A$2:$L$94, 2, FALSE), "")</f>
        <v/>
      </c>
      <c r="C41" s="33">
        <f>IF(LEFT(A41,1)="5", "5. Organizacionales", IF(LEFT(A41,1)="6", "6. Personas", IF(LEFT(A41,1)="7", "7. Físicos", "8. Tecnológicos")))</f>
        <v/>
      </c>
      <c r="D41" s="33">
        <f>IFERROR(VLOOKUP(A41, 'ANEXO A'!$A$2:$L$94, 11, FALSE), "")</f>
        <v/>
      </c>
      <c r="E41" s="38">
        <f>IFERROR(VLOOKUP(A41, 'ANEXO A'!$A$2:$L$94, 8, FALSE), "")</f>
        <v/>
      </c>
      <c r="F41" s="90">
        <f>IFERROR(VLOOKUP(A41, 'ANEXO A'!$A$2:$L$94, 9, FALSE), "")</f>
        <v/>
      </c>
      <c r="G41" s="38">
        <f>IFERROR(VLOOKUP(A41, 'ANEXO A'!$A$2:$L$94, 10, FALSE), "")</f>
        <v/>
      </c>
      <c r="H41" s="38">
        <f>IFERROR(VLOOKUP(A41, 'ANEXO A'!$A$2:$L$94, 12, FALSE), "")</f>
        <v/>
      </c>
      <c r="I41" s="91" t="inlineStr">
        <is>
          <t>Anexo 1 SEPS 002 (Cultura de SI): Ejecución del plan anual de capacitación y evaluación de efectividad/madurez en seguridad (SEPS-2022-002).</t>
        </is>
      </c>
    </row>
    <row r="42" ht="33.75" customHeight="1" s="106">
      <c r="A42" s="33">
        <f>'ANEXO A'!A42</f>
        <v/>
      </c>
      <c r="B42" s="112">
        <f>IFERROR(VLOOKUP(A42, 'ANEXO A'!$A$2:$L$94, 2, FALSE), "")</f>
        <v/>
      </c>
      <c r="C42" s="33">
        <f>IF(LEFT(A42,1)="5", "5. Organizacionales", IF(LEFT(A42,1)="6", "6. Personas", IF(LEFT(A42,1)="7", "7. Físicos", "8. Tecnológicos")))</f>
        <v/>
      </c>
      <c r="D42" s="33">
        <f>IFERROR(VLOOKUP(A42, 'ANEXO A'!$A$2:$L$94, 11, FALSE), "")</f>
        <v/>
      </c>
      <c r="E42" s="38">
        <f>IFERROR(VLOOKUP(A42, 'ANEXO A'!$A$2:$L$94, 8, FALSE), "")</f>
        <v/>
      </c>
      <c r="F42" s="90">
        <f>IFERROR(VLOOKUP(A42, 'ANEXO A'!$A$2:$L$94, 9, FALSE), "")</f>
        <v/>
      </c>
      <c r="G42" s="38">
        <f>IFERROR(VLOOKUP(A42, 'ANEXO A'!$A$2:$L$94, 10, FALSE), "")</f>
        <v/>
      </c>
      <c r="H42" s="38">
        <f>IFERROR(VLOOKUP(A42, 'ANEXO A'!$A$2:$L$94, 12, FALSE), "")</f>
        <v/>
      </c>
      <c r="I42" s="91" t="inlineStr">
        <is>
          <t>6.4 Políticas / Reglamento Interno: Aplicación de sanciones ante reincidencia en bloqueos, negligencia o vulneración de políticas de SI (GSO-GSI-MP-GSI).</t>
        </is>
      </c>
    </row>
    <row r="43" ht="33.75" customHeight="1" s="106">
      <c r="A43" s="33">
        <f>'ANEXO A'!A43</f>
        <v/>
      </c>
      <c r="B43" s="112">
        <f>IFERROR(VLOOKUP(A43, 'ANEXO A'!$A$2:$L$94, 2, FALSE), "")</f>
        <v/>
      </c>
      <c r="C43" s="33">
        <f>IF(LEFT(A43,1)="5", "5. Organizacionales", IF(LEFT(A43,1)="6", "6. Personas", IF(LEFT(A43,1)="7", "7. Físicos", "8. Tecnológicos")))</f>
        <v/>
      </c>
      <c r="D43" s="33">
        <f>IFERROR(VLOOKUP(A43, 'ANEXO A'!$A$2:$L$94, 11, FALSE), "")</f>
        <v/>
      </c>
      <c r="E43" s="38">
        <f>IFERROR(VLOOKUP(A43, 'ANEXO A'!$A$2:$L$94, 8, FALSE), "")</f>
        <v/>
      </c>
      <c r="F43" s="90">
        <f>IFERROR(VLOOKUP(A43, 'ANEXO A'!$A$2:$L$94, 9, FALSE), "")</f>
        <v/>
      </c>
      <c r="G43" s="38">
        <f>IFERROR(VLOOKUP(A43, 'ANEXO A'!$A$2:$L$94, 10, FALSE), "")</f>
        <v/>
      </c>
      <c r="H43" s="38">
        <f>IFERROR(VLOOKUP(A43, 'ANEXO A'!$A$2:$L$94, 12, FALSE), "")</f>
        <v/>
      </c>
      <c r="I43" s="91" t="inlineStr">
        <is>
          <t>6.3 Modificación / 6.5 Eliminación de usuarios: Suscripción de acuerdos de confidencialidad permanentes y revocación de accesos al cesar funciones (GSO-GSI-MP-GSI).</t>
        </is>
      </c>
    </row>
    <row r="44" ht="33.75" customHeight="1" s="106">
      <c r="A44" s="33">
        <f>'ANEXO A'!A44</f>
        <v/>
      </c>
      <c r="B44" s="112">
        <f>IFERROR(VLOOKUP(A44, 'ANEXO A'!$A$2:$L$94, 2, FALSE), "")</f>
        <v/>
      </c>
      <c r="C44" s="33">
        <f>IF(LEFT(A44,1)="5", "5. Organizacionales", IF(LEFT(A44,1)="6", "6. Personas", IF(LEFT(A44,1)="7", "7. Físicos", "8. Tecnológicos")))</f>
        <v/>
      </c>
      <c r="D44" s="33">
        <f>IFERROR(VLOOKUP(A44, 'ANEXO A'!$A$2:$L$94, 11, FALSE), "")</f>
        <v/>
      </c>
      <c r="E44" s="38">
        <f>IFERROR(VLOOKUP(A44, 'ANEXO A'!$A$2:$L$94, 8, FALSE), "")</f>
        <v/>
      </c>
      <c r="F44" s="90">
        <f>IFERROR(VLOOKUP(A44, 'ANEXO A'!$A$2:$L$94, 9, FALSE), "")</f>
        <v/>
      </c>
      <c r="G44" s="38">
        <f>IFERROR(VLOOKUP(A44, 'ANEXO A'!$A$2:$L$94, 10, FALSE), "")</f>
        <v/>
      </c>
      <c r="H44" s="38">
        <f>IFERROR(VLOOKUP(A44, 'ANEXO A'!$A$2:$L$94, 12, FALSE), "")</f>
        <v/>
      </c>
      <c r="I44" s="91" t="inlineStr">
        <is>
          <t>6.2 Creación (Equifax/Aval) / GTH: Firma obligatoria de convenios de confidencialidad por colaboradores y terceros (GSO-GSI-MP-GSI).</t>
        </is>
      </c>
    </row>
    <row r="45" ht="33.75" customHeight="1" s="106">
      <c r="A45" s="33">
        <f>'ANEXO A'!A45</f>
        <v/>
      </c>
      <c r="B45" s="112">
        <f>IFERROR(VLOOKUP(A45, 'ANEXO A'!$A$2:$L$94, 2, FALSE), "")</f>
        <v/>
      </c>
      <c r="C45" s="33">
        <f>IF(LEFT(A45,1)="5", "5. Organizacionales", IF(LEFT(A45,1)="6", "6. Personas", IF(LEFT(A45,1)="7", "7. Físicos", "8. Tecnológicos")))</f>
        <v/>
      </c>
      <c r="D45" s="33">
        <f>IFERROR(VLOOKUP(A45, 'ANEXO A'!$A$2:$L$94, 11, FALSE), "")</f>
        <v/>
      </c>
      <c r="E45" s="38">
        <f>IFERROR(VLOOKUP(A45, 'ANEXO A'!$A$2:$L$94, 8, FALSE), "")</f>
        <v/>
      </c>
      <c r="F45" s="90">
        <f>IFERROR(VLOOKUP(A45, 'ANEXO A'!$A$2:$L$94, 9, FALSE), "")</f>
        <v/>
      </c>
      <c r="G45" s="38">
        <f>IFERROR(VLOOKUP(A45, 'ANEXO A'!$A$2:$L$94, 10, FALSE), "")</f>
        <v/>
      </c>
      <c r="H45" s="38">
        <f>IFERROR(VLOOKUP(A45, 'ANEXO A'!$A$2:$L$94, 12, FALSE), "")</f>
        <v/>
      </c>
      <c r="I45" s="91" t="inlineStr">
        <is>
          <t>6.2 VPN Directorio Activo: Uso obligatorio de VPN corporativa y autenticación multifactor para accesos remotos autorizados (GSO-GSI-MP-GSI)</t>
        </is>
      </c>
    </row>
    <row r="46" ht="33.75" customHeight="1" s="106">
      <c r="A46" s="33">
        <f>'ANEXO A'!A46</f>
        <v/>
      </c>
      <c r="B46" s="112">
        <f>IFERROR(VLOOKUP(A46, 'ANEXO A'!$A$2:$L$94, 2, FALSE), "")</f>
        <v/>
      </c>
      <c r="C46" s="33">
        <f>IF(LEFT(A46,1)="5", "5. Organizacionales", IF(LEFT(A46,1)="6", "6. Personas", IF(LEFT(A46,1)="7", "7. Físicos", "8. Tecnológicos")))</f>
        <v/>
      </c>
      <c r="D46" s="33">
        <f>IFERROR(VLOOKUP(A46, 'ANEXO A'!$A$2:$L$94, 11, FALSE), "")</f>
        <v/>
      </c>
      <c r="E46" s="38">
        <f>IFERROR(VLOOKUP(A46, 'ANEXO A'!$A$2:$L$94, 8, FALSE), "")</f>
        <v/>
      </c>
      <c r="F46" s="90">
        <f>IFERROR(VLOOKUP(A46, 'ANEXO A'!$A$2:$L$94, 9, FALSE), "")</f>
        <v/>
      </c>
      <c r="G46" s="38">
        <f>IFERROR(VLOOKUP(A46, 'ANEXO A'!$A$2:$L$94, 10, FALSE), "")</f>
        <v/>
      </c>
      <c r="H46" s="38">
        <f>IFERROR(VLOOKUP(A46, 'ANEXO A'!$A$2:$L$94, 12, FALSE), "")</f>
        <v/>
      </c>
      <c r="I46" s="91" t="inlineStr">
        <is>
          <t>6.15 Gestión de incidentes (Act. 1): Canalización formal vía Service Desk y correo de cualquier evento o anomalía detectada (GSO-GSI-MP-GSI).</t>
        </is>
      </c>
    </row>
    <row r="47" ht="33.75" customHeight="1" s="106">
      <c r="A47" s="33">
        <f>'ANEXO A'!A47</f>
        <v/>
      </c>
      <c r="B47" s="112">
        <f>IFERROR(VLOOKUP(A47, 'ANEXO A'!$A$2:$L$94, 2, FALSE), "")</f>
        <v/>
      </c>
      <c r="C47" s="33">
        <f>IF(LEFT(A47,1)="5", "5. Organizacionales", IF(LEFT(A47,1)="6", "6. Personas", IF(LEFT(A47,1)="7", "7. Físicos", "8. Tecnológicos")))</f>
        <v/>
      </c>
      <c r="D47" s="33">
        <f>IFERROR(VLOOKUP(A47, 'ANEXO A'!$A$2:$L$94, 11, FALSE), "")</f>
        <v/>
      </c>
      <c r="E47" s="38">
        <f>IFERROR(VLOOKUP(A47, 'ANEXO A'!$A$2:$L$94, 8, FALSE), "")</f>
        <v/>
      </c>
      <c r="F47" s="90">
        <f>IFERROR(VLOOKUP(A47, 'ANEXO A'!$A$2:$L$94, 9, FALSE), "")</f>
        <v/>
      </c>
      <c r="G47" s="38">
        <f>IFERROR(VLOOKUP(A47, 'ANEXO A'!$A$2:$L$94, 10, FALSE), "")</f>
        <v/>
      </c>
      <c r="H47" s="38">
        <f>IFERROR(VLOOKUP(A47, 'ANEXO A'!$A$2:$L$94, 12, FALSE), "")</f>
        <v/>
      </c>
      <c r="I47" s="91" t="inlineStr">
        <is>
          <t>Anexo 1 SEPS 002 (Seguridad Física): Delimitación perimetral, puertas de seguridad y áreas de data center con acceso restringido (SEPS-2022-002).</t>
        </is>
      </c>
    </row>
    <row r="48" ht="33.75" customHeight="1" s="106">
      <c r="A48" s="33">
        <f>'ANEXO A'!A48</f>
        <v/>
      </c>
      <c r="B48" s="112">
        <f>IFERROR(VLOOKUP(A48, 'ANEXO A'!$A$2:$L$94, 2, FALSE), "")</f>
        <v/>
      </c>
      <c r="C48" s="33">
        <f>IF(LEFT(A48,1)="5", "5. Organizacionales", IF(LEFT(A48,1)="6", "6. Personas", IF(LEFT(A48,1)="7", "7. Físicos", "8. Tecnológicos")))</f>
        <v/>
      </c>
      <c r="D48" s="33">
        <f>IFERROR(VLOOKUP(A48, 'ANEXO A'!$A$2:$L$94, 11, FALSE), "")</f>
        <v/>
      </c>
      <c r="E48" s="38">
        <f>IFERROR(VLOOKUP(A48, 'ANEXO A'!$A$2:$L$94, 8, FALSE), "")</f>
        <v/>
      </c>
      <c r="F48" s="90">
        <f>IFERROR(VLOOKUP(A48, 'ANEXO A'!$A$2:$L$94, 9, FALSE), "")</f>
        <v/>
      </c>
      <c r="G48" s="38">
        <f>IFERROR(VLOOKUP(A48, 'ANEXO A'!$A$2:$L$94, 10, FALSE), "")</f>
        <v/>
      </c>
      <c r="H48" s="38">
        <f>IFERROR(VLOOKUP(A48, 'ANEXO A'!$A$2:$L$94, 12, FALSE), "")</f>
        <v/>
      </c>
      <c r="I48" s="91" t="inlineStr">
        <is>
          <t>Anexo 1 SEPS 002 / GAD: Control biométrico, tarjetas de proximidad y registro bitacorizado de visitantes (SEPS-2022-002).</t>
        </is>
      </c>
    </row>
    <row r="49" ht="33.75" customHeight="1" s="106">
      <c r="A49" s="33">
        <f>'ANEXO A'!A49</f>
        <v/>
      </c>
      <c r="B49" s="112">
        <f>IFERROR(VLOOKUP(A49, 'ANEXO A'!$A$2:$L$94, 2, FALSE), "")</f>
        <v/>
      </c>
      <c r="C49" s="33">
        <f>IF(LEFT(A49,1)="5", "5. Organizacionales", IF(LEFT(A49,1)="6", "6. Personas", IF(LEFT(A49,1)="7", "7. Físicos", "8. Tecnológicos")))</f>
        <v/>
      </c>
      <c r="D49" s="33">
        <f>IFERROR(VLOOKUP(A49, 'ANEXO A'!$A$2:$L$94, 11, FALSE), "")</f>
        <v/>
      </c>
      <c r="E49" s="38">
        <f>IFERROR(VLOOKUP(A49, 'ANEXO A'!$A$2:$L$94, 8, FALSE), "")</f>
        <v/>
      </c>
      <c r="F49" s="90">
        <f>IFERROR(VLOOKUP(A49, 'ANEXO A'!$A$2:$L$94, 9, FALSE), "")</f>
        <v/>
      </c>
      <c r="G49" s="38">
        <f>IFERROR(VLOOKUP(A49, 'ANEXO A'!$A$2:$L$94, 10, FALSE), "")</f>
        <v/>
      </c>
      <c r="H49" s="38">
        <f>IFERROR(VLOOKUP(A49, 'ANEXO A'!$A$2:$L$94, 12, FALSE), "")</f>
        <v/>
      </c>
      <c r="I49" s="91" t="inlineStr">
        <is>
          <t>Anexo 1 SEPS 002: Protección de zonas sensibles y aislamiento físico de áreas de procesamiento crítico (SEPS-2022-002).</t>
        </is>
      </c>
    </row>
    <row r="50" ht="33.75" customHeight="1" s="106">
      <c r="A50" s="33">
        <f>'ANEXO A'!A50</f>
        <v/>
      </c>
      <c r="B50" s="112">
        <f>IFERROR(VLOOKUP(A50, 'ANEXO A'!$A$2:$L$94, 2, FALSE), "")</f>
        <v/>
      </c>
      <c r="C50" s="33">
        <f>IF(LEFT(A50,1)="5", "5. Organizacionales", IF(LEFT(A50,1)="6", "6. Personas", IF(LEFT(A50,1)="7", "7. Físicos", "8. Tecnológicos")))</f>
        <v/>
      </c>
      <c r="D50" s="33">
        <f>IFERROR(VLOOKUP(A50, 'ANEXO A'!$A$2:$L$94, 11, FALSE), "")</f>
        <v/>
      </c>
      <c r="E50" s="38">
        <f>IFERROR(VLOOKUP(A50, 'ANEXO A'!$A$2:$L$94, 8, FALSE), "")</f>
        <v/>
      </c>
      <c r="F50" s="90">
        <f>IFERROR(VLOOKUP(A50, 'ANEXO A'!$A$2:$L$94, 9, FALSE), "")</f>
        <v/>
      </c>
      <c r="G50" s="38">
        <f>IFERROR(VLOOKUP(A50, 'ANEXO A'!$A$2:$L$94, 10, FALSE), "")</f>
        <v/>
      </c>
      <c r="H50" s="38">
        <f>IFERROR(VLOOKUP(A50, 'ANEXO A'!$A$2:$L$94, 12, FALSE), "")</f>
        <v/>
      </c>
      <c r="I50" s="91" t="inlineStr">
        <is>
          <t>Anexo 1 SEPS 002 / CCTV: Monitoreo y grabación permanente mediante Circuito Cerrado de Televisión y sensores de alarma (SEPS-2022-002).</t>
        </is>
      </c>
    </row>
    <row r="51" ht="45" customHeight="1" s="106">
      <c r="A51" s="33">
        <f>'ANEXO A'!A51</f>
        <v/>
      </c>
      <c r="B51" s="112">
        <f>IFERROR(VLOOKUP(A51, 'ANEXO A'!$A$2:$L$94, 2, FALSE), "")</f>
        <v/>
      </c>
      <c r="C51" s="33">
        <f>IF(LEFT(A51,1)="5", "5. Organizacionales", IF(LEFT(A51,1)="6", "6. Personas", IF(LEFT(A51,1)="7", "7. Físicos", "8. Tecnológicos")))</f>
        <v/>
      </c>
      <c r="D51" s="33">
        <f>IFERROR(VLOOKUP(A51, 'ANEXO A'!$A$2:$L$94, 11, FALSE), "")</f>
        <v/>
      </c>
      <c r="E51" s="38">
        <f>IFERROR(VLOOKUP(A51, 'ANEXO A'!$A$2:$L$94, 8, FALSE), "")</f>
        <v/>
      </c>
      <c r="F51" s="90">
        <f>IFERROR(VLOOKUP(A51, 'ANEXO A'!$A$2:$L$94, 9, FALSE), "")</f>
        <v/>
      </c>
      <c r="G51" s="38">
        <f>IFERROR(VLOOKUP(A51, 'ANEXO A'!$A$2:$L$94, 10, FALSE), "")</f>
        <v/>
      </c>
      <c r="H51" s="38">
        <f>IFERROR(VLOOKUP(A51, 'ANEXO A'!$A$2:$L$94, 12, FALSE), "")</f>
        <v/>
      </c>
      <c r="I51" s="91" t="inlineStr">
        <is>
          <t>Sec. 10.2.1 Metodología GAI (S31-S40): Sistemas de detección y extinción de incendios (FM200/gas), sensores de inundación y pararrayos (GSO-GSI-ME-GAI / SEPS-2022-002).</t>
        </is>
      </c>
    </row>
    <row r="52" ht="33.75" customHeight="1" s="106">
      <c r="A52" s="33">
        <f>'ANEXO A'!A52</f>
        <v/>
      </c>
      <c r="B52" s="112">
        <f>IFERROR(VLOOKUP(A52, 'ANEXO A'!$A$2:$L$94, 2, FALSE), "")</f>
        <v/>
      </c>
      <c r="C52" s="33">
        <f>IF(LEFT(A52,1)="5", "5. Organizacionales", IF(LEFT(A52,1)="6", "6. Personas", IF(LEFT(A52,1)="7", "7. Físicos", "8. Tecnológicos")))</f>
        <v/>
      </c>
      <c r="D52" s="33">
        <f>IFERROR(VLOOKUP(A52, 'ANEXO A'!$A$2:$L$94, 11, FALSE), "")</f>
        <v/>
      </c>
      <c r="E52" s="38">
        <f>IFERROR(VLOOKUP(A52, 'ANEXO A'!$A$2:$L$94, 8, FALSE), "")</f>
        <v/>
      </c>
      <c r="F52" s="90">
        <f>IFERROR(VLOOKUP(A52, 'ANEXO A'!$A$2:$L$94, 9, FALSE), "")</f>
        <v/>
      </c>
      <c r="G52" s="38">
        <f>IFERROR(VLOOKUP(A52, 'ANEXO A'!$A$2:$L$94, 10, FALSE), "")</f>
        <v/>
      </c>
      <c r="H52" s="38">
        <f>IFERROR(VLOOKUP(A52, 'ANEXO A'!$A$2:$L$94, 12, FALSE), "")</f>
        <v/>
      </c>
      <c r="I52" s="91" t="inlineStr">
        <is>
          <t>6.11 Claves críticas / 6.12 Llaves: Procedimientos restringidos para custodia de cajas fuertes y zonas de cifrado bajo estricto control (GSO-GSI-MP-GSI).</t>
        </is>
      </c>
    </row>
    <row r="53" ht="33.75" customHeight="1" s="106">
      <c r="A53" s="33">
        <f>'ANEXO A'!A53</f>
        <v/>
      </c>
      <c r="B53" s="112">
        <f>IFERROR(VLOOKUP(A53, 'ANEXO A'!$A$2:$L$94, 2, FALSE), "")</f>
        <v/>
      </c>
      <c r="C53" s="33">
        <f>IF(LEFT(A53,1)="5", "5. Organizacionales", IF(LEFT(A53,1)="6", "6. Personas", IF(LEFT(A53,1)="7", "7. Físicos", "8. Tecnológicos")))</f>
        <v/>
      </c>
      <c r="D53" s="33">
        <f>IFERROR(VLOOKUP(A53, 'ANEXO A'!$A$2:$L$94, 11, FALSE), "")</f>
        <v/>
      </c>
      <c r="E53" s="38">
        <f>IFERROR(VLOOKUP(A53, 'ANEXO A'!$A$2:$L$94, 8, FALSE), "")</f>
        <v/>
      </c>
      <c r="F53" s="90">
        <f>IFERROR(VLOOKUP(A53, 'ANEXO A'!$A$2:$L$94, 9, FALSE), "")</f>
        <v/>
      </c>
      <c r="G53" s="38">
        <f>IFERROR(VLOOKUP(A53, 'ANEXO A'!$A$2:$L$94, 10, FALSE), "")</f>
        <v/>
      </c>
      <c r="H53" s="38">
        <f>IFERROR(VLOOKUP(A53, 'ANEXO A'!$A$2:$L$94, 12, FALSE), "")</f>
        <v/>
      </c>
      <c r="I53" s="91" t="inlineStr">
        <is>
          <t>6.16 Revisión y monitoreo de políticas: Bloqueo automático de estación por inactividad y resguardo bajo llave de documentos físicos (GSO-GSI-MP-GSI).</t>
        </is>
      </c>
    </row>
    <row r="54" ht="33.75" customHeight="1" s="106">
      <c r="A54" s="33">
        <f>'ANEXO A'!A54</f>
        <v/>
      </c>
      <c r="B54" s="112">
        <f>IFERROR(VLOOKUP(A54, 'ANEXO A'!$A$2:$L$94, 2, FALSE), "")</f>
        <v/>
      </c>
      <c r="C54" s="33">
        <f>IF(LEFT(A54,1)="5", "5. Organizacionales", IF(LEFT(A54,1)="6", "6. Personas", IF(LEFT(A54,1)="7", "7. Físicos", "8. Tecnológicos")))</f>
        <v/>
      </c>
      <c r="D54" s="33">
        <f>IFERROR(VLOOKUP(A54, 'ANEXO A'!$A$2:$L$94, 11, FALSE), "")</f>
        <v/>
      </c>
      <c r="E54" s="38">
        <f>IFERROR(VLOOKUP(A54, 'ANEXO A'!$A$2:$L$94, 8, FALSE), "")</f>
        <v/>
      </c>
      <c r="F54" s="90">
        <f>IFERROR(VLOOKUP(A54, 'ANEXO A'!$A$2:$L$94, 9, FALSE), "")</f>
        <v/>
      </c>
      <c r="G54" s="38">
        <f>IFERROR(VLOOKUP(A54, 'ANEXO A'!$A$2:$L$94, 10, FALSE), "")</f>
        <v/>
      </c>
      <c r="H54" s="38">
        <f>IFERROR(VLOOKUP(A54, 'ANEXO A'!$A$2:$L$94, 12, FALSE), "")</f>
        <v/>
      </c>
      <c r="I54" s="91" t="inlineStr">
        <is>
          <t>6.13 Gestión de activos / TI: Ubicación de servidores y racks en centros de datos con control de clima y energía (GSO-GSI-ME-GAI / SEPS-2022-002).</t>
        </is>
      </c>
    </row>
    <row r="55" ht="33.75" customHeight="1" s="106">
      <c r="A55" s="33">
        <f>'ANEXO A'!A55</f>
        <v/>
      </c>
      <c r="B55" s="112">
        <f>IFERROR(VLOOKUP(A55, 'ANEXO A'!$A$2:$L$94, 2, FALSE), "")</f>
        <v/>
      </c>
      <c r="C55" s="33">
        <f>IF(LEFT(A55,1)="5", "5. Organizacionales", IF(LEFT(A55,1)="6", "6. Personas", IF(LEFT(A55,1)="7", "7. Físicos", "8. Tecnológicos")))</f>
        <v/>
      </c>
      <c r="D55" s="33">
        <f>IFERROR(VLOOKUP(A55, 'ANEXO A'!$A$2:$L$94, 11, FALSE), "")</f>
        <v/>
      </c>
      <c r="E55" s="38">
        <f>IFERROR(VLOOKUP(A55, 'ANEXO A'!$A$2:$L$94, 8, FALSE), "")</f>
        <v/>
      </c>
      <c r="F55" s="90">
        <f>IFERROR(VLOOKUP(A55, 'ANEXO A'!$A$2:$L$94, 9, FALSE), "")</f>
        <v/>
      </c>
      <c r="G55" s="38">
        <f>IFERROR(VLOOKUP(A55, 'ANEXO A'!$A$2:$L$94, 10, FALSE), "")</f>
        <v/>
      </c>
      <c r="H55" s="38">
        <f>IFERROR(VLOOKUP(A55, 'ANEXO A'!$A$2:$L$94, 12, FALSE), "")</f>
        <v/>
      </c>
      <c r="I55" s="91" t="inlineStr">
        <is>
          <t>6.1 Políticas Generales (Item 4): Equipos portátiles integrados al Directorio Activo, antivirus y cifrado de disco (GSO-GSI-MP-GSI).</t>
        </is>
      </c>
    </row>
    <row r="56" ht="33.75" customHeight="1" s="106">
      <c r="A56" s="33">
        <f>'ANEXO A'!A56</f>
        <v/>
      </c>
      <c r="B56" s="112">
        <f>IFERROR(VLOOKUP(A56, 'ANEXO A'!$A$2:$L$94, 2, FALSE), "")</f>
        <v/>
      </c>
      <c r="C56" s="33">
        <f>IF(LEFT(A56,1)="5", "5. Organizacionales", IF(LEFT(A56,1)="6", "6. Personas", IF(LEFT(A56,1)="7", "7. Físicos", "8. Tecnológicos")))</f>
        <v/>
      </c>
      <c r="D56" s="33">
        <f>IFERROR(VLOOKUP(A56, 'ANEXO A'!$A$2:$L$94, 11, FALSE), "")</f>
        <v/>
      </c>
      <c r="E56" s="38">
        <f>IFERROR(VLOOKUP(A56, 'ANEXO A'!$A$2:$L$94, 8, FALSE), "")</f>
        <v/>
      </c>
      <c r="F56" s="90">
        <f>IFERROR(VLOOKUP(A56, 'ANEXO A'!$A$2:$L$94, 9, FALSE), "")</f>
        <v/>
      </c>
      <c r="G56" s="38">
        <f>IFERROR(VLOOKUP(A56, 'ANEXO A'!$A$2:$L$94, 10, FALSE), "")</f>
        <v/>
      </c>
      <c r="H56" s="38">
        <f>IFERROR(VLOOKUP(A56, 'ANEXO A'!$A$2:$L$94, 12, FALSE), "")</f>
        <v/>
      </c>
      <c r="I56" s="91" t="inlineStr">
        <is>
          <t>6.9 FTP / 6.13 Activos: Control y restricción de medios extraíbles (USB/discos) y almacenamiento de backups (GSO-GSI-MP-GSI / GSO-GSI-ME-GAI).</t>
        </is>
      </c>
    </row>
    <row r="57" ht="33.75" customHeight="1" s="106">
      <c r="A57" s="33">
        <f>'ANEXO A'!A57</f>
        <v/>
      </c>
      <c r="B57" s="112">
        <f>IFERROR(VLOOKUP(A57, 'ANEXO A'!$A$2:$L$94, 2, FALSE), "")</f>
        <v/>
      </c>
      <c r="C57" s="33">
        <f>IF(LEFT(A57,1)="5", "5. Organizacionales", IF(LEFT(A57,1)="6", "6. Personas", IF(LEFT(A57,1)="7", "7. Físicos", "8. Tecnológicos")))</f>
        <v/>
      </c>
      <c r="D57" s="33">
        <f>IFERROR(VLOOKUP(A57, 'ANEXO A'!$A$2:$L$94, 11, FALSE), "")</f>
        <v/>
      </c>
      <c r="E57" s="38">
        <f>IFERROR(VLOOKUP(A57, 'ANEXO A'!$A$2:$L$94, 8, FALSE), "")</f>
        <v/>
      </c>
      <c r="F57" s="90">
        <f>IFERROR(VLOOKUP(A57, 'ANEXO A'!$A$2:$L$94, 9, FALSE), "")</f>
        <v/>
      </c>
      <c r="G57" s="38">
        <f>IFERROR(VLOOKUP(A57, 'ANEXO A'!$A$2:$L$94, 10, FALSE), "")</f>
        <v/>
      </c>
      <c r="H57" s="38">
        <f>IFERROR(VLOOKUP(A57, 'ANEXO A'!$A$2:$L$94, 12, FALSE), "")</f>
        <v/>
      </c>
      <c r="I57" s="91" t="inlineStr">
        <is>
          <t>Sec. 10.2.1 Metodología GAI (S32-S33): Respaldo eléctrico mediante UPS redundantes y generador eléctrico (GSO-GSI-ME-GAI / SEPS-2022-002).</t>
        </is>
      </c>
    </row>
    <row r="58" ht="33.75" customHeight="1" s="106">
      <c r="A58" s="33">
        <f>'ANEXO A'!A58</f>
        <v/>
      </c>
      <c r="B58" s="112">
        <f>IFERROR(VLOOKUP(A58, 'ANEXO A'!$A$2:$L$94, 2, FALSE), "")</f>
        <v/>
      </c>
      <c r="C58" s="33">
        <f>IF(LEFT(A58,1)="5", "5. Organizacionales", IF(LEFT(A58,1)="6", "6. Personas", IF(LEFT(A58,1)="7", "7. Físicos", "8. Tecnológicos")))</f>
        <v/>
      </c>
      <c r="D58" s="33">
        <f>IFERROR(VLOOKUP(A58, 'ANEXO A'!$A$2:$L$94, 11, FALSE), "")</f>
        <v/>
      </c>
      <c r="E58" s="38">
        <f>IFERROR(VLOOKUP(A58, 'ANEXO A'!$A$2:$L$94, 8, FALSE), "")</f>
        <v/>
      </c>
      <c r="F58" s="90">
        <f>IFERROR(VLOOKUP(A58, 'ANEXO A'!$A$2:$L$94, 9, FALSE), "")</f>
        <v/>
      </c>
      <c r="G58" s="38">
        <f>IFERROR(VLOOKUP(A58, 'ANEXO A'!$A$2:$L$94, 10, FALSE), "")</f>
        <v/>
      </c>
      <c r="H58" s="38">
        <f>IFERROR(VLOOKUP(A58, 'ANEXO A'!$A$2:$L$94, 12, FALSE), "")</f>
        <v/>
      </c>
      <c r="I58" s="91" t="inlineStr">
        <is>
          <t>Anexo 1 SEPS (Infraestructura): Cableado estructurado canalizado, ordenado y protegido en ductos cerrados (SEPS-2022-002).</t>
        </is>
      </c>
    </row>
    <row r="59" ht="33.75" customHeight="1" s="106">
      <c r="A59" s="33">
        <f>'ANEXO A'!A59</f>
        <v/>
      </c>
      <c r="B59" s="112">
        <f>IFERROR(VLOOKUP(A59, 'ANEXO A'!$A$2:$L$94, 2, FALSE), "")</f>
        <v/>
      </c>
      <c r="C59" s="33">
        <f>IF(LEFT(A59,1)="5", "5. Organizacionales", IF(LEFT(A59,1)="6", "6. Personas", IF(LEFT(A59,1)="7", "7. Físicos", "8. Tecnológicos")))</f>
        <v/>
      </c>
      <c r="D59" s="33">
        <f>IFERROR(VLOOKUP(A59, 'ANEXO A'!$A$2:$L$94, 11, FALSE), "")</f>
        <v/>
      </c>
      <c r="E59" s="38">
        <f>IFERROR(VLOOKUP(A59, 'ANEXO A'!$A$2:$L$94, 8, FALSE), "")</f>
        <v/>
      </c>
      <c r="F59" s="90">
        <f>IFERROR(VLOOKUP(A59, 'ANEXO A'!$A$2:$L$94, 9, FALSE), "")</f>
        <v/>
      </c>
      <c r="G59" s="38">
        <f>IFERROR(VLOOKUP(A59, 'ANEXO A'!$A$2:$L$94, 10, FALSE), "")</f>
        <v/>
      </c>
      <c r="H59" s="38">
        <f>IFERROR(VLOOKUP(A59, 'ANEXO A'!$A$2:$L$94, 12, FALSE), "")</f>
        <v/>
      </c>
      <c r="I59" s="91" t="inlineStr">
        <is>
          <t>6.19 Escaneo / Plan TI: Mantenimiento preventivo y correctivo periódico a infraestructura bajo bitácora y supervisión (GSO-GSI-MP-GSI / SEPS-2022-002).</t>
        </is>
      </c>
    </row>
    <row r="60" ht="33.75" customHeight="1" s="106">
      <c r="A60" s="33">
        <f>'ANEXO A'!A60</f>
        <v/>
      </c>
      <c r="B60" s="112">
        <f>IFERROR(VLOOKUP(A60, 'ANEXO A'!$A$2:$L$94, 2, FALSE), "")</f>
        <v/>
      </c>
      <c r="C60" s="33">
        <f>IF(LEFT(A60,1)="5", "5. Organizacionales", IF(LEFT(A60,1)="6", "6. Personas", IF(LEFT(A60,1)="7", "7. Físicos", "8. Tecnológicos")))</f>
        <v/>
      </c>
      <c r="D60" s="33">
        <f>IFERROR(VLOOKUP(A60, 'ANEXO A'!$A$2:$L$94, 11, FALSE), "")</f>
        <v/>
      </c>
      <c r="E60" s="38">
        <f>IFERROR(VLOOKUP(A60, 'ANEXO A'!$A$2:$L$94, 8, FALSE), "")</f>
        <v/>
      </c>
      <c r="F60" s="90">
        <f>IFERROR(VLOOKUP(A60, 'ANEXO A'!$A$2:$L$94, 9, FALSE), "")</f>
        <v/>
      </c>
      <c r="G60" s="38">
        <f>IFERROR(VLOOKUP(A60, 'ANEXO A'!$A$2:$L$94, 10, FALSE), "")</f>
        <v/>
      </c>
      <c r="H60" s="38">
        <f>IFERROR(VLOOKUP(A60, 'ANEXO A'!$A$2:$L$94, 12, FALSE), "")</f>
        <v/>
      </c>
      <c r="I60" s="91" t="inlineStr">
        <is>
          <t>Sec. 1 Metodología GAI / Bajas TI: Borrado seguro de medios de almacenamiento y desmagnetización/destrucción de discos dados de baja (GSO-GSI-ME-GAI / ISO 27002).</t>
        </is>
      </c>
    </row>
    <row r="61" ht="33.75" customHeight="1" s="106">
      <c r="A61" s="33">
        <f>'ANEXO A'!A61</f>
        <v/>
      </c>
      <c r="B61" s="112">
        <f>IFERROR(VLOOKUP(A61, 'ANEXO A'!$A$2:$L$94, 2, FALSE), "")</f>
        <v/>
      </c>
      <c r="C61" s="33">
        <f>IF(LEFT(A61,1)="5", "5. Organizacionales", IF(LEFT(A61,1)="6", "6. Personas", IF(LEFT(A61,1)="7", "7. Físicos", "8. Tecnológicos")))</f>
        <v/>
      </c>
      <c r="D61" s="33">
        <f>IFERROR(VLOOKUP(A61, 'ANEXO A'!$A$2:$L$94, 11, FALSE), "")</f>
        <v/>
      </c>
      <c r="E61" s="38">
        <f>IFERROR(VLOOKUP(A61, 'ANEXO A'!$A$2:$L$94, 8, FALSE), "")</f>
        <v/>
      </c>
      <c r="F61" s="90">
        <f>IFERROR(VLOOKUP(A61, 'ANEXO A'!$A$2:$L$94, 9, FALSE), "")</f>
        <v/>
      </c>
      <c r="G61" s="38">
        <f>IFERROR(VLOOKUP(A61, 'ANEXO A'!$A$2:$L$94, 10, FALSE), "")</f>
        <v/>
      </c>
      <c r="H61" s="38">
        <f>IFERROR(VLOOKUP(A61, 'ANEXO A'!$A$2:$L$94, 12, FALSE), "")</f>
        <v/>
      </c>
      <c r="I61" s="91" t="inlineStr">
        <is>
          <t>6.1 Políticas Generales (Item 4) / 6.16: Gestión unificada por Directorio Activo, políticas GPO y monitoreo de terminales (GSO-GSI-MP-GSI).</t>
        </is>
      </c>
    </row>
    <row r="62" ht="22.5" customHeight="1" s="106">
      <c r="A62" s="33">
        <f>'ANEXO A'!A62</f>
        <v/>
      </c>
      <c r="B62" s="112">
        <f>IFERROR(VLOOKUP(A62, 'ANEXO A'!$A$2:$L$94, 2, FALSE), "")</f>
        <v/>
      </c>
      <c r="C62" s="33">
        <f>IF(LEFT(A62,1)="5", "5. Organizacionales", IF(LEFT(A62,1)="6", "6. Personas", IF(LEFT(A62,1)="7", "7. Físicos", "8. Tecnológicos")))</f>
        <v/>
      </c>
      <c r="D62" s="33">
        <f>IFERROR(VLOOKUP(A62, 'ANEXO A'!$A$2:$L$94, 11, FALSE), "")</f>
        <v/>
      </c>
      <c r="E62" s="38">
        <f>IFERROR(VLOOKUP(A62, 'ANEXO A'!$A$2:$L$94, 8, FALSE), "")</f>
        <v/>
      </c>
      <c r="F62" s="90">
        <f>IFERROR(VLOOKUP(A62, 'ANEXO A'!$A$2:$L$94, 9, FALSE), "")</f>
        <v/>
      </c>
      <c r="G62" s="38">
        <f>IFERROR(VLOOKUP(A62, 'ANEXO A'!$A$2:$L$94, 10, FALSE), "")</f>
        <v/>
      </c>
      <c r="H62" s="38">
        <f>IFERROR(VLOOKUP(A62, 'ANEXO A'!$A$2:$L$94, 12, FALSE), "")</f>
        <v/>
      </c>
      <c r="I62" s="91" t="inlineStr">
        <is>
          <t>6.7. Administración de roles y perfiles - Control de acceso privilegiado (GSO-GSI-MP-GSI)</t>
        </is>
      </c>
    </row>
    <row r="63" ht="22.5" customHeight="1" s="106">
      <c r="A63" s="33">
        <f>'ANEXO A'!A63</f>
        <v/>
      </c>
      <c r="B63" s="112">
        <f>IFERROR(VLOOKUP(A63, 'ANEXO A'!$A$2:$L$94, 2, FALSE), "")</f>
        <v/>
      </c>
      <c r="C63" s="33">
        <f>IF(LEFT(A63,1)="5", "5. Organizacionales", IF(LEFT(A63,1)="6", "6. Personas", IF(LEFT(A63,1)="7", "7. Físicos", "8. Tecnológicos")))</f>
        <v/>
      </c>
      <c r="D63" s="33">
        <f>IFERROR(VLOOKUP(A63, 'ANEXO A'!$A$2:$L$94, 11, FALSE), "")</f>
        <v/>
      </c>
      <c r="E63" s="38">
        <f>IFERROR(VLOOKUP(A63, 'ANEXO A'!$A$2:$L$94, 8, FALSE), "")</f>
        <v/>
      </c>
      <c r="F63" s="90">
        <f>IFERROR(VLOOKUP(A63, 'ANEXO A'!$A$2:$L$94, 9, FALSE), "")</f>
        <v/>
      </c>
      <c r="G63" s="38">
        <f>IFERROR(VLOOKUP(A63, 'ANEXO A'!$A$2:$L$94, 10, FALSE), "")</f>
        <v/>
      </c>
      <c r="H63" s="38">
        <f>IFERROR(VLOOKUP(A63, 'ANEXO A'!$A$2:$L$94, 12, FALSE), "")</f>
        <v/>
      </c>
      <c r="I63" s="91" t="inlineStr">
        <is>
          <t>6.4. Bloqueo y Desbloqueo de usuarios / 6.5 Eliminación de usuarios (GSO-GSI-MP-GSI)</t>
        </is>
      </c>
    </row>
    <row r="64" ht="45" customHeight="1" s="106">
      <c r="A64" s="33">
        <f>'ANEXO A'!A64</f>
        <v/>
      </c>
      <c r="B64" s="112">
        <f>IFERROR(VLOOKUP(A64, 'ANEXO A'!$A$2:$L$94, 2, FALSE), "")</f>
        <v/>
      </c>
      <c r="C64" s="33">
        <f>IF(LEFT(A64,1)="5", "5. Organizacionales", IF(LEFT(A64,1)="6", "6. Personas", IF(LEFT(A64,1)="7", "7. Físicos", "8. Tecnológicos")))</f>
        <v/>
      </c>
      <c r="D64" s="33">
        <f>IFERROR(VLOOKUP(A64, 'ANEXO A'!$A$2:$L$94, 11, FALSE), "")</f>
        <v/>
      </c>
      <c r="E64" s="38">
        <f>IFERROR(VLOOKUP(A64, 'ANEXO A'!$A$2:$L$94, 8, FALSE), "")</f>
        <v/>
      </c>
      <c r="F64" s="90">
        <f>IFERROR(VLOOKUP(A64, 'ANEXO A'!$A$2:$L$94, 9, FALSE), "")</f>
        <v/>
      </c>
      <c r="G64" s="38">
        <f>IFERROR(VLOOKUP(A64, 'ANEXO A'!$A$2:$L$94, 10, FALSE), "")</f>
        <v/>
      </c>
      <c r="H64" s="38">
        <f>IFERROR(VLOOKUP(A64, 'ANEXO A'!$A$2:$L$94, 12, FALSE), "")</f>
        <v/>
      </c>
      <c r="I64" s="91" t="inlineStr">
        <is>
          <t>Anexo 1 SEPS (Desarrollo): Restricción y control de repositorios de software y herramientas de desarrollo bajo mínima asignación de privilegios (SEPS-2022-002 / ISO 27002).</t>
        </is>
      </c>
    </row>
    <row r="65" ht="33.75" customHeight="1" s="106">
      <c r="A65" s="33">
        <f>'ANEXO A'!A65</f>
        <v/>
      </c>
      <c r="B65" s="112">
        <f>IFERROR(VLOOKUP(A65, 'ANEXO A'!$A$2:$L$94, 2, FALSE), "")</f>
        <v/>
      </c>
      <c r="C65" s="33">
        <f>IF(LEFT(A65,1)="5", "5. Organizacionales", IF(LEFT(A65,1)="6", "6. Personas", IF(LEFT(A65,1)="7", "7. Físicos", "8. Tecnológicos")))</f>
        <v/>
      </c>
      <c r="D65" s="33">
        <f>IFERROR(VLOOKUP(A65, 'ANEXO A'!$A$2:$L$94, 11, FALSE), "")</f>
        <v/>
      </c>
      <c r="E65" s="38">
        <f>IFERROR(VLOOKUP(A65, 'ANEXO A'!$A$2:$L$94, 8, FALSE), "")</f>
        <v/>
      </c>
      <c r="F65" s="90">
        <f>IFERROR(VLOOKUP(A65, 'ANEXO A'!$A$2:$L$94, 9, FALSE), "")</f>
        <v/>
      </c>
      <c r="G65" s="38">
        <f>IFERROR(VLOOKUP(A65, 'ANEXO A'!$A$2:$L$94, 10, FALSE), "")</f>
        <v/>
      </c>
      <c r="H65" s="38">
        <f>IFERROR(VLOOKUP(A65, 'ANEXO A'!$A$2:$L$94, 12, FALSE), "")</f>
        <v/>
      </c>
      <c r="I65" s="91" t="inlineStr">
        <is>
          <t>6.4 Bloqueo / 6.2 MFA Azure: Implementación de contraseñas robustas, bloqueo por intentos fallidos y autenticación multifactor (GSO-GSI-MP-GSI).</t>
        </is>
      </c>
    </row>
    <row r="66" ht="33.75" customHeight="1" s="106">
      <c r="A66" s="33">
        <f>'ANEXO A'!A66</f>
        <v/>
      </c>
      <c r="B66" s="112">
        <f>IFERROR(VLOOKUP(A66, 'ANEXO A'!$A$2:$L$94, 2, FALSE), "")</f>
        <v/>
      </c>
      <c r="C66" s="33">
        <f>IF(LEFT(A66,1)="5", "5. Organizacionales", IF(LEFT(A66,1)="6", "6. Personas", IF(LEFT(A66,1)="7", "7. Físicos", "8. Tecnológicos")))</f>
        <v/>
      </c>
      <c r="D66" s="33">
        <f>IFERROR(VLOOKUP(A66, 'ANEXO A'!$A$2:$L$94, 11, FALSE), "")</f>
        <v/>
      </c>
      <c r="E66" s="38">
        <f>IFERROR(VLOOKUP(A66, 'ANEXO A'!$A$2:$L$94, 8, FALSE), "")</f>
        <v/>
      </c>
      <c r="F66" s="90">
        <f>IFERROR(VLOOKUP(A66, 'ANEXO A'!$A$2:$L$94, 9, FALSE), "")</f>
        <v/>
      </c>
      <c r="G66" s="38">
        <f>IFERROR(VLOOKUP(A66, 'ANEXO A'!$A$2:$L$94, 10, FALSE), "")</f>
        <v/>
      </c>
      <c r="H66" s="38">
        <f>IFERROR(VLOOKUP(A66, 'ANEXO A'!$A$2:$L$94, 12, FALSE), "")</f>
        <v/>
      </c>
      <c r="I66" s="91" t="inlineStr">
        <is>
          <t>6.14 Auditoría BD (Pol. 5): Monitoreo semestral del consumo de recursos, almacenamiento y rendimiento de base de datos y Core (GSO-GSI-MP-GSI).</t>
        </is>
      </c>
    </row>
    <row r="67" ht="33.75" customHeight="1" s="106">
      <c r="A67" s="33">
        <f>'ANEXO A'!A67</f>
        <v/>
      </c>
      <c r="B67" s="112">
        <f>IFERROR(VLOOKUP(A67, 'ANEXO A'!$A$2:$L$94, 2, FALSE), "")</f>
        <v/>
      </c>
      <c r="C67" s="33">
        <f>IF(LEFT(A67,1)="5", "5. Organizacionales", IF(LEFT(A67,1)="6", "6. Personas", IF(LEFT(A67,1)="7", "7. Físicos", "8. Tecnológicos")))</f>
        <v/>
      </c>
      <c r="D67" s="33">
        <f>IFERROR(VLOOKUP(A67, 'ANEXO A'!$A$2:$L$94, 11, FALSE), "")</f>
        <v/>
      </c>
      <c r="E67" s="38">
        <f>IFERROR(VLOOKUP(A67, 'ANEXO A'!$A$2:$L$94, 8, FALSE), "")</f>
        <v/>
      </c>
      <c r="F67" s="90">
        <f>IFERROR(VLOOKUP(A67, 'ANEXO A'!$A$2:$L$94, 9, FALSE), "")</f>
        <v/>
      </c>
      <c r="G67" s="38">
        <f>IFERROR(VLOOKUP(A67, 'ANEXO A'!$A$2:$L$94, 10, FALSE), "")</f>
        <v/>
      </c>
      <c r="H67" s="38">
        <f>IFERROR(VLOOKUP(A67, 'ANEXO A'!$A$2:$L$94, 12, FALSE), "")</f>
        <v/>
      </c>
      <c r="I67" s="91" t="inlineStr">
        <is>
          <t>6.11 Cuentas Críticas (Antivirus/AntiSpam): Administración centralizada de consola antivirus, filtros antispam y actualización de firmas (GSO-GSI-MP-GSI).</t>
        </is>
      </c>
    </row>
    <row r="68" ht="45" customHeight="1" s="106">
      <c r="A68" s="33">
        <f>'ANEXO A'!A68</f>
        <v/>
      </c>
      <c r="B68" s="112">
        <f>IFERROR(VLOOKUP(A68, 'ANEXO A'!$A$2:$L$94, 2, FALSE), "")</f>
        <v/>
      </c>
      <c r="C68" s="33">
        <f>IF(LEFT(A68,1)="5", "5. Organizacionales", IF(LEFT(A68,1)="6", "6. Personas", IF(LEFT(A68,1)="7", "7. Físicos", "8. Tecnológicos")))</f>
        <v/>
      </c>
      <c r="D68" s="33">
        <f>IFERROR(VLOOKUP(A68, 'ANEXO A'!$A$2:$L$94, 11, FALSE), "")</f>
        <v/>
      </c>
      <c r="E68" s="38">
        <f>IFERROR(VLOOKUP(A68, 'ANEXO A'!$A$2:$L$94, 8, FALSE), "")</f>
        <v/>
      </c>
      <c r="F68" s="90">
        <f>IFERROR(VLOOKUP(A68, 'ANEXO A'!$A$2:$L$94, 9, FALSE), "")</f>
        <v/>
      </c>
      <c r="G68" s="38">
        <f>IFERROR(VLOOKUP(A68, 'ANEXO A'!$A$2:$L$94, 10, FALSE), "")</f>
        <v/>
      </c>
      <c r="H68" s="38">
        <f>IFERROR(VLOOKUP(A68, 'ANEXO A'!$A$2:$L$94, 12, FALSE), "")</f>
        <v/>
      </c>
      <c r="I68" s="91" t="inlineStr">
        <is>
          <t>6.19. Escaneo de vulnerabilidades internas y externas - Mantenimiento de software (GSO-GSI-MP-GSI)</t>
        </is>
      </c>
    </row>
    <row r="69" ht="45" customHeight="1" s="106">
      <c r="A69" s="33">
        <f>'ANEXO A'!A69</f>
        <v/>
      </c>
      <c r="B69" s="112">
        <f>IFERROR(VLOOKUP(A69, 'ANEXO A'!$A$2:$L$94, 2, FALSE), "")</f>
        <v/>
      </c>
      <c r="C69" s="33">
        <f>IF(LEFT(A69,1)="5", "5. Organizacionales", IF(LEFT(A69,1)="6", "6. Personas", IF(LEFT(A69,1)="7", "7. Físicos", "8. Tecnológicos")))</f>
        <v/>
      </c>
      <c r="D69" s="33">
        <f>IFERROR(VLOOKUP(A69, 'ANEXO A'!$A$2:$L$94, 11, FALSE), "")</f>
        <v/>
      </c>
      <c r="E69" s="38">
        <f>IFERROR(VLOOKUP(A69, 'ANEXO A'!$A$2:$L$94, 8, FALSE), "")</f>
        <v/>
      </c>
      <c r="F69" s="90">
        <f>IFERROR(VLOOKUP(A69, 'ANEXO A'!$A$2:$L$94, 9, FALSE), "")</f>
        <v/>
      </c>
      <c r="G69" s="38">
        <f>IFERROR(VLOOKUP(A69, 'ANEXO A'!$A$2:$L$94, 10, FALSE), "")</f>
        <v/>
      </c>
      <c r="H69" s="38">
        <f>IFERROR(VLOOKUP(A69, 'ANEXO A'!$A$2:$L$94, 12, FALSE), "")</f>
        <v/>
      </c>
      <c r="I69" s="91" t="inlineStr">
        <is>
          <t>Anexo 1 SEPS 002 (Configuración): Establecimiento y auditoría de líneas base seguras (Hardening) en servidores, BD y comunicaciones (SEPS-2022-002).</t>
        </is>
      </c>
    </row>
    <row r="70" ht="33.75" customHeight="1" s="106">
      <c r="A70" s="33">
        <f>'ANEXO A'!A70</f>
        <v/>
      </c>
      <c r="B70" s="112">
        <f>IFERROR(VLOOKUP(A70, 'ANEXO A'!$A$2:$L$94, 2, FALSE), "")</f>
        <v/>
      </c>
      <c r="C70" s="33">
        <f>IF(LEFT(A70,1)="5", "5. Organizacionales", IF(LEFT(A70,1)="6", "6. Personas", IF(LEFT(A70,1)="7", "7. Físicos", "8. Tecnológicos")))</f>
        <v/>
      </c>
      <c r="D70" s="33">
        <f>IFERROR(VLOOKUP(A70, 'ANEXO A'!$A$2:$L$94, 11, FALSE), "")</f>
        <v/>
      </c>
      <c r="E70" s="38">
        <f>IFERROR(VLOOKUP(A70, 'ANEXO A'!$A$2:$L$94, 8, FALSE), "")</f>
        <v/>
      </c>
      <c r="F70" s="90">
        <f>IFERROR(VLOOKUP(A70, 'ANEXO A'!$A$2:$L$94, 9, FALSE), "")</f>
        <v/>
      </c>
      <c r="G70" s="38">
        <f>IFERROR(VLOOKUP(A70, 'ANEXO A'!$A$2:$L$94, 10, FALSE), "")</f>
        <v/>
      </c>
      <c r="H70" s="38">
        <f>IFERROR(VLOOKUP(A70, 'ANEXO A'!$A$2:$L$94, 12, FALSE), "")</f>
        <v/>
      </c>
      <c r="I70" s="91" t="inlineStr">
        <is>
          <t>6.5 Eliminación de usuarios / Retención: Expiración de productos/roles y purga segura de archivos temporales (GSO-GSI-MP-GSI / ISO 27002).</t>
        </is>
      </c>
    </row>
    <row r="71" ht="33.75" customHeight="1" s="106">
      <c r="A71" s="33">
        <f>'ANEXO A'!A71</f>
        <v/>
      </c>
      <c r="B71" s="112">
        <f>IFERROR(VLOOKUP(A71, 'ANEXO A'!$A$2:$L$94, 2, FALSE), "")</f>
        <v/>
      </c>
      <c r="C71" s="33">
        <f>IF(LEFT(A71,1)="5", "5. Organizacionales", IF(LEFT(A71,1)="6", "6. Personas", IF(LEFT(A71,1)="7", "7. Físicos", "8. Tecnológicos")))</f>
        <v/>
      </c>
      <c r="D71" s="33">
        <f>IFERROR(VLOOKUP(A71, 'ANEXO A'!$A$2:$L$94, 11, FALSE), "")</f>
        <v/>
      </c>
      <c r="E71" s="38">
        <f>IFERROR(VLOOKUP(A71, 'ANEXO A'!$A$2:$L$94, 8, FALSE), "")</f>
        <v/>
      </c>
      <c r="F71" s="90">
        <f>IFERROR(VLOOKUP(A71, 'ANEXO A'!$A$2:$L$94, 9, FALSE), "")</f>
        <v/>
      </c>
      <c r="G71" s="38">
        <f>IFERROR(VLOOKUP(A71, 'ANEXO A'!$A$2:$L$94, 10, FALSE), "")</f>
        <v/>
      </c>
      <c r="H71" s="38">
        <f>IFERROR(VLOOKUP(A71, 'ANEXO A'!$A$2:$L$94, 12, FALSE), "")</f>
        <v/>
      </c>
      <c r="I71" s="91" t="inlineStr">
        <is>
          <t>6.17 Escaneo PCI DSS (Pol. 3-6): Truncamiento y ofuscación del PAN (visibilidad máx. primeros 6 y últimos 4 dígitos) (GSO-GSI-MP-GSI).</t>
        </is>
      </c>
    </row>
    <row r="72" ht="33.75" customHeight="1" s="106">
      <c r="A72" s="33">
        <f>'ANEXO A'!A72</f>
        <v/>
      </c>
      <c r="B72" s="112">
        <f>IFERROR(VLOOKUP(A72, 'ANEXO A'!$A$2:$L$94, 2, FALSE), "")</f>
        <v/>
      </c>
      <c r="C72" s="33">
        <f>IF(LEFT(A72,1)="5", "5. Organizacionales", IF(LEFT(A72,1)="6", "6. Personas", IF(LEFT(A72,1)="7", "7. Físicos", "8. Tecnológicos")))</f>
        <v/>
      </c>
      <c r="D72" s="33">
        <f>IFERROR(VLOOKUP(A72, 'ANEXO A'!$A$2:$L$94, 11, FALSE), "")</f>
        <v/>
      </c>
      <c r="E72" s="38">
        <f>IFERROR(VLOOKUP(A72, 'ANEXO A'!$A$2:$L$94, 8, FALSE), "")</f>
        <v/>
      </c>
      <c r="F72" s="90">
        <f>IFERROR(VLOOKUP(A72, 'ANEXO A'!$A$2:$L$94, 9, FALSE), "")</f>
        <v/>
      </c>
      <c r="G72" s="38">
        <f>IFERROR(VLOOKUP(A72, 'ANEXO A'!$A$2:$L$94, 10, FALSE), "")</f>
        <v/>
      </c>
      <c r="H72" s="38">
        <f>IFERROR(VLOOKUP(A72, 'ANEXO A'!$A$2:$L$94, 12, FALSE), "")</f>
        <v/>
      </c>
      <c r="I72" s="91" t="inlineStr">
        <is>
          <t>6.9 Control FTP / 6.17 PCI DSS: Restricción de descargas masivas, monitoreo de canales de salida y bloqueo de fuga de información crítica (GSO-GSI-MP-GSI).</t>
        </is>
      </c>
    </row>
    <row r="73" ht="45" customHeight="1" s="106">
      <c r="A73" s="33">
        <f>'ANEXO A'!A73</f>
        <v/>
      </c>
      <c r="B73" s="112">
        <f>IFERROR(VLOOKUP(A73, 'ANEXO A'!$A$2:$L$94, 2, FALSE), "")</f>
        <v/>
      </c>
      <c r="C73" s="33">
        <f>IF(LEFT(A73,1)="5", "5. Organizacionales", IF(LEFT(A73,1)="6", "6. Personas", IF(LEFT(A73,1)="7", "7. Físicos", "8. Tecnológicos")))</f>
        <v/>
      </c>
      <c r="D73" s="33">
        <f>IFERROR(VLOOKUP(A73, 'ANEXO A'!$A$2:$L$94, 11, FALSE), "")</f>
        <v/>
      </c>
      <c r="E73" s="38">
        <f>IFERROR(VLOOKUP(A73, 'ANEXO A'!$A$2:$L$94, 8, FALSE), "")</f>
        <v/>
      </c>
      <c r="F73" s="90">
        <f>IFERROR(VLOOKUP(A73, 'ANEXO A'!$A$2:$L$94, 9, FALSE), "")</f>
        <v/>
      </c>
      <c r="G73" s="38">
        <f>IFERROR(VLOOKUP(A73, 'ANEXO A'!$A$2:$L$94, 10, FALSE), "")</f>
        <v/>
      </c>
      <c r="H73" s="38">
        <f>IFERROR(VLOOKUP(A73, 'ANEXO A'!$A$2:$L$94, 12, FALSE), "")</f>
        <v/>
      </c>
      <c r="I73" s="91" t="inlineStr">
        <is>
          <t>Anexo 1 SEPS 002 (Respaldos): Resguardo periódico automatizado de BD y aplicativos, y pruebas semestrales de restauración (SEPS-2022-002).</t>
        </is>
      </c>
    </row>
    <row r="74" ht="33.75" customHeight="1" s="106">
      <c r="A74" s="33">
        <f>'ANEXO A'!A74</f>
        <v/>
      </c>
      <c r="B74" s="112">
        <f>IFERROR(VLOOKUP(A74, 'ANEXO A'!$A$2:$L$94, 2, FALSE), "")</f>
        <v/>
      </c>
      <c r="C74" s="33">
        <f>IF(LEFT(A74,1)="5", "5. Organizacionales", IF(LEFT(A74,1)="6", "6. Personas", IF(LEFT(A74,1)="7", "7. Físicos", "8. Tecnológicos")))</f>
        <v/>
      </c>
      <c r="D74" s="33">
        <f>IFERROR(VLOOKUP(A74, 'ANEXO A'!$A$2:$L$94, 11, FALSE), "")</f>
        <v/>
      </c>
      <c r="E74" s="38">
        <f>IFERROR(VLOOKUP(A74, 'ANEXO A'!$A$2:$L$94, 8, FALSE), "")</f>
        <v/>
      </c>
      <c r="F74" s="90">
        <f>IFERROR(VLOOKUP(A74, 'ANEXO A'!$A$2:$L$94, 9, FALSE), "")</f>
        <v/>
      </c>
      <c r="G74" s="38">
        <f>IFERROR(VLOOKUP(A74, 'ANEXO A'!$A$2:$L$94, 10, FALSE), "")</f>
        <v/>
      </c>
      <c r="H74" s="38">
        <f>IFERROR(VLOOKUP(A74, 'ANEXO A'!$A$2:$L$94, 12, FALSE), "")</f>
        <v/>
      </c>
      <c r="I74" s="91" t="inlineStr">
        <is>
          <t>Anexo 1 SEPS (Arquitectura): Implementación de clúster de servidores, alta disponibilidad de BD y enlaces de comunicación alternos (SEPS-2022-002).</t>
        </is>
      </c>
    </row>
    <row r="75" ht="33.75" customHeight="1" s="106">
      <c r="A75" s="33">
        <f>'ANEXO A'!A75</f>
        <v/>
      </c>
      <c r="B75" s="112">
        <f>IFERROR(VLOOKUP(A75, 'ANEXO A'!$A$2:$L$94, 2, FALSE), "")</f>
        <v/>
      </c>
      <c r="C75" s="33">
        <f>IF(LEFT(A75,1)="5", "5. Organizacionales", IF(LEFT(A75,1)="6", "6. Personas", IF(LEFT(A75,1)="7", "7. Físicos", "8. Tecnológicos")))</f>
        <v/>
      </c>
      <c r="D75" s="33">
        <f>IFERROR(VLOOKUP(A75, 'ANEXO A'!$A$2:$L$94, 11, FALSE), "")</f>
        <v/>
      </c>
      <c r="E75" s="38">
        <f>IFERROR(VLOOKUP(A75, 'ANEXO A'!$A$2:$L$94, 8, FALSE), "")</f>
        <v/>
      </c>
      <c r="F75" s="90">
        <f>IFERROR(VLOOKUP(A75, 'ANEXO A'!$A$2:$L$94, 9, FALSE), "")</f>
        <v/>
      </c>
      <c r="G75" s="38">
        <f>IFERROR(VLOOKUP(A75, 'ANEXO A'!$A$2:$L$94, 10, FALSE), "")</f>
        <v/>
      </c>
      <c r="H75" s="38">
        <f>IFERROR(VLOOKUP(A75, 'ANEXO A'!$A$2:$L$94, 12, FALSE), "")</f>
        <v/>
      </c>
      <c r="I75" s="91" t="inlineStr">
        <is>
          <t>6.14. Administración de la auditoría de la base de datos - Registro y monitoreo de eventos (GSO-GSI-MP-GSI)</t>
        </is>
      </c>
    </row>
    <row r="76" ht="33.75" customHeight="1" s="106">
      <c r="A76" s="33">
        <f>'ANEXO A'!A76</f>
        <v/>
      </c>
      <c r="B76" s="112">
        <f>IFERROR(VLOOKUP(A76, 'ANEXO A'!$A$2:$L$94, 2, FALSE), "")</f>
        <v/>
      </c>
      <c r="C76" s="33">
        <f>IF(LEFT(A76,1)="5", "5. Organizacionales", IF(LEFT(A76,1)="6", "6. Personas", IF(LEFT(A76,1)="7", "7. Físicos", "8. Tecnológicos")))</f>
        <v/>
      </c>
      <c r="D76" s="33">
        <f>IFERROR(VLOOKUP(A76, 'ANEXO A'!$A$2:$L$94, 11, FALSE), "")</f>
        <v/>
      </c>
      <c r="E76" s="38">
        <f>IFERROR(VLOOKUP(A76, 'ANEXO A'!$A$2:$L$94, 8, FALSE), "")</f>
        <v/>
      </c>
      <c r="F76" s="90">
        <f>IFERROR(VLOOKUP(A76, 'ANEXO A'!$A$2:$L$94, 9, FALSE), "")</f>
        <v/>
      </c>
      <c r="G76" s="38">
        <f>IFERROR(VLOOKUP(A76, 'ANEXO A'!$A$2:$L$94, 10, FALSE), "")</f>
        <v/>
      </c>
      <c r="H76" s="38">
        <f>IFERROR(VLOOKUP(A76, 'ANEXO A'!$A$2:$L$94, 12, FALSE), "")</f>
        <v/>
      </c>
      <c r="I76" s="91" t="inlineStr">
        <is>
          <t>6.14 Auditoría BD / 6.16 Monitoreo: Supervisión continua mediante scripts, logs de base de datos y herramientas de red (GSO-GSI-MP-GSI).</t>
        </is>
      </c>
    </row>
    <row r="77" ht="33.75" customHeight="1" s="106">
      <c r="A77" s="33">
        <f>'ANEXO A'!A77</f>
        <v/>
      </c>
      <c r="B77" s="112">
        <f>IFERROR(VLOOKUP(A77, 'ANEXO A'!$A$2:$L$94, 2, FALSE), "")</f>
        <v/>
      </c>
      <c r="C77" s="33">
        <f>IF(LEFT(A77,1)="5", "5. Organizacionales", IF(LEFT(A77,1)="6", "6. Personas", IF(LEFT(A77,1)="7", "7. Físicos", "8. Tecnológicos")))</f>
        <v/>
      </c>
      <c r="D77" s="33">
        <f>IFERROR(VLOOKUP(A77, 'ANEXO A'!$A$2:$L$94, 11, FALSE), "")</f>
        <v/>
      </c>
      <c r="E77" s="38">
        <f>IFERROR(VLOOKUP(A77, 'ANEXO A'!$A$2:$L$94, 8, FALSE), "")</f>
        <v/>
      </c>
      <c r="F77" s="90">
        <f>IFERROR(VLOOKUP(A77, 'ANEXO A'!$A$2:$L$94, 9, FALSE), "")</f>
        <v/>
      </c>
      <c r="G77" s="38">
        <f>IFERROR(VLOOKUP(A77, 'ANEXO A'!$A$2:$L$94, 10, FALSE), "")</f>
        <v/>
      </c>
      <c r="H77" s="38">
        <f>IFERROR(VLOOKUP(A77, 'ANEXO A'!$A$2:$L$94, 12, FALSE), "")</f>
        <v/>
      </c>
      <c r="I77" s="91" t="inlineStr">
        <is>
          <t>Anexo 1 SEPS (Logs y Detección): Sincronización automática de todos los servidores y estaciones a fuentes horarias oficiales (NTP) (SEPS-2022-002 / ISO 27002).</t>
        </is>
      </c>
    </row>
    <row r="78" ht="33.75" customHeight="1" s="106">
      <c r="A78" s="33">
        <f>'ANEXO A'!A78</f>
        <v/>
      </c>
      <c r="B78" s="112">
        <f>IFERROR(VLOOKUP(A78, 'ANEXO A'!$A$2:$L$94, 2, FALSE), "")</f>
        <v/>
      </c>
      <c r="C78" s="33">
        <f>IF(LEFT(A78,1)="5", "5. Organizacionales", IF(LEFT(A78,1)="6", "6. Personas", IF(LEFT(A78,1)="7", "7. Físicos", "8. Tecnológicos")))</f>
        <v/>
      </c>
      <c r="D78" s="33">
        <f>IFERROR(VLOOKUP(A78, 'ANEXO A'!$A$2:$L$94, 11, FALSE), "")</f>
        <v/>
      </c>
      <c r="E78" s="38">
        <f>IFERROR(VLOOKUP(A78, 'ANEXO A'!$A$2:$L$94, 8, FALSE), "")</f>
        <v/>
      </c>
      <c r="F78" s="90">
        <f>IFERROR(VLOOKUP(A78, 'ANEXO A'!$A$2:$L$94, 9, FALSE), "")</f>
        <v/>
      </c>
      <c r="G78" s="38">
        <f>IFERROR(VLOOKUP(A78, 'ANEXO A'!$A$2:$L$94, 10, FALSE), "")</f>
        <v/>
      </c>
      <c r="H78" s="38">
        <f>IFERROR(VLOOKUP(A78, 'ANEXO A'!$A$2:$L$94, 12, FALSE), "")</f>
        <v/>
      </c>
      <c r="I78" s="91" t="inlineStr">
        <is>
          <t>6.11 Cuentas Críticas / 6.14 BD: Restricción estricta de ejecución de scripts DDL/DML directos y herramientas de bajo nivel (GSO-GSI-MP-GSI).</t>
        </is>
      </c>
    </row>
    <row r="79" ht="45" customHeight="1" s="106">
      <c r="A79" s="33">
        <f>'ANEXO A'!A79</f>
        <v/>
      </c>
      <c r="B79" s="112">
        <f>IFERROR(VLOOKUP(A79, 'ANEXO A'!$A$2:$L$94, 2, FALSE), "")</f>
        <v/>
      </c>
      <c r="C79" s="33">
        <f>IF(LEFT(A79,1)="5", "5. Organizacionales", IF(LEFT(A79,1)="6", "6. Personas", IF(LEFT(A79,1)="7", "7. Físicos", "8. Tecnológicos")))</f>
        <v/>
      </c>
      <c r="D79" s="33">
        <f>IFERROR(VLOOKUP(A79, 'ANEXO A'!$A$2:$L$94, 11, FALSE), "")</f>
        <v/>
      </c>
      <c r="E79" s="38">
        <f>IFERROR(VLOOKUP(A79, 'ANEXO A'!$A$2:$L$94, 8, FALSE), "")</f>
        <v/>
      </c>
      <c r="F79" s="90">
        <f>IFERROR(VLOOKUP(A79, 'ANEXO A'!$A$2:$L$94, 9, FALSE), "")</f>
        <v/>
      </c>
      <c r="G79" s="38">
        <f>IFERROR(VLOOKUP(A79, 'ANEXO A'!$A$2:$L$94, 10, FALSE), "")</f>
        <v/>
      </c>
      <c r="H79" s="38">
        <f>IFERROR(VLOOKUP(A79, 'ANEXO A'!$A$2:$L$94, 12, FALSE), "")</f>
        <v/>
      </c>
      <c r="I79" s="91" t="inlineStr">
        <is>
          <t>6.1 Políticas (Item 4) / GPO: Bloqueo de permisos de instalación a usuarios finales; software desplegado centralmente por TI (GSO-GSI-MP-GSI).</t>
        </is>
      </c>
    </row>
    <row r="80" ht="45" customHeight="1" s="106">
      <c r="A80" s="33">
        <f>'ANEXO A'!A80</f>
        <v/>
      </c>
      <c r="B80" s="112">
        <f>IFERROR(VLOOKUP(A80, 'ANEXO A'!$A$2:$L$94, 2, FALSE), "")</f>
        <v/>
      </c>
      <c r="C80" s="33">
        <f>IF(LEFT(A80,1)="5", "5. Organizacionales", IF(LEFT(A80,1)="6", "6. Personas", IF(LEFT(A80,1)="7", "7. Físicos", "8. Tecnológicos")))</f>
        <v/>
      </c>
      <c r="D80" s="33">
        <f>IFERROR(VLOOKUP(A80, 'ANEXO A'!$A$2:$L$94, 11, FALSE), "")</f>
        <v/>
      </c>
      <c r="E80" s="38">
        <f>IFERROR(VLOOKUP(A80, 'ANEXO A'!$A$2:$L$94, 8, FALSE), "")</f>
        <v/>
      </c>
      <c r="F80" s="90">
        <f>IFERROR(VLOOKUP(A80, 'ANEXO A'!$A$2:$L$94, 9, FALSE), "")</f>
        <v/>
      </c>
      <c r="G80" s="38">
        <f>IFERROR(VLOOKUP(A80, 'ANEXO A'!$A$2:$L$94, 10, FALSE), "")</f>
        <v/>
      </c>
      <c r="H80" s="38">
        <f>IFERROR(VLOOKUP(A80, 'ANEXO A'!$A$2:$L$94, 12, FALSE), "")</f>
        <v/>
      </c>
      <c r="I80" s="91" t="inlineStr">
        <is>
          <t>6.11 Firewalls / Enrutadores: Administración de firewalls de borde, políticas de enrutamiento y reglas de filtrado perimetral (GSO-GSI-MP-GSI).</t>
        </is>
      </c>
    </row>
    <row r="81" ht="33.75" customHeight="1" s="106">
      <c r="A81" s="33">
        <f>'ANEXO A'!A81</f>
        <v/>
      </c>
      <c r="B81" s="112">
        <f>IFERROR(VLOOKUP(A81, 'ANEXO A'!$A$2:$L$94, 2, FALSE), "")</f>
        <v/>
      </c>
      <c r="C81" s="33">
        <f>IF(LEFT(A81,1)="5", "5. Organizacionales", IF(LEFT(A81,1)="6", "6. Personas", IF(LEFT(A81,1)="7", "7. Físicos", "8. Tecnológicos")))</f>
        <v/>
      </c>
      <c r="D81" s="33">
        <f>IFERROR(VLOOKUP(A81, 'ANEXO A'!$A$2:$L$94, 11, FALSE), "")</f>
        <v/>
      </c>
      <c r="E81" s="38">
        <f>IFERROR(VLOOKUP(A81, 'ANEXO A'!$A$2:$L$94, 8, FALSE), "")</f>
        <v/>
      </c>
      <c r="F81" s="90">
        <f>IFERROR(VLOOKUP(A81, 'ANEXO A'!$A$2:$L$94, 9, FALSE), "")</f>
        <v/>
      </c>
      <c r="G81" s="38">
        <f>IFERROR(VLOOKUP(A81, 'ANEXO A'!$A$2:$L$94, 10, FALSE), "")</f>
        <v/>
      </c>
      <c r="H81" s="38">
        <f>IFERROR(VLOOKUP(A81, 'ANEXO A'!$A$2:$L$94, 12, FALSE), "")</f>
        <v/>
      </c>
      <c r="I81" s="91" t="inlineStr">
        <is>
          <t>6.11 FiltraWeb / AntiSpam: Gestión de seguridad y niveles de servicio en DNS, navegación y correo electrónico (GSO-GSI-MP-GSI).</t>
        </is>
      </c>
    </row>
    <row r="82" ht="33.75" customHeight="1" s="106">
      <c r="A82" s="33">
        <f>'ANEXO A'!A82</f>
        <v/>
      </c>
      <c r="B82" s="112">
        <f>IFERROR(VLOOKUP(A82, 'ANEXO A'!$A$2:$L$94, 2, FALSE), "")</f>
        <v/>
      </c>
      <c r="C82" s="33">
        <f>IF(LEFT(A82,1)="5", "5. Organizacionales", IF(LEFT(A82,1)="6", "6. Personas", IF(LEFT(A82,1)="7", "7. Físicos", "8. Tecnológicos")))</f>
        <v/>
      </c>
      <c r="D82" s="33">
        <f>IFERROR(VLOOKUP(A82, 'ANEXO A'!$A$2:$L$94, 11, FALSE), "")</f>
        <v/>
      </c>
      <c r="E82" s="38">
        <f>IFERROR(VLOOKUP(A82, 'ANEXO A'!$A$2:$L$94, 8, FALSE), "")</f>
        <v/>
      </c>
      <c r="F82" s="90">
        <f>IFERROR(VLOOKUP(A82, 'ANEXO A'!$A$2:$L$94, 9, FALSE), "")</f>
        <v/>
      </c>
      <c r="G82" s="38">
        <f>IFERROR(VLOOKUP(A82, 'ANEXO A'!$A$2:$L$94, 10, FALSE), "")</f>
        <v/>
      </c>
      <c r="H82" s="38">
        <f>IFERROR(VLOOKUP(A82, 'ANEXO A'!$A$2:$L$94, 12, FALSE), "")</f>
        <v/>
      </c>
      <c r="I82" s="91" t="inlineStr">
        <is>
          <t>6.17 Ambiente PCI / 6.18 Wireless: Aislamiento de VLANs operativas, red de ambiente de tarjetas (PCI) y red Wi-Fi de clientes (GSO-GSI-MP-GSI).</t>
        </is>
      </c>
    </row>
    <row r="83" ht="33.75" customHeight="1" s="106">
      <c r="A83" s="33">
        <f>'ANEXO A'!A83</f>
        <v/>
      </c>
      <c r="B83" s="112">
        <f>IFERROR(VLOOKUP(A83, 'ANEXO A'!$A$2:$L$94, 2, FALSE), "")</f>
        <v/>
      </c>
      <c r="C83" s="33">
        <f>IF(LEFT(A83,1)="5", "5. Organizacionales", IF(LEFT(A83,1)="6", "6. Personas", IF(LEFT(A83,1)="7", "7. Físicos", "8. Tecnológicos")))</f>
        <v/>
      </c>
      <c r="D83" s="33">
        <f>IFERROR(VLOOKUP(A83, 'ANEXO A'!$A$2:$L$94, 11, FALSE), "")</f>
        <v/>
      </c>
      <c r="E83" s="38">
        <f>IFERROR(VLOOKUP(A83, 'ANEXO A'!$A$2:$L$94, 8, FALSE), "")</f>
        <v/>
      </c>
      <c r="F83" s="90">
        <f>IFERROR(VLOOKUP(A83, 'ANEXO A'!$A$2:$L$94, 9, FALSE), "")</f>
        <v/>
      </c>
      <c r="G83" s="38">
        <f>IFERROR(VLOOKUP(A83, 'ANEXO A'!$A$2:$L$94, 10, FALSE), "")</f>
        <v/>
      </c>
      <c r="H83" s="38">
        <f>IFERROR(VLOOKUP(A83, 'ANEXO A'!$A$2:$L$94, 12, FALSE), "")</f>
        <v/>
      </c>
      <c r="I83" s="91" t="inlineStr">
        <is>
          <t>6.11 Cuentas Críticas (FiltraWeb): Bloqueo de sitios web maliciosos, redes no laborales y categorías de riesgo (GSO-GSI-MP-GSI).</t>
        </is>
      </c>
    </row>
    <row r="84" ht="22.5" customHeight="1" s="106">
      <c r="A84" s="33">
        <f>'ANEXO A'!A84</f>
        <v/>
      </c>
      <c r="B84" s="112">
        <f>IFERROR(VLOOKUP(A84, 'ANEXO A'!$A$2:$L$94, 2, FALSE), "")</f>
        <v/>
      </c>
      <c r="C84" s="33">
        <f>IF(LEFT(A84,1)="5", "5. Organizacionales", IF(LEFT(A84,1)="6", "6. Personas", IF(LEFT(A84,1)="7", "7. Físicos", "8. Tecnológicos")))</f>
        <v/>
      </c>
      <c r="D84" s="33">
        <f>IFERROR(VLOOKUP(A84, 'ANEXO A'!$A$2:$L$94, 11, FALSE), "")</f>
        <v/>
      </c>
      <c r="E84" s="38">
        <f>IFERROR(VLOOKUP(A84, 'ANEXO A'!$A$2:$L$94, 8, FALSE), "")</f>
        <v/>
      </c>
      <c r="F84" s="90">
        <f>IFERROR(VLOOKUP(A84, 'ANEXO A'!$A$2:$L$94, 9, FALSE), "")</f>
        <v/>
      </c>
      <c r="G84" s="38">
        <f>IFERROR(VLOOKUP(A84, 'ANEXO A'!$A$2:$L$94, 10, FALSE), "")</f>
        <v/>
      </c>
      <c r="H84" s="38">
        <f>IFERROR(VLOOKUP(A84, 'ANEXO A'!$A$2:$L$94, 12, FALSE), "")</f>
        <v/>
      </c>
      <c r="I84" s="91" t="inlineStr">
        <is>
          <t>6.12. Creación, ingreso y custodia de llaves criptográficas - Cifrado (GSO-GSI-MP-GSI)</t>
        </is>
      </c>
    </row>
    <row r="85" ht="33.75" customHeight="1" s="106">
      <c r="A85" s="33">
        <f>'ANEXO A'!A85</f>
        <v/>
      </c>
      <c r="B85" s="112">
        <f>IFERROR(VLOOKUP(A85, 'ANEXO A'!$A$2:$L$94, 2, FALSE), "")</f>
        <v/>
      </c>
      <c r="C85" s="33">
        <f>IF(LEFT(A85,1)="5", "5. Organizacionales", IF(LEFT(A85,1)="6", "6. Personas", IF(LEFT(A85,1)="7", "7. Físicos", "8. Tecnológicos")))</f>
        <v/>
      </c>
      <c r="D85" s="33">
        <f>IFERROR(VLOOKUP(A85, 'ANEXO A'!$A$2:$L$94, 11, FALSE), "")</f>
        <v/>
      </c>
      <c r="E85" s="38">
        <f>IFERROR(VLOOKUP(A85, 'ANEXO A'!$A$2:$L$94, 8, FALSE), "")</f>
        <v/>
      </c>
      <c r="F85" s="90">
        <f>IFERROR(VLOOKUP(A85, 'ANEXO A'!$A$2:$L$94, 9, FALSE), "")</f>
        <v/>
      </c>
      <c r="G85" s="38">
        <f>IFERROR(VLOOKUP(A85, 'ANEXO A'!$A$2:$L$94, 10, FALSE), "")</f>
        <v/>
      </c>
      <c r="H85" s="38">
        <f>IFERROR(VLOOKUP(A85, 'ANEXO A'!$A$2:$L$94, 12, FALSE), "")</f>
        <v/>
      </c>
      <c r="I85" s="91" t="inlineStr">
        <is>
          <t>6.11 Cuentas Críticas (FiltraWeb): Bloqueo de sitios web maliciosos, redes no laborales y categorías de riesgo (GSO-GSI-MP-GSI).</t>
        </is>
      </c>
    </row>
    <row r="86" ht="33.75" customHeight="1" s="106">
      <c r="A86" s="33">
        <f>'ANEXO A'!A86</f>
        <v/>
      </c>
      <c r="B86" s="112">
        <f>IFERROR(VLOOKUP(A86, 'ANEXO A'!$A$2:$L$94, 2, FALSE), "")</f>
        <v/>
      </c>
      <c r="C86" s="33">
        <f>IF(LEFT(A86,1)="5", "5. Organizacionales", IF(LEFT(A86,1)="6", "6. Personas", IF(LEFT(A86,1)="7", "7. Físicos", "8. Tecnológicos")))</f>
        <v/>
      </c>
      <c r="D86" s="33">
        <f>IFERROR(VLOOKUP(A86, 'ANEXO A'!$A$2:$L$94, 11, FALSE), "")</f>
        <v/>
      </c>
      <c r="E86" s="38">
        <f>IFERROR(VLOOKUP(A86, 'ANEXO A'!$A$2:$L$94, 8, FALSE), "")</f>
        <v/>
      </c>
      <c r="F86" s="90">
        <f>IFERROR(VLOOKUP(A86, 'ANEXO A'!$A$2:$L$94, 9, FALSE), "")</f>
        <v/>
      </c>
      <c r="G86" s="38">
        <f>IFERROR(VLOOKUP(A86, 'ANEXO A'!$A$2:$L$94, 10, FALSE), "")</f>
        <v/>
      </c>
      <c r="H86" s="38">
        <f>IFERROR(VLOOKUP(A86, 'ANEXO A'!$A$2:$L$94, 12, FALSE), "")</f>
        <v/>
      </c>
      <c r="I86" s="91" t="inlineStr">
        <is>
          <t>Anexo 1 SEPS 002 (Gestión de software): Definición de requisitos de autenticación, transaccionalidad y cifrado en nuevas soluciones (SEPS-2022-002).</t>
        </is>
      </c>
    </row>
    <row r="87" ht="33.75" customHeight="1" s="106">
      <c r="A87" s="33">
        <f>'ANEXO A'!A87</f>
        <v/>
      </c>
      <c r="B87" s="112">
        <f>IFERROR(VLOOKUP(A87, 'ANEXO A'!$A$2:$L$94, 2, FALSE), "")</f>
        <v/>
      </c>
      <c r="C87" s="33">
        <f>IF(LEFT(A87,1)="5", "5. Organizacionales", IF(LEFT(A87,1)="6", "6. Personas", IF(LEFT(A87,1)="7", "7. Físicos", "8. Tecnológicos")))</f>
        <v/>
      </c>
      <c r="D87" s="33">
        <f>IFERROR(VLOOKUP(A87, 'ANEXO A'!$A$2:$L$94, 11, FALSE), "")</f>
        <v/>
      </c>
      <c r="E87" s="38">
        <f>IFERROR(VLOOKUP(A87, 'ANEXO A'!$A$2:$L$94, 8, FALSE), "")</f>
        <v/>
      </c>
      <c r="F87" s="90">
        <f>IFERROR(VLOOKUP(A87, 'ANEXO A'!$A$2:$L$94, 9, FALSE), "")</f>
        <v/>
      </c>
      <c r="G87" s="38">
        <f>IFERROR(VLOOKUP(A87, 'ANEXO A'!$A$2:$L$94, 10, FALSE), "")</f>
        <v/>
      </c>
      <c r="H87" s="38">
        <f>IFERROR(VLOOKUP(A87, 'ANEXO A'!$A$2:$L$94, 12, FALSE), "")</f>
        <v/>
      </c>
      <c r="I87" s="91" t="inlineStr">
        <is>
          <t>Anexo 1 SEPS 002 (Arquitectura Segura): Aplicación de principios de defensa en profundidad, zonas desmilitarizadas y segmentación (SEPS-2022-002).</t>
        </is>
      </c>
    </row>
    <row r="88" ht="33.75" customHeight="1" s="106">
      <c r="A88" s="33">
        <f>'ANEXO A'!A88</f>
        <v/>
      </c>
      <c r="B88" s="112">
        <f>IFERROR(VLOOKUP(A88, 'ANEXO A'!$A$2:$L$94, 2, FALSE), "")</f>
        <v/>
      </c>
      <c r="C88" s="33">
        <f>IF(LEFT(A88,1)="5", "5. Organizacionales", IF(LEFT(A88,1)="6", "6. Personas", IF(LEFT(A88,1)="7", "7. Físicos", "8. Tecnológicos")))</f>
        <v/>
      </c>
      <c r="D88" s="33">
        <f>IFERROR(VLOOKUP(A88, 'ANEXO A'!$A$2:$L$94, 11, FALSE), "")</f>
        <v/>
      </c>
      <c r="E88" s="38">
        <f>IFERROR(VLOOKUP(A88, 'ANEXO A'!$A$2:$L$94, 8, FALSE), "")</f>
        <v/>
      </c>
      <c r="F88" s="90">
        <f>IFERROR(VLOOKUP(A88, 'ANEXO A'!$A$2:$L$94, 9, FALSE), "")</f>
        <v/>
      </c>
      <c r="G88" s="38">
        <f>IFERROR(VLOOKUP(A88, 'ANEXO A'!$A$2:$L$94, 10, FALSE), "")</f>
        <v/>
      </c>
      <c r="H88" s="38">
        <f>IFERROR(VLOOKUP(A88, 'ANEXO A'!$A$2:$L$94, 12, FALSE), "")</f>
        <v/>
      </c>
      <c r="I88" s="91" t="inlineStr">
        <is>
          <t>Anexo 1 SEPS / OWASP: Implementación de buenas prácticas de programación para evitar inyecciones, XSS y fallos lógicos (SEPS-2022-002 / ISO 27002).</t>
        </is>
      </c>
    </row>
    <row r="89" ht="45" customHeight="1" s="106">
      <c r="A89" s="33">
        <f>'ANEXO A'!A89</f>
        <v/>
      </c>
      <c r="B89" s="112">
        <f>IFERROR(VLOOKUP(A89, 'ANEXO A'!$A$2:$L$94, 2, FALSE), "")</f>
        <v/>
      </c>
      <c r="C89" s="33">
        <f>IF(LEFT(A89,1)="5", "5. Organizacionales", IF(LEFT(A89,1)="6", "6. Personas", IF(LEFT(A89,1)="7", "7. Físicos", "8. Tecnológicos")))</f>
        <v/>
      </c>
      <c r="D89" s="33">
        <f>IFERROR(VLOOKUP(A89, 'ANEXO A'!$A$2:$L$94, 11, FALSE), "")</f>
        <v/>
      </c>
      <c r="E89" s="38">
        <f>IFERROR(VLOOKUP(A89, 'ANEXO A'!$A$2:$L$94, 8, FALSE), "")</f>
        <v/>
      </c>
      <c r="F89" s="90">
        <f>IFERROR(VLOOKUP(A89, 'ANEXO A'!$A$2:$L$94, 9, FALSE), "")</f>
        <v/>
      </c>
      <c r="G89" s="38">
        <f>IFERROR(VLOOKUP(A89, 'ANEXO A'!$A$2:$L$94, 10, FALSE), "")</f>
        <v/>
      </c>
      <c r="H89" s="38">
        <f>IFERROR(VLOOKUP(A89, 'ANEXO A'!$A$2:$L$94, 12, FALSE), "")</f>
        <v/>
      </c>
      <c r="I89" s="91" t="inlineStr">
        <is>
          <t>6.19 Escaneo / Anexo 1 SEPS: Ejecución de pruebas de vulnerabilidad, análisis estático y pruebas de aceptación previas a pase a producción (GSO-GSI-MP-GSI / SEPS-2022-002).</t>
        </is>
      </c>
    </row>
    <row r="90" ht="33.75" customHeight="1" s="106">
      <c r="A90" s="33">
        <f>'ANEXO A'!A90</f>
        <v/>
      </c>
      <c r="B90" s="112">
        <f>IFERROR(VLOOKUP(A90, 'ANEXO A'!$A$2:$L$94, 2, FALSE), "")</f>
        <v/>
      </c>
      <c r="C90" s="33">
        <f>IF(LEFT(A90,1)="5", "5. Organizacionales", IF(LEFT(A90,1)="6", "6. Personas", IF(LEFT(A90,1)="7", "7. Físicos", "8. Tecnológicos")))</f>
        <v/>
      </c>
      <c r="D90" s="33">
        <f>IFERROR(VLOOKUP(A90, 'ANEXO A'!$A$2:$L$94, 11, FALSE), "")</f>
        <v/>
      </c>
      <c r="E90" s="38">
        <f>IFERROR(VLOOKUP(A90, 'ANEXO A'!$A$2:$L$94, 8, FALSE), "")</f>
        <v/>
      </c>
      <c r="F90" s="90">
        <f>IFERROR(VLOOKUP(A90, 'ANEXO A'!$A$2:$L$94, 9, FALSE), "")</f>
        <v/>
      </c>
      <c r="G90" s="38">
        <f>IFERROR(VLOOKUP(A90, 'ANEXO A'!$A$2:$L$94, 10, FALSE), "")</f>
        <v/>
      </c>
      <c r="H90" s="38">
        <f>IFERROR(VLOOKUP(A90, 'ANEXO A'!$A$2:$L$94, 12, FALSE), "")</f>
        <v/>
      </c>
      <c r="I90" s="91" t="inlineStr">
        <is>
          <t>Anexo 1 SEPS / Disposición 2da: Exigir entrega de código probado, escaneos de seguridad y cumplimiento normativo a fábricas de software (SEPS-2022-002).</t>
        </is>
      </c>
    </row>
    <row r="91" ht="33.75" customHeight="1" s="106">
      <c r="A91" s="33">
        <f>'ANEXO A'!A91</f>
        <v/>
      </c>
      <c r="B91" s="112">
        <f>IFERROR(VLOOKUP(A91, 'ANEXO A'!$A$2:$L$94, 2, FALSE), "")</f>
        <v/>
      </c>
      <c r="C91" s="33">
        <f>IF(LEFT(A91,1)="5", "5. Organizacionales", IF(LEFT(A91,1)="6", "6. Personas", IF(LEFT(A91,1)="7", "7. Físicos", "8. Tecnológicos")))</f>
        <v/>
      </c>
      <c r="D91" s="33">
        <f>IFERROR(VLOOKUP(A91, 'ANEXO A'!$A$2:$L$94, 11, FALSE), "")</f>
        <v/>
      </c>
      <c r="E91" s="38">
        <f>IFERROR(VLOOKUP(A91, 'ANEXO A'!$A$2:$L$94, 8, FALSE), "")</f>
        <v/>
      </c>
      <c r="F91" s="90">
        <f>IFERROR(VLOOKUP(A91, 'ANEXO A'!$A$2:$L$94, 9, FALSE), "")</f>
        <v/>
      </c>
      <c r="G91" s="38">
        <f>IFERROR(VLOOKUP(A91, 'ANEXO A'!$A$2:$L$94, 10, FALSE), "")</f>
        <v/>
      </c>
      <c r="H91" s="38">
        <f>IFERROR(VLOOKUP(A91, 'ANEXO A'!$A$2:$L$94, 12, FALSE), "")</f>
        <v/>
      </c>
      <c r="I91" s="91" t="inlineStr">
        <is>
          <t>Anexo 1 SEPS (Desarrollo y Pruebas): Aislamiento estricto de ambientes de desarrollo, pruebas y producción sin uso de datos reales (SEPS-2022-002).</t>
        </is>
      </c>
    </row>
    <row r="92" ht="33.75" customHeight="1" s="106">
      <c r="A92" s="33">
        <f>'ANEXO A'!A92</f>
        <v/>
      </c>
      <c r="B92" s="112">
        <f>IFERROR(VLOOKUP(A92, 'ANEXO A'!$A$2:$L$94, 2, FALSE), "")</f>
        <v/>
      </c>
      <c r="C92" s="33">
        <f>IF(LEFT(A92,1)="5", "5. Organizacionales", IF(LEFT(A92,1)="6", "6. Personas", IF(LEFT(A92,1)="7", "7. Físicos", "8. Tecnológicos")))</f>
        <v/>
      </c>
      <c r="D92" s="33">
        <f>IFERROR(VLOOKUP(A92, 'ANEXO A'!$A$2:$L$94, 11, FALSE), "")</f>
        <v/>
      </c>
      <c r="E92" s="38">
        <f>IFERROR(VLOOKUP(A92, 'ANEXO A'!$A$2:$L$94, 8, FALSE), "")</f>
        <v/>
      </c>
      <c r="F92" s="90">
        <f>IFERROR(VLOOKUP(A92, 'ANEXO A'!$A$2:$L$94, 9, FALSE), "")</f>
        <v/>
      </c>
      <c r="G92" s="38">
        <f>IFERROR(VLOOKUP(A92, 'ANEXO A'!$A$2:$L$94, 10, FALSE), "")</f>
        <v/>
      </c>
      <c r="H92" s="38">
        <f>IFERROR(VLOOKUP(A92, 'ANEXO A'!$A$2:$L$94, 12, FALSE), "")</f>
        <v/>
      </c>
      <c r="I92" s="91" t="inlineStr">
        <is>
          <t>Anexo 1 SEPS (Gestión de Cambios): Procedimiento formal de solicitud, evaluación de impacto de seguridad, aprobación y rollback de cambios (SEPS-2022-002).</t>
        </is>
      </c>
    </row>
    <row r="93" ht="33.75" customHeight="1" s="106">
      <c r="A93" s="33">
        <f>'ANEXO A'!A93</f>
        <v/>
      </c>
      <c r="B93" s="112">
        <f>IFERROR(VLOOKUP(A93, 'ANEXO A'!$A$2:$L$94, 2, FALSE), "")</f>
        <v/>
      </c>
      <c r="C93" s="33">
        <f>IF(LEFT(A93,1)="5", "5. Organizacionales", IF(LEFT(A93,1)="6", "6. Personas", IF(LEFT(A93,1)="7", "7. Físicos", "8. Tecnológicos")))</f>
        <v/>
      </c>
      <c r="D93" s="33">
        <f>IFERROR(VLOOKUP(A93, 'ANEXO A'!$A$2:$L$94, 11, FALSE), "")</f>
        <v/>
      </c>
      <c r="E93" s="38">
        <f>IFERROR(VLOOKUP(A93, 'ANEXO A'!$A$2:$L$94, 8, FALSE), "")</f>
        <v/>
      </c>
      <c r="F93" s="90">
        <f>IFERROR(VLOOKUP(A93, 'ANEXO A'!$A$2:$L$94, 9, FALSE), "")</f>
        <v/>
      </c>
      <c r="G93" s="38">
        <f>IFERROR(VLOOKUP(A93, 'ANEXO A'!$A$2:$L$94, 10, FALSE), "")</f>
        <v/>
      </c>
      <c r="H93" s="38">
        <f>IFERROR(VLOOKUP(A93, 'ANEXO A'!$A$2:$L$94, 12, FALSE), "")</f>
        <v/>
      </c>
      <c r="I93" s="91" t="inlineStr">
        <is>
          <t>6.17 PCI DSS / Anexo 1 SEPS: Uso de datos ficticios, anonimizados u ofuscados para las pruebas de aplicaciones (GSO-GSI-MP-GSI / SEPS-2022-002).</t>
        </is>
      </c>
    </row>
    <row r="94" ht="33.75" customHeight="1" s="106">
      <c r="A94" s="33">
        <f>'ANEXO A'!A94</f>
        <v/>
      </c>
      <c r="B94" s="112">
        <f>IFERROR(VLOOKUP(A94, 'ANEXO A'!$A$2:$L$94, 2, FALSE), "")</f>
        <v/>
      </c>
      <c r="C94" s="33">
        <f>IF(LEFT(A94,1)="5", "5. Organizacionales", IF(LEFT(A94,1)="6", "6. Personas", IF(LEFT(A94,1)="7", "7. Físicos", "8. Tecnológicos")))</f>
        <v/>
      </c>
      <c r="D94" s="33">
        <f>IFERROR(VLOOKUP(A94, 'ANEXO A'!$A$2:$L$94, 11, FALSE), "")</f>
        <v/>
      </c>
      <c r="E94" s="38">
        <f>IFERROR(VLOOKUP(A94, 'ANEXO A'!$A$2:$L$94, 8, FALSE), "")</f>
        <v/>
      </c>
      <c r="F94" s="90">
        <f>IFERROR(VLOOKUP(A94, 'ANEXO A'!$A$2:$L$94, 9, FALSE), "")</f>
        <v/>
      </c>
      <c r="G94" s="38">
        <f>IFERROR(VLOOKUP(A94, 'ANEXO A'!$A$2:$L$94, 10, FALSE), "")</f>
        <v/>
      </c>
      <c r="H94" s="38">
        <f>IFERROR(VLOOKUP(A94, 'ANEXO A'!$A$2:$L$94, 12, FALSE), "")</f>
        <v/>
      </c>
      <c r="I94" s="91" t="inlineStr">
        <is>
          <t>6.19 Escaneo (Pol. 1): Realización de pruebas intrusivas y de auditoría en horarios no laborables y con autorización previa (GSO-GSI-MP-GSI).</t>
        </is>
      </c>
    </row>
  </sheetData>
  <autoFilter ref="A1:N94"/>
  <conditionalFormatting sqref="J2:J94">
    <cfRule type="cellIs" priority="1" operator="equal" dxfId="2">
      <formula>"Implementado"</formula>
    </cfRule>
    <cfRule type="cellIs" priority="2" operator="equal" dxfId="1">
      <formula>"En Proceso"</formula>
    </cfRule>
    <cfRule type="cellIs" priority="3" operator="equal" dxfId="0">
      <formula>"No Implementado"</formula>
    </cfRule>
  </conditionalFormatting>
  <dataValidations count="1">
    <dataValidation sqref="K2:K94" showDropDown="0" showInputMessage="0" showErrorMessage="0" allowBlank="1" type="list">
      <formula1>"[PR] Prevención,[DR] Disuasión,[EL] Eliminación,[IM] Minimización,[CR] Corrección,[RC] Recuperación,[MN] Monitorización,[DC] Detección,[AW] Concienciación,[AD] Administración"</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94"/>
  <sheetViews>
    <sheetView workbookViewId="0">
      <selection activeCell="L3" sqref="L3"/>
    </sheetView>
  </sheetViews>
  <sheetFormatPr baseColWidth="10" defaultColWidth="9.33203125" defaultRowHeight="11.25"/>
  <cols>
    <col width="9.33203125" customWidth="1" style="38" min="1" max="1"/>
    <col width="24.1640625" customWidth="1" style="38" min="2" max="2"/>
    <col width="18.83203125" customWidth="1" style="38" min="3" max="3"/>
    <col width="9.33203125" customWidth="1" style="38" min="4" max="4"/>
    <col width="18" customWidth="1" style="38" min="5" max="5"/>
    <col width="20.83203125" customWidth="1" style="38" min="6" max="6"/>
    <col width="15.33203125" customWidth="1" style="38" min="7" max="7"/>
    <col width="21.83203125" customWidth="1" style="38" min="8" max="8"/>
    <col width="38.1640625" customWidth="1" style="38" min="9" max="9"/>
    <col width="32.1640625" customWidth="1" style="112" min="10" max="10"/>
    <col width="46.83203125" customWidth="1" style="112" min="11" max="11"/>
    <col width="37.1640625" customWidth="1" style="112" min="12" max="12"/>
    <col width="18" customWidth="1" style="38" min="13" max="13"/>
    <col width="17.1640625" customWidth="1" style="38" min="14" max="14"/>
    <col width="20.5" customWidth="1" style="38" min="15" max="15"/>
    <col width="22.6640625" customWidth="1" style="38" min="16" max="16"/>
    <col width="23.6640625" customWidth="1" style="38" min="17" max="17"/>
    <col width="9.33203125" customWidth="1" style="38" min="18" max="18"/>
    <col width="9.33203125" customWidth="1" style="38" min="19" max="16384"/>
  </cols>
  <sheetData>
    <row r="1" ht="33.75" customFormat="1" customHeight="1" s="112">
      <c r="A1" s="94" t="inlineStr">
        <is>
          <t>ID Control</t>
        </is>
      </c>
      <c r="B1" s="94" t="inlineStr">
        <is>
          <t>Nombre del Control</t>
        </is>
      </c>
      <c r="C1" s="94" t="inlineStr">
        <is>
          <t>Dominio ISO 27001</t>
        </is>
      </c>
      <c r="D1" s="94" t="inlineStr">
        <is>
          <t>¿Aplica?</t>
        </is>
      </c>
      <c r="E1" s="94" t="inlineStr">
        <is>
          <t>Obligatoriedad Regulatoria SEPS</t>
        </is>
      </c>
      <c r="F1" s="94" t="inlineStr">
        <is>
          <t>Control Metodología GSO-GSI</t>
        </is>
      </c>
      <c r="G1" s="94" t="inlineStr">
        <is>
          <t>Origen de Aplicabilidad</t>
        </is>
      </c>
      <c r="H1" s="94" t="inlineStr">
        <is>
          <t>Justificación Inclusión / Exclusión</t>
        </is>
      </c>
      <c r="I1" s="93" t="inlineStr">
        <is>
          <t>Acción</t>
        </is>
      </c>
      <c r="J1" s="93" t="inlineStr">
        <is>
          <t>Tareas</t>
        </is>
      </c>
      <c r="K1" s="93" t="inlineStr">
        <is>
          <t>Objetivo</t>
        </is>
      </c>
      <c r="L1" s="93" t="inlineStr">
        <is>
          <t>Control</t>
        </is>
      </c>
      <c r="M1" s="93" t="inlineStr">
        <is>
          <t>Estado de Implementación</t>
        </is>
      </c>
      <c r="N1" s="93" t="inlineStr">
        <is>
          <t>Tipo de Protección</t>
        </is>
      </c>
      <c r="O1" s="93" t="inlineStr">
        <is>
          <t>Nivel de Madurez / Efectividad</t>
        </is>
      </c>
      <c r="P1" s="93" t="inlineStr">
        <is>
          <t>Riesgos / Amenazas que Mitiga</t>
        </is>
      </c>
      <c r="Q1" s="93" t="inlineStr">
        <is>
          <t>Evidencia / Documentación Asociada</t>
        </is>
      </c>
    </row>
    <row r="2" ht="67.5" customHeight="1" s="106">
      <c r="A2" s="38">
        <f>'ANEXO A'!A2</f>
        <v/>
      </c>
      <c r="B2" s="38">
        <f>IFERROR(VLOOKUP(A2, 'ANEXO A'!$A$2:$L$94, 2, FALSE), "")</f>
        <v/>
      </c>
      <c r="C2" s="38">
        <f>IF(LEFT(A2,1)="5", "5. Organizacionales", IF(LEFT(A2,1)="6", "6. Personas", IF(LEFT(A2,1)="7", "7. Físicos", "8. Tecnológicos")))</f>
        <v/>
      </c>
      <c r="D2" s="38">
        <f>IFERROR(VLOOKUP(A2, 'ANEXO A'!$A$2:$L$94, 11, FALSE), "")</f>
        <v/>
      </c>
      <c r="E2" s="38">
        <f>IFERROR(VLOOKUP(A2, 'ANEXO A'!$A$2:$L$94, 8, FALSE), "")</f>
        <v/>
      </c>
      <c r="F2" s="38">
        <f>IFERROR(VLOOKUP(A2, 'ANEXO A'!$A$2:$L$94, 9, FALSE), "")</f>
        <v/>
      </c>
      <c r="G2" s="38">
        <f>IFERROR(VLOOKUP(A2, 'ANEXO A'!$A$2:$L$94, 10, FALSE), "")</f>
        <v/>
      </c>
      <c r="H2" s="38">
        <f>IFERROR(VLOOKUP(A2, 'ANEXO A'!$A$2:$L$94, 12, FALSE), "")</f>
        <v/>
      </c>
      <c r="I2" s="38" t="inlineStr">
        <is>
          <t>6.1. Políticas Generales - Establecer directrices de seguridad (GSO-GSI-MP-GSI)</t>
        </is>
      </c>
      <c r="J2" s="112">
        <f>"• Establecer lineamientos para " &amp; IFERROR(VLOOKUP(A2, 'ANEXO A'!$A$2:$L$94, 2, FALSE), "Este Control") &amp; CHAR(10) &amp; "• Definir roles para el control " &amp; A2 &amp; CHAR(10) &amp; "• Revisar efectividad de " &amp; IFERROR(VLOOKUP(A2, 'ANEXO A'!$A$2:$L$94, 2, FALSE), "Este Control")</f>
        <v/>
      </c>
      <c r="K2" s="112" t="inlineStr">
        <is>
          <t>Asegurar el cumplimiento, control y resguardo continuo de los procesos de Políticas para la seguridad de la información a fin de mitigar riesgos y mantener la alineación a los principios de confidencialidad, integridad y disponibilidad aplicables a este dominio.</t>
        </is>
      </c>
      <c r="L2" s="112" t="inlineStr">
        <is>
          <t>La organización deberá implementar, registrar y monitorear operativamente todos los protocolos relacionados a Políticas para la seguridad de la información, estableciendo políticas técnicas correspondientes.</t>
        </is>
      </c>
    </row>
    <row r="3" ht="78.75" customHeight="1" s="106">
      <c r="A3" s="38">
        <f>'ANEXO A'!A3</f>
        <v/>
      </c>
      <c r="B3" s="38">
        <f>IFERROR(VLOOKUP(A3, 'ANEXO A'!$A$2:$L$94, 2, FALSE), "")</f>
        <v/>
      </c>
      <c r="C3" s="38">
        <f>IF(LEFT(A3,1)="5", "5. Organizacionales", IF(LEFT(A3,1)="6", "6. Personas", IF(LEFT(A3,1)="7", "7. Físicos", "8. Tecnológicos")))</f>
        <v/>
      </c>
      <c r="D3" s="38">
        <f>IFERROR(VLOOKUP(A3, 'ANEXO A'!$A$2:$L$94, 11, FALSE), "")</f>
        <v/>
      </c>
      <c r="E3" s="38">
        <f>IFERROR(VLOOKUP(A3, 'ANEXO A'!$A$2:$L$94, 8, FALSE), "")</f>
        <v/>
      </c>
      <c r="F3" s="38">
        <f>IFERROR(VLOOKUP(A3, 'ANEXO A'!$A$2:$L$94, 9, FALSE), "")</f>
        <v/>
      </c>
      <c r="G3" s="38">
        <f>IFERROR(VLOOKUP(A3, 'ANEXO A'!$A$2:$L$94, 10, FALSE), "")</f>
        <v/>
      </c>
      <c r="H3" s="38">
        <f>IFERROR(VLOOKUP(A3, 'ANEXO A'!$A$2:$L$94, 12, FALSE), "")</f>
        <v/>
      </c>
      <c r="I3" s="38" t="inlineStr">
        <is>
          <t>6.1 Políticas Generales / Sec. 12 SEPS 002: Definir, asignar y comunicar formalmente las funciones del Oficial/Jefe de SI, custodios y comités (GSO-GSI-MP-GSI / SEPS-2022-002).</t>
        </is>
      </c>
      <c r="J3" s="112">
        <f>"• Establecer lineamientos para " &amp; IFERROR(VLOOKUP(A3, 'ANEXO A'!$A$2:$L$94, 2, FALSE), "Este Control") &amp; CHAR(10) &amp; "• Definir roles para el control " &amp; A3 &amp; CHAR(10) &amp; "• Revisar efectividad de " &amp; IFERROR(VLOOKUP(A3, 'ANEXO A'!$A$2:$L$94, 2, FALSE), "Este Control")</f>
        <v/>
      </c>
      <c r="K3" s="112" t="inlineStr">
        <is>
          <t>Asegurar el cumplimiento, control y resguardo continuo de los procesos de Funciones y responsabilidades de seguridad de la información a fin de mitigar riesgos y mantener la alineación a los principios de confidencialidad, integridad y disponibilidad aplicables a este dominio.</t>
        </is>
      </c>
      <c r="L3" s="112" t="inlineStr">
        <is>
          <t>La organización deberá implementar, registrar y monitorear operativamente todos los protocolos relacionados a Funciones y responsabilidades de seguridad de la información, estableciendo políticas técnicas correspondientes.</t>
        </is>
      </c>
    </row>
    <row r="4" ht="56.25" customHeight="1" s="106">
      <c r="A4" s="38">
        <f>'ANEXO A'!A4</f>
        <v/>
      </c>
      <c r="B4" s="38">
        <f>IFERROR(VLOOKUP(A4, 'ANEXO A'!$A$2:$L$94, 2, FALSE), "")</f>
        <v/>
      </c>
      <c r="C4" s="38">
        <f>IF(LEFT(A4,1)="5", "5. Organizacionales", IF(LEFT(A4,1)="6", "6. Personas", IF(LEFT(A4,1)="7", "7. Físicos", "8. Tecnológicos")))</f>
        <v/>
      </c>
      <c r="D4" s="38">
        <f>IFERROR(VLOOKUP(A4, 'ANEXO A'!$A$2:$L$94, 11, FALSE), "")</f>
        <v/>
      </c>
      <c r="E4" s="38">
        <f>IFERROR(VLOOKUP(A4, 'ANEXO A'!$A$2:$L$94, 8, FALSE), "")</f>
        <v/>
      </c>
      <c r="F4" s="38">
        <f>IFERROR(VLOOKUP(A4, 'ANEXO A'!$A$2:$L$94, 9, FALSE), "")</f>
        <v/>
      </c>
      <c r="G4" s="38">
        <f>IFERROR(VLOOKUP(A4, 'ANEXO A'!$A$2:$L$94, 10, FALSE), "")</f>
        <v/>
      </c>
      <c r="H4" s="38">
        <f>IFERROR(VLOOKUP(A4, 'ANEXO A'!$A$2:$L$94, 12, FALSE), "")</f>
        <v/>
      </c>
      <c r="I4" s="38" t="inlineStr">
        <is>
          <t>6.7 Administración de roles y perfiles: Parametrizar y validar incompatibilidad de funciones y accesos mediante matrices SoD y workflows (GSO-GSI-MP-GSI).</t>
        </is>
      </c>
      <c r="J4" s="112">
        <f>"• Establecer lineamientos para " &amp; IFERROR(VLOOKUP(A4, 'ANEXO A'!$A$2:$L$94, 2, FALSE), "Este Control") &amp; CHAR(10) &amp; "• Definir roles para el control " &amp; A4 &amp; CHAR(10) &amp; "• Revisar efectividad de " &amp; IFERROR(VLOOKUP(A4, 'ANEXO A'!$A$2:$L$94, 2, FALSE), "Este Control")</f>
        <v/>
      </c>
      <c r="K4" s="112" t="inlineStr">
        <is>
          <t>Asegurar el cumplimiento, control y resguardo continuo de los procesos de Segregación de funciones a fin de mitigar riesgos y mantener la alineación a los principios de confidencialidad, integridad y disponibilidad aplicables a este dominio.</t>
        </is>
      </c>
      <c r="L4" s="112" t="inlineStr">
        <is>
          <t>La organización deberá implementar, registrar y monitorear operativamente todos los protocolos relacionados a Segregación de funciones, estableciendo políticas técnicas correspondientes.</t>
        </is>
      </c>
    </row>
    <row r="5" ht="67.5" customHeight="1" s="106">
      <c r="A5" s="38">
        <f>'ANEXO A'!A5</f>
        <v/>
      </c>
      <c r="B5" s="38">
        <f>IFERROR(VLOOKUP(A5, 'ANEXO A'!$A$2:$L$94, 2, FALSE), "")</f>
        <v/>
      </c>
      <c r="C5" s="38">
        <f>IF(LEFT(A5,1)="5", "5. Organizacionales", IF(LEFT(A5,1)="6", "6. Personas", IF(LEFT(A5,1)="7", "7. Físicos", "8. Tecnológicos")))</f>
        <v/>
      </c>
      <c r="D5" s="38">
        <f>IFERROR(VLOOKUP(A5, 'ANEXO A'!$A$2:$L$94, 11, FALSE), "")</f>
        <v/>
      </c>
      <c r="E5" s="38">
        <f>IFERROR(VLOOKUP(A5, 'ANEXO A'!$A$2:$L$94, 8, FALSE), "")</f>
        <v/>
      </c>
      <c r="F5" s="38">
        <f>IFERROR(VLOOKUP(A5, 'ANEXO A'!$A$2:$L$94, 9, FALSE), "")</f>
        <v/>
      </c>
      <c r="G5" s="38">
        <f>IFERROR(VLOOKUP(A5, 'ANEXO A'!$A$2:$L$94, 10, FALSE), "")</f>
        <v/>
      </c>
      <c r="H5" s="38">
        <f>IFERROR(VLOOKUP(A5, 'ANEXO A'!$A$2:$L$94, 12, FALSE), "")</f>
        <v/>
      </c>
      <c r="I5" s="38" t="inlineStr">
        <is>
          <t>6.1 Políticas Generales / Sec. 12 SEPS 002: Compromiso de la Alta Dirección y jefaturas en la exigencia y cumplimiento de políticas de SI (GSO-GSI-MP-GSI / SEPS-2022-002).</t>
        </is>
      </c>
      <c r="J5" s="112">
        <f>"• Establecer lineamientos para " &amp; IFERROR(VLOOKUP(A5, 'ANEXO A'!$A$2:$L$94, 2, FALSE), "Este Control") &amp; CHAR(10) &amp; "• Definir roles para el control " &amp; A5 &amp; CHAR(10) &amp; "• Revisar efectividad de " &amp; IFERROR(VLOOKUP(A5, 'ANEXO A'!$A$2:$L$94, 2, FALSE), "Este Control")</f>
        <v/>
      </c>
      <c r="K5" s="112" t="inlineStr">
        <is>
          <t>Asegurar el cumplimiento, control y resguardo continuo de los procesos de Responsabilidades de la dirección a fin de mitigar riesgos y mantener la alineación a los principios de confidencialidad, integridad y disponibilidad aplicables a este dominio.</t>
        </is>
      </c>
      <c r="L5" s="112" t="inlineStr">
        <is>
          <t>La organización deberá implementar, registrar y monitorear operativamente todos los protocolos relacionados a Responsabilidades de la dirección, estableciendo políticas técnicas correspondientes.</t>
        </is>
      </c>
    </row>
    <row r="6" ht="56.25" customHeight="1" s="106">
      <c r="A6" s="38">
        <f>'ANEXO A'!A6</f>
        <v/>
      </c>
      <c r="B6" s="38">
        <f>IFERROR(VLOOKUP(A6, 'ANEXO A'!$A$2:$L$94, 2, FALSE), "")</f>
        <v/>
      </c>
      <c r="C6" s="38">
        <f>IF(LEFT(A6,1)="5", "5. Organizacionales", IF(LEFT(A6,1)="6", "6. Personas", IF(LEFT(A6,1)="7", "7. Físicos", "8. Tecnológicos")))</f>
        <v/>
      </c>
      <c r="D6" s="38">
        <f>IFERROR(VLOOKUP(A6, 'ANEXO A'!$A$2:$L$94, 11, FALSE), "")</f>
        <v/>
      </c>
      <c r="E6" s="38">
        <f>IFERROR(VLOOKUP(A6, 'ANEXO A'!$A$2:$L$94, 8, FALSE), "")</f>
        <v/>
      </c>
      <c r="F6" s="38">
        <f>IFERROR(VLOOKUP(A6, 'ANEXO A'!$A$2:$L$94, 9, FALSE), "")</f>
        <v/>
      </c>
      <c r="G6" s="38">
        <f>IFERROR(VLOOKUP(A6, 'ANEXO A'!$A$2:$L$94, 10, FALSE), "")</f>
        <v/>
      </c>
      <c r="H6" s="38">
        <f>IFERROR(VLOOKUP(A6, 'ANEXO A'!$A$2:$L$94, 12, FALSE), "")</f>
        <v/>
      </c>
      <c r="I6" s="38" t="inlineStr">
        <is>
          <t>Disposición General 1era SEPS 002 / 6.15 Gestión de Incidentes: Notificación obligatoria e inmediata a la SEPS, Fiscalía y entes de control ante eventos críticos (SEPS-2022-002 / GSO-GSI-MP-GSI).</t>
        </is>
      </c>
      <c r="J6" s="112">
        <f>"• Establecer lineamientos para " &amp; IFERROR(VLOOKUP(A6, 'ANEXO A'!$A$2:$L$94, 2, FALSE), "Este Control") &amp; CHAR(10) &amp; "• Definir roles para el control " &amp; A6 &amp; CHAR(10) &amp; "• Revisar efectividad de " &amp; IFERROR(VLOOKUP(A6, 'ANEXO A'!$A$2:$L$94, 2, FALSE), "Este Control")</f>
        <v/>
      </c>
      <c r="K6" s="112" t="inlineStr">
        <is>
          <t>Asegurar el cumplimiento, control y resguardo continuo de los procesos de Contacto con las autoridades a fin de mitigar riesgos y mantener la alineación a los principios de confidencialidad, integridad y disponibilidad aplicables a este dominio.</t>
        </is>
      </c>
      <c r="L6" s="112" t="inlineStr">
        <is>
          <t>La organización deberá implementar, registrar y monitorear operativamente todos los protocolos relacionados a Contacto con las autoridades, estableciendo políticas técnicas correspondientes.</t>
        </is>
      </c>
    </row>
    <row r="7" ht="67.5" customHeight="1" s="106">
      <c r="A7" s="38">
        <f>'ANEXO A'!A7</f>
        <v/>
      </c>
      <c r="B7" s="38">
        <f>IFERROR(VLOOKUP(A7, 'ANEXO A'!$A$2:$L$94, 2, FALSE), "")</f>
        <v/>
      </c>
      <c r="C7" s="38">
        <f>IF(LEFT(A7,1)="5", "5. Organizacionales", IF(LEFT(A7,1)="6", "6. Personas", IF(LEFT(A7,1)="7", "7. Físicos", "8. Tecnológicos")))</f>
        <v/>
      </c>
      <c r="D7" s="38">
        <f>IFERROR(VLOOKUP(A7, 'ANEXO A'!$A$2:$L$94, 11, FALSE), "")</f>
        <v/>
      </c>
      <c r="E7" s="38">
        <f>IFERROR(VLOOKUP(A7, 'ANEXO A'!$A$2:$L$94, 8, FALSE), "")</f>
        <v/>
      </c>
      <c r="F7" s="38">
        <f>IFERROR(VLOOKUP(A7, 'ANEXO A'!$A$2:$L$94, 9, FALSE), "")</f>
        <v/>
      </c>
      <c r="G7" s="38">
        <f>IFERROR(VLOOKUP(A7, 'ANEXO A'!$A$2:$L$94, 10, FALSE), "")</f>
        <v/>
      </c>
      <c r="H7" s="38">
        <f>IFERROR(VLOOKUP(A7, 'ANEXO A'!$A$2:$L$94, 12, FALSE), "")</f>
        <v/>
      </c>
      <c r="I7" s="38" t="inlineStr">
        <is>
          <t>Marco Normativo y Alianzas: Mantener membresías, foros y canales de comunicación técnica con asociaciones del sector financiero popular y solidario (ISO 27002 / GSO-GSI-MP-GSI).</t>
        </is>
      </c>
      <c r="J7" s="112">
        <f>"• Establecer lineamientos para " &amp; IFERROR(VLOOKUP(A7, 'ANEXO A'!$A$2:$L$94, 2, FALSE), "Este Control") &amp; CHAR(10) &amp; "• Definir roles para el control " &amp; A7 &amp; CHAR(10) &amp; "• Revisar efectividad de " &amp; IFERROR(VLOOKUP(A7, 'ANEXO A'!$A$2:$L$94, 2, FALSE), "Este Control")</f>
        <v/>
      </c>
      <c r="K7" s="112" t="inlineStr">
        <is>
          <t>Asegurar el cumplimiento, control y resguardo continuo de los procesos de Contacto con grupos de interés especial a fin de mitigar riesgos y mantener la alineación a los principios de confidencialidad, integridad y disponibilidad aplicables a este dominio.</t>
        </is>
      </c>
      <c r="L7" s="112" t="inlineStr">
        <is>
          <t>La organización deberá implementar, registrar y monitorear operativamente todos los protocolos relacionados a Contacto con grupos de interés especial, estableciendo políticas técnicas correspondientes.</t>
        </is>
      </c>
    </row>
    <row r="8" ht="56.25" customHeight="1" s="106">
      <c r="A8" s="38">
        <f>'ANEXO A'!A8</f>
        <v/>
      </c>
      <c r="B8" s="38">
        <f>IFERROR(VLOOKUP(A8, 'ANEXO A'!$A$2:$L$94, 2, FALSE), "")</f>
        <v/>
      </c>
      <c r="C8" s="38">
        <f>IF(LEFT(A8,1)="5", "5. Organizacionales", IF(LEFT(A8,1)="6", "6. Personas", IF(LEFT(A8,1)="7", "7. Físicos", "8. Tecnológicos")))</f>
        <v/>
      </c>
      <c r="D8" s="38">
        <f>IFERROR(VLOOKUP(A8, 'ANEXO A'!$A$2:$L$94, 11, FALSE), "")</f>
        <v/>
      </c>
      <c r="E8" s="38">
        <f>IFERROR(VLOOKUP(A8, 'ANEXO A'!$A$2:$L$94, 8, FALSE), "")</f>
        <v/>
      </c>
      <c r="F8" s="38">
        <f>IFERROR(VLOOKUP(A8, 'ANEXO A'!$A$2:$L$94, 9, FALSE), "")</f>
        <v/>
      </c>
      <c r="G8" s="38">
        <f>IFERROR(VLOOKUP(A8, 'ANEXO A'!$A$2:$L$94, 10, FALSE), "")</f>
        <v/>
      </c>
      <c r="H8" s="38">
        <f>IFERROR(VLOOKUP(A8, 'ANEXO A'!$A$2:$L$94, 12, FALSE), "")</f>
        <v/>
      </c>
      <c r="I8" s="38" t="inlineStr">
        <is>
          <t>10.2 Metodología GAI / 6.19 Escaneo: Recopilación y análisis de fuentes de amenazas adversarias y no adversarias (S1-S40) (GSO-GSI-ME-GAI / GSO-GSI-MP-GSI).</t>
        </is>
      </c>
      <c r="J8" s="112">
        <f>"• Establecer lineamientos para " &amp; IFERROR(VLOOKUP(A8, 'ANEXO A'!$A$2:$L$94, 2, FALSE), "Este Control") &amp; CHAR(10) &amp; "• Definir roles para el control " &amp; A8 &amp; CHAR(10) &amp; "• Revisar efectividad de " &amp; IFERROR(VLOOKUP(A8, 'ANEXO A'!$A$2:$L$94, 2, FALSE), "Este Control")</f>
        <v/>
      </c>
      <c r="K8" s="112" t="inlineStr">
        <is>
          <t>Asegurar el cumplimiento, control y resguardo continuo de los procesos de Inteligencia de amenazas a fin de mitigar riesgos y mantener la alineación a los principios de confidencialidad, integridad y disponibilidad aplicables a este dominio.</t>
        </is>
      </c>
      <c r="L8" s="112" t="inlineStr">
        <is>
          <t>La organización deberá implementar, registrar y monitorear operativamente todos los protocolos relacionados a Inteligencia de amenazas, estableciendo políticas técnicas correspondientes.</t>
        </is>
      </c>
    </row>
    <row r="9" ht="78.75" customHeight="1" s="106">
      <c r="A9" s="38">
        <f>'ANEXO A'!A9</f>
        <v/>
      </c>
      <c r="B9" s="38">
        <f>IFERROR(VLOOKUP(A9, 'ANEXO A'!$A$2:$L$94, 2, FALSE), "")</f>
        <v/>
      </c>
      <c r="C9" s="38">
        <f>IF(LEFT(A9,1)="5", "5. Organizacionales", IF(LEFT(A9,1)="6", "6. Personas", IF(LEFT(A9,1)="7", "7. Físicos", "8. Tecnológicos")))</f>
        <v/>
      </c>
      <c r="D9" s="38">
        <f>IFERROR(VLOOKUP(A9, 'ANEXO A'!$A$2:$L$94, 11, FALSE), "")</f>
        <v/>
      </c>
      <c r="E9" s="38">
        <f>IFERROR(VLOOKUP(A9, 'ANEXO A'!$A$2:$L$94, 8, FALSE), "")</f>
        <v/>
      </c>
      <c r="F9" s="38">
        <f>IFERROR(VLOOKUP(A9, 'ANEXO A'!$A$2:$L$94, 9, FALSE), "")</f>
        <v/>
      </c>
      <c r="G9" s="38">
        <f>IFERROR(VLOOKUP(A9, 'ANEXO A'!$A$2:$L$94, 10, FALSE), "")</f>
        <v/>
      </c>
      <c r="H9" s="38">
        <f>IFERROR(VLOOKUP(A9, 'ANEXO A'!$A$2:$L$94, 12, FALSE), "")</f>
        <v/>
      </c>
      <c r="I9" s="38" t="inlineStr">
        <is>
          <t>6.13 Gestión de activos / Anexo 1 SEPS: Inclusión de directrices y análisis de riesgos de SI desde las fases iniciales de nuevos proyectos y servicios (GSO-GSI-ME-GAI / SEPS-2022-002).</t>
        </is>
      </c>
      <c r="J9" s="112">
        <f>"• Establecer lineamientos para " &amp; IFERROR(VLOOKUP(A9, 'ANEXO A'!$A$2:$L$94, 2, FALSE), "Este Control") &amp; CHAR(10) &amp; "• Definir roles para el control " &amp; A9 &amp; CHAR(10) &amp; "• Revisar efectividad de " &amp; IFERROR(VLOOKUP(A9, 'ANEXO A'!$A$2:$L$94, 2, FALSE), "Este Control")</f>
        <v/>
      </c>
      <c r="K9" s="112" t="inlineStr">
        <is>
          <t>Asegurar el cumplimiento, control y resguardo continuo de los procesos de Seguridad de la información en la gestión de proyectos a fin de mitigar riesgos y mantener la alineación a los principios de confidencialidad, integridad y disponibilidad aplicables a este dominio.</t>
        </is>
      </c>
      <c r="L9" s="112" t="inlineStr">
        <is>
          <t>La organización deberá implementar, registrar y monitorear operativamente todos los protocolos relacionados a Seguridad de la información en la gestión de proyectos, estableciendo políticas técnicas correspondientes.</t>
        </is>
      </c>
    </row>
    <row r="10" ht="78.75" customHeight="1" s="106">
      <c r="A10" s="38">
        <f>'ANEXO A'!A10</f>
        <v/>
      </c>
      <c r="B10" s="38">
        <f>IFERROR(VLOOKUP(A10, 'ANEXO A'!$A$2:$L$94, 2, FALSE), "")</f>
        <v/>
      </c>
      <c r="C10" s="38">
        <f>IF(LEFT(A10,1)="5", "5. Organizacionales", IF(LEFT(A10,1)="6", "6. Personas", IF(LEFT(A10,1)="7", "7. Físicos", "8. Tecnológicos")))</f>
        <v/>
      </c>
      <c r="D10" s="38">
        <f>IFERROR(VLOOKUP(A10, 'ANEXO A'!$A$2:$L$94, 11, FALSE), "")</f>
        <v/>
      </c>
      <c r="E10" s="38">
        <f>IFERROR(VLOOKUP(A10, 'ANEXO A'!$A$2:$L$94, 8, FALSE), "")</f>
        <v/>
      </c>
      <c r="F10" s="38">
        <f>IFERROR(VLOOKUP(A10, 'ANEXO A'!$A$2:$L$94, 9, FALSE), "")</f>
        <v/>
      </c>
      <c r="G10" s="38">
        <f>IFERROR(VLOOKUP(A10, 'ANEXO A'!$A$2:$L$94, 10, FALSE), "")</f>
        <v/>
      </c>
      <c r="H10" s="38">
        <f>IFERROR(VLOOKUP(A10, 'ANEXO A'!$A$2:$L$94, 12, FALSE), "")</f>
        <v/>
      </c>
      <c r="I10" s="38" t="inlineStr">
        <is>
          <t>6.13. Gestión de activos de información - Mantener un inventario actualizado (GSO-GSI-MP-GSI)</t>
        </is>
      </c>
      <c r="J10" s="112">
        <f>"• Establecer lineamientos para " &amp; IFERROR(VLOOKUP(A10, 'ANEXO A'!$A$2:$L$94, 2, FALSE), "Este Control") &amp; CHAR(10) &amp; "• Definir roles para el control " &amp; A10 &amp; CHAR(10) &amp; "• Revisar efectividad de " &amp; IFERROR(VLOOKUP(A10, 'ANEXO A'!$A$2:$L$94, 2, FALSE), "Este Control")</f>
        <v/>
      </c>
      <c r="K10" s="112" t="inlineStr">
        <is>
          <t>Asegurar el cumplimiento, control y resguardo continuo de los procesos de Inventario de información y otros activos asociados a fin de mitigar riesgos y mantener la alineación a los principios de confidencialidad, integridad y disponibilidad aplicables a este dominio.</t>
        </is>
      </c>
      <c r="L10" s="112" t="inlineStr">
        <is>
          <t>La organización deberá implementar, registrar y monitorear operativamente todos los protocolos relacionados a Inventario de información y otros activos asociados, estableciendo políticas técnicas correspondientes.</t>
        </is>
      </c>
    </row>
    <row r="11" ht="78.75" customHeight="1" s="106">
      <c r="A11" s="38">
        <f>'ANEXO A'!A11</f>
        <v/>
      </c>
      <c r="B11" s="38">
        <f>IFERROR(VLOOKUP(A11, 'ANEXO A'!$A$2:$L$94, 2, FALSE), "")</f>
        <v/>
      </c>
      <c r="C11" s="38">
        <f>IF(LEFT(A11,1)="5", "5. Organizacionales", IF(LEFT(A11,1)="6", "6. Personas", IF(LEFT(A11,1)="7", "7. Físicos", "8. Tecnológicos")))</f>
        <v/>
      </c>
      <c r="D11" s="38">
        <f>IFERROR(VLOOKUP(A11, 'ANEXO A'!$A$2:$L$94, 11, FALSE), "")</f>
        <v/>
      </c>
      <c r="E11" s="38">
        <f>IFERROR(VLOOKUP(A11, 'ANEXO A'!$A$2:$L$94, 8, FALSE), "")</f>
        <v/>
      </c>
      <c r="F11" s="38">
        <f>IFERROR(VLOOKUP(A11, 'ANEXO A'!$A$2:$L$94, 9, FALSE), "")</f>
        <v/>
      </c>
      <c r="G11" s="38">
        <f>IFERROR(VLOOKUP(A11, 'ANEXO A'!$A$2:$L$94, 10, FALSE), "")</f>
        <v/>
      </c>
      <c r="H11" s="38">
        <f>IFERROR(VLOOKUP(A11, 'ANEXO A'!$A$2:$L$94, 12, FALSE), "")</f>
        <v/>
      </c>
      <c r="I11" s="38" t="inlineStr">
        <is>
          <t>6.16 Revisión y monitoreo de políticas: Difundir y fiscalizar el uso legítimo de estaciones, correo y recursos corporativos (GSO-GSI-MP-GSI).</t>
        </is>
      </c>
      <c r="J11" s="112">
        <f>"• Establecer lineamientos para " &amp; IFERROR(VLOOKUP(A11, 'ANEXO A'!$A$2:$L$94, 2, FALSE), "Este Control") &amp; CHAR(10) &amp; "• Definir roles para el control " &amp; A11 &amp; CHAR(10) &amp; "• Revisar efectividad de " &amp; IFERROR(VLOOKUP(A11, 'ANEXO A'!$A$2:$L$94, 2, FALSE), "Este Control")</f>
        <v/>
      </c>
      <c r="K11" s="112" t="inlineStr">
        <is>
          <t>Asegurar el cumplimiento, control y resguardo continuo de los procesos de Uso aceptable de la información y otros activos asociados a fin de mitigar riesgos y mantener la alineación a los principios de confidencialidad, integridad y disponibilidad aplicables a este dominio.</t>
        </is>
      </c>
      <c r="L11" s="112" t="inlineStr">
        <is>
          <t>La organización deberá implementar, registrar y monitorear operativamente todos los protocolos relacionados a Uso aceptable de la información y otros activos asociados, estableciendo políticas técnicas correspondientes.</t>
        </is>
      </c>
    </row>
    <row r="12" ht="56.25" customHeight="1" s="106">
      <c r="A12" s="38">
        <f>'ANEXO A'!A12</f>
        <v/>
      </c>
      <c r="B12" s="38">
        <f>IFERROR(VLOOKUP(A12, 'ANEXO A'!$A$2:$L$94, 2, FALSE), "")</f>
        <v/>
      </c>
      <c r="C12" s="38">
        <f>IF(LEFT(A12,1)="5", "5. Organizacionales", IF(LEFT(A12,1)="6", "6. Personas", IF(LEFT(A12,1)="7", "7. Físicos", "8. Tecnológicos")))</f>
        <v/>
      </c>
      <c r="D12" s="38">
        <f>IFERROR(VLOOKUP(A12, 'ANEXO A'!$A$2:$L$94, 11, FALSE), "")</f>
        <v/>
      </c>
      <c r="E12" s="38">
        <f>IFERROR(VLOOKUP(A12, 'ANEXO A'!$A$2:$L$94, 8, FALSE), "")</f>
        <v/>
      </c>
      <c r="F12" s="38">
        <f>IFERROR(VLOOKUP(A12, 'ANEXO A'!$A$2:$L$94, 9, FALSE), "")</f>
        <v/>
      </c>
      <c r="G12" s="38">
        <f>IFERROR(VLOOKUP(A12, 'ANEXO A'!$A$2:$L$94, 10, FALSE), "")</f>
        <v/>
      </c>
      <c r="H12" s="38">
        <f>IFERROR(VLOOKUP(A12, 'ANEXO A'!$A$2:$L$94, 12, FALSE), "")</f>
        <v/>
      </c>
      <c r="I12" s="38" t="inlineStr">
        <is>
          <t>6.5 Eliminación de usuarios: Recepción formal y descargo de equipos, accesos y credenciales ante terminación o rotación laboral (GSO-GSI-MP-GSI / GSO-GSI-ME-GAI Sec. 1).</t>
        </is>
      </c>
      <c r="J12" s="112">
        <f>"• Establecer lineamientos para " &amp; IFERROR(VLOOKUP(A12, 'ANEXO A'!$A$2:$L$94, 2, FALSE), "Este Control") &amp; CHAR(10) &amp; "• Definir roles para el control " &amp; A12 &amp; CHAR(10) &amp; "• Revisar efectividad de " &amp; IFERROR(VLOOKUP(A12, 'ANEXO A'!$A$2:$L$94, 2, FALSE), "Este Control")</f>
        <v/>
      </c>
      <c r="K12" s="112" t="inlineStr">
        <is>
          <t>Asegurar el cumplimiento, control y resguardo continuo de los procesos de Devolución de activos a fin de mitigar riesgos y mantener la alineación a los principios de confidencialidad, integridad y disponibilidad aplicables a este dominio.</t>
        </is>
      </c>
      <c r="L12" s="112" t="inlineStr">
        <is>
          <t>La organización deberá implementar, registrar y monitorear operativamente todos los protocolos relacionados a Devolución de activos, estableciendo políticas técnicas correspondientes.</t>
        </is>
      </c>
    </row>
    <row r="13" ht="56.25" customHeight="1" s="106">
      <c r="A13" s="38">
        <f>'ANEXO A'!A13</f>
        <v/>
      </c>
      <c r="B13" s="38">
        <f>IFERROR(VLOOKUP(A13, 'ANEXO A'!$A$2:$L$94, 2, FALSE), "")</f>
        <v/>
      </c>
      <c r="C13" s="38">
        <f>IF(LEFT(A13,1)="5", "5. Organizacionales", IF(LEFT(A13,1)="6", "6. Personas", IF(LEFT(A13,1)="7", "7. Físicos", "8. Tecnológicos")))</f>
        <v/>
      </c>
      <c r="D13" s="38">
        <f>IFERROR(VLOOKUP(A13, 'ANEXO A'!$A$2:$L$94, 11, FALSE), "")</f>
        <v/>
      </c>
      <c r="E13" s="38">
        <f>IFERROR(VLOOKUP(A13, 'ANEXO A'!$A$2:$L$94, 8, FALSE), "")</f>
        <v/>
      </c>
      <c r="F13" s="38">
        <f>IFERROR(VLOOKUP(A13, 'ANEXO A'!$A$2:$L$94, 9, FALSE), "")</f>
        <v/>
      </c>
      <c r="G13" s="38">
        <f>IFERROR(VLOOKUP(A13, 'ANEXO A'!$A$2:$L$94, 10, FALSE), "")</f>
        <v/>
      </c>
      <c r="H13" s="38">
        <f>IFERROR(VLOOKUP(A13, 'ANEXO A'!$A$2:$L$94, 12, FALSE), "")</f>
        <v/>
      </c>
      <c r="I13" s="38" t="inlineStr">
        <is>
          <t>Sec. 7 y 8 Metodología GAI: Clasificación y valoración de activos en Confidencialidad, Integridad y Disponibilidad (Pública, Uso Interno, Restringida) (GSO-GSI-ME-GAI).</t>
        </is>
      </c>
      <c r="J13" s="112">
        <f>"• Establecer lineamientos para " &amp; IFERROR(VLOOKUP(A13, 'ANEXO A'!$A$2:$L$94, 2, FALSE), "Este Control") &amp; CHAR(10) &amp; "• Definir roles para el control " &amp; A13 &amp; CHAR(10) &amp; "• Revisar efectividad de " &amp; IFERROR(VLOOKUP(A13, 'ANEXO A'!$A$2:$L$94, 2, FALSE), "Este Control")</f>
        <v/>
      </c>
      <c r="K13" s="112" t="inlineStr">
        <is>
          <t>Asegurar el cumplimiento, control y resguardo continuo de los procesos de Clasificación de la información a fin de mitigar riesgos y mantener la alineación a los principios de confidencialidad, integridad y disponibilidad aplicables a este dominio.</t>
        </is>
      </c>
      <c r="L13" s="112" t="inlineStr">
        <is>
          <t>La organización deberá implementar, registrar y monitorear operativamente todos los protocolos relacionados a Clasificación de la información, estableciendo políticas técnicas correspondientes.</t>
        </is>
      </c>
    </row>
    <row r="14" ht="56.25" customHeight="1" s="106">
      <c r="A14" s="38">
        <f>'ANEXO A'!A14</f>
        <v/>
      </c>
      <c r="B14" s="38">
        <f>IFERROR(VLOOKUP(A14, 'ANEXO A'!$A$2:$L$94, 2, FALSE), "")</f>
        <v/>
      </c>
      <c r="C14" s="38">
        <f>IF(LEFT(A14,1)="5", "5. Organizacionales", IF(LEFT(A14,1)="6", "6. Personas", IF(LEFT(A14,1)="7", "7. Físicos", "8. Tecnológicos")))</f>
        <v/>
      </c>
      <c r="D14" s="38">
        <f>IFERROR(VLOOKUP(A14, 'ANEXO A'!$A$2:$L$94, 11, FALSE), "")</f>
        <v/>
      </c>
      <c r="E14" s="38">
        <f>IFERROR(VLOOKUP(A14, 'ANEXO A'!$A$2:$L$94, 8, FALSE), "")</f>
        <v/>
      </c>
      <c r="F14" s="38">
        <f>IFERROR(VLOOKUP(A14, 'ANEXO A'!$A$2:$L$94, 9, FALSE), "")</f>
        <v/>
      </c>
      <c r="G14" s="38">
        <f>IFERROR(VLOOKUP(A14, 'ANEXO A'!$A$2:$L$94, 10, FALSE), "")</f>
        <v/>
      </c>
      <c r="H14" s="38">
        <f>IFERROR(VLOOKUP(A14, 'ANEXO A'!$A$2:$L$94, 12, FALSE), "")</f>
        <v/>
      </c>
      <c r="I14" s="38" t="inlineStr">
        <is>
          <t>Sec. 5 y 7 Metodología GAI: Aplicación de lineamientos para marcado y rotulado de información física y digital según su confidencialidad (GSO-GSI-ME-GAI).</t>
        </is>
      </c>
      <c r="J14" s="112">
        <f>"• Establecer lineamientos para " &amp; IFERROR(VLOOKUP(A14, 'ANEXO A'!$A$2:$L$94, 2, FALSE), "Este Control") &amp; CHAR(10) &amp; "• Definir roles para el control " &amp; A14 &amp; CHAR(10) &amp; "• Revisar efectividad de " &amp; IFERROR(VLOOKUP(A14, 'ANEXO A'!$A$2:$L$94, 2, FALSE), "Este Control")</f>
        <v/>
      </c>
      <c r="K14" s="112" t="inlineStr">
        <is>
          <t>Asegurar el cumplimiento, control y resguardo continuo de los procesos de Etiquetado de la información a fin de mitigar riesgos y mantener la alineación a los principios de confidencialidad, integridad y disponibilidad aplicables a este dominio.</t>
        </is>
      </c>
      <c r="L14" s="112" t="inlineStr">
        <is>
          <t>La organización deberá implementar, registrar y monitorear operativamente todos los protocolos relacionados a Etiquetado de la información, estableciendo políticas técnicas correspondientes.</t>
        </is>
      </c>
    </row>
    <row r="15" ht="67.5" customHeight="1" s="106">
      <c r="A15" s="38">
        <f>'ANEXO A'!A15</f>
        <v/>
      </c>
      <c r="B15" s="38">
        <f>IFERROR(VLOOKUP(A15, 'ANEXO A'!$A$2:$L$94, 2, FALSE), "")</f>
        <v/>
      </c>
      <c r="C15" s="38">
        <f>IF(LEFT(A15,1)="5", "5. Organizacionales", IF(LEFT(A15,1)="6", "6. Personas", IF(LEFT(A15,1)="7", "7. Físicos", "8. Tecnológicos")))</f>
        <v/>
      </c>
      <c r="D15" s="38">
        <f>IFERROR(VLOOKUP(A15, 'ANEXO A'!$A$2:$L$94, 11, FALSE), "")</f>
        <v/>
      </c>
      <c r="E15" s="38">
        <f>IFERROR(VLOOKUP(A15, 'ANEXO A'!$A$2:$L$94, 8, FALSE), "")</f>
        <v/>
      </c>
      <c r="F15" s="38">
        <f>IFERROR(VLOOKUP(A15, 'ANEXO A'!$A$2:$L$94, 9, FALSE), "")</f>
        <v/>
      </c>
      <c r="G15" s="38">
        <f>IFERROR(VLOOKUP(A15, 'ANEXO A'!$A$2:$L$94, 10, FALSE), "")</f>
        <v/>
      </c>
      <c r="H15" s="38">
        <f>IFERROR(VLOOKUP(A15, 'ANEXO A'!$A$2:$L$94, 12, FALSE), "")</f>
        <v/>
      </c>
      <c r="I15" s="38" t="inlineStr">
        <is>
          <t>6.9 Control de acceso FTP / Acuerdos: Procedimientos seguros de transmisión de datos cifrados interna y externamente vía canales autorizados (GSO-GSI-MP-GSI).</t>
        </is>
      </c>
      <c r="J15" s="112">
        <f>"• Establecer lineamientos para " &amp; IFERROR(VLOOKUP(A15, 'ANEXO A'!$A$2:$L$94, 2, FALSE), "Este Control") &amp; CHAR(10) &amp; "• Definir roles para el control " &amp; A15 &amp; CHAR(10) &amp; "• Revisar efectividad de " &amp; IFERROR(VLOOKUP(A15, 'ANEXO A'!$A$2:$L$94, 2, FALSE), "Este Control")</f>
        <v/>
      </c>
      <c r="K15" s="112" t="inlineStr">
        <is>
          <t>Asegurar el cumplimiento, control y resguardo continuo de los procesos de Transferencia de información a fin de mitigar riesgos y mantener la alineación a los principios de confidencialidad, integridad y disponibilidad aplicables a este dominio.</t>
        </is>
      </c>
      <c r="L15" s="112" t="inlineStr">
        <is>
          <t>La organización deberá implementar, registrar y monitorear operativamente todos los protocolos relacionados a Transferencia de información, estableciendo políticas técnicas correspondientes.</t>
        </is>
      </c>
    </row>
    <row r="16" ht="56.25" customHeight="1" s="106">
      <c r="A16" s="38">
        <f>'ANEXO A'!A16</f>
        <v/>
      </c>
      <c r="B16" s="38">
        <f>IFERROR(VLOOKUP(A16, 'ANEXO A'!$A$2:$L$94, 2, FALSE), "")</f>
        <v/>
      </c>
      <c r="C16" s="38">
        <f>IF(LEFT(A16,1)="5", "5. Organizacionales", IF(LEFT(A16,1)="6", "6. Personas", IF(LEFT(A16,1)="7", "7. Físicos", "8. Tecnológicos")))</f>
        <v/>
      </c>
      <c r="D16" s="38">
        <f>IFERROR(VLOOKUP(A16, 'ANEXO A'!$A$2:$L$94, 11, FALSE), "")</f>
        <v/>
      </c>
      <c r="E16" s="38">
        <f>IFERROR(VLOOKUP(A16, 'ANEXO A'!$A$2:$L$94, 8, FALSE), "")</f>
        <v/>
      </c>
      <c r="F16" s="38">
        <f>IFERROR(VLOOKUP(A16, 'ANEXO A'!$A$2:$L$94, 9, FALSE), "")</f>
        <v/>
      </c>
      <c r="G16" s="38">
        <f>IFERROR(VLOOKUP(A16, 'ANEXO A'!$A$2:$L$94, 10, FALSE), "")</f>
        <v/>
      </c>
      <c r="H16" s="38">
        <f>IFERROR(VLOOKUP(A16, 'ANEXO A'!$A$2:$L$94, 12, FALSE), "")</f>
        <v/>
      </c>
      <c r="I16" s="38" t="inlineStr">
        <is>
          <t>6.2. Creación de nuevos usuarios - Asignación de usuarios y roles según GSO-GSI-MP-GSI</t>
        </is>
      </c>
      <c r="J16" s="112">
        <f>"• Establecer lineamientos para " &amp; IFERROR(VLOOKUP(A16, 'ANEXO A'!$A$2:$L$94, 2, FALSE), "Este Control") &amp; CHAR(10) &amp; "• Definir roles para el control " &amp; A16 &amp; CHAR(10) &amp; "• Revisar efectividad de " &amp; IFERROR(VLOOKUP(A16, 'ANEXO A'!$A$2:$L$94, 2, FALSE), "Este Control")</f>
        <v/>
      </c>
      <c r="K16" s="112" t="inlineStr">
        <is>
          <t>Asegurar el cumplimiento, control y resguardo continuo de los procesos de Control de acceso a fin de mitigar riesgos y mantener la alineación a los principios de confidencialidad, integridad y disponibilidad aplicables a este dominio.</t>
        </is>
      </c>
      <c r="L16" s="112" t="inlineStr">
        <is>
          <t>La organización deberá implementar, registrar y monitorear operativamente todos los protocolos relacionados a Control de acceso, estableciendo políticas técnicas correspondientes.</t>
        </is>
      </c>
    </row>
    <row r="17" ht="56.25" customHeight="1" s="106">
      <c r="A17" s="38">
        <f>'ANEXO A'!A17</f>
        <v/>
      </c>
      <c r="B17" s="38">
        <f>IFERROR(VLOOKUP(A17, 'ANEXO A'!$A$2:$L$94, 2, FALSE), "")</f>
        <v/>
      </c>
      <c r="C17" s="38">
        <f>IF(LEFT(A17,1)="5", "5. Organizacionales", IF(LEFT(A17,1)="6", "6. Personas", IF(LEFT(A17,1)="7", "7. Físicos", "8. Tecnológicos")))</f>
        <v/>
      </c>
      <c r="D17" s="38">
        <f>IFERROR(VLOOKUP(A17, 'ANEXO A'!$A$2:$L$94, 11, FALSE), "")</f>
        <v/>
      </c>
      <c r="E17" s="38">
        <f>IFERROR(VLOOKUP(A17, 'ANEXO A'!$A$2:$L$94, 8, FALSE), "")</f>
        <v/>
      </c>
      <c r="F17" s="38">
        <f>IFERROR(VLOOKUP(A17, 'ANEXO A'!$A$2:$L$94, 9, FALSE), "")</f>
        <v/>
      </c>
      <c r="G17" s="38">
        <f>IFERROR(VLOOKUP(A17, 'ANEXO A'!$A$2:$L$94, 10, FALSE), "")</f>
        <v/>
      </c>
      <c r="H17" s="38">
        <f>IFERROR(VLOOKUP(A17, 'ANEXO A'!$A$2:$L$94, 12, FALSE), "")</f>
        <v/>
      </c>
      <c r="I17" s="38" t="inlineStr">
        <is>
          <t>6.2. Creación de nuevos usuarios - Asignación de usuarios y roles según GSO-GSI-MP-GSI</t>
        </is>
      </c>
      <c r="J17" s="112">
        <f>"• Establecer lineamientos para " &amp; IFERROR(VLOOKUP(A17, 'ANEXO A'!$A$2:$L$94, 2, FALSE), "Este Control") &amp; CHAR(10) &amp; "• Definir roles para el control " &amp; A17 &amp; CHAR(10) &amp; "• Revisar efectividad de " &amp; IFERROR(VLOOKUP(A17, 'ANEXO A'!$A$2:$L$94, 2, FALSE), "Este Control")</f>
        <v/>
      </c>
      <c r="K17" s="112" t="inlineStr">
        <is>
          <t>Asegurar el cumplimiento, control y resguardo continuo de los procesos de Gestión de identidades a fin de mitigar riesgos y mantener la alineación a los principios de confidencialidad, integridad y disponibilidad aplicables a este dominio.</t>
        </is>
      </c>
      <c r="L17" s="112" t="inlineStr">
        <is>
          <t>La organización deberá implementar, registrar y monitorear operativamente todos los protocolos relacionados a Gestión de identidades, estableciendo políticas técnicas correspondientes.</t>
        </is>
      </c>
    </row>
    <row r="18" ht="56.25" customHeight="1" s="106">
      <c r="A18" s="38">
        <f>'ANEXO A'!A18</f>
        <v/>
      </c>
      <c r="B18" s="38">
        <f>IFERROR(VLOOKUP(A18, 'ANEXO A'!$A$2:$L$94, 2, FALSE), "")</f>
        <v/>
      </c>
      <c r="C18" s="38">
        <f>IF(LEFT(A18,1)="5", "5. Organizacionales", IF(LEFT(A18,1)="6", "6. Personas", IF(LEFT(A18,1)="7", "7. Físicos", "8. Tecnológicos")))</f>
        <v/>
      </c>
      <c r="D18" s="38">
        <f>IFERROR(VLOOKUP(A18, 'ANEXO A'!$A$2:$L$94, 11, FALSE), "")</f>
        <v/>
      </c>
      <c r="E18" s="38">
        <f>IFERROR(VLOOKUP(A18, 'ANEXO A'!$A$2:$L$94, 8, FALSE), "")</f>
        <v/>
      </c>
      <c r="F18" s="38">
        <f>IFERROR(VLOOKUP(A18, 'ANEXO A'!$A$2:$L$94, 9, FALSE), "")</f>
        <v/>
      </c>
      <c r="G18" s="38">
        <f>IFERROR(VLOOKUP(A18, 'ANEXO A'!$A$2:$L$94, 10, FALSE), "")</f>
        <v/>
      </c>
      <c r="H18" s="38">
        <f>IFERROR(VLOOKUP(A18, 'ANEXO A'!$A$2:$L$94, 12, FALSE), "")</f>
        <v/>
      </c>
      <c r="I18" s="38" t="inlineStr">
        <is>
          <t>6.11. Cambio de claves de cuentas críticas - Renovar periódicamente las contraseñas (GSO-GSI-MP-GSI)</t>
        </is>
      </c>
      <c r="J18" s="112">
        <f>"• Establecer lineamientos para " &amp; IFERROR(VLOOKUP(A18, 'ANEXO A'!$A$2:$L$94, 2, FALSE), "Este Control") &amp; CHAR(10) &amp; "• Definir roles para el control " &amp; A18 &amp; CHAR(10) &amp; "• Revisar efectividad de " &amp; IFERROR(VLOOKUP(A18, 'ANEXO A'!$A$2:$L$94, 2, FALSE), "Este Control")</f>
        <v/>
      </c>
      <c r="K18" s="112" t="inlineStr">
        <is>
          <t>Asegurar el cumplimiento, control y resguardo continuo de los procesos de Información de autenticación a fin de mitigar riesgos y mantener la alineación a los principios de confidencialidad, integridad y disponibilidad aplicables a este dominio.</t>
        </is>
      </c>
      <c r="L18" s="112" t="inlineStr">
        <is>
          <t>La organización deberá implementar, registrar y monitorear operativamente todos los protocolos relacionados a Información de autenticación, estableciendo políticas técnicas correspondientes.</t>
        </is>
      </c>
    </row>
    <row r="19" ht="56.25" customHeight="1" s="106">
      <c r="A19" s="38">
        <f>'ANEXO A'!A19</f>
        <v/>
      </c>
      <c r="B19" s="38">
        <f>IFERROR(VLOOKUP(A19, 'ANEXO A'!$A$2:$L$94, 2, FALSE), "")</f>
        <v/>
      </c>
      <c r="C19" s="38">
        <f>IF(LEFT(A19,1)="5", "5. Organizacionales", IF(LEFT(A19,1)="6", "6. Personas", IF(LEFT(A19,1)="7", "7. Físicos", "8. Tecnológicos")))</f>
        <v/>
      </c>
      <c r="D19" s="38">
        <f>IFERROR(VLOOKUP(A19, 'ANEXO A'!$A$2:$L$94, 11, FALSE), "")</f>
        <v/>
      </c>
      <c r="E19" s="38">
        <f>IFERROR(VLOOKUP(A19, 'ANEXO A'!$A$2:$L$94, 8, FALSE), "")</f>
        <v/>
      </c>
      <c r="F19" s="38">
        <f>IFERROR(VLOOKUP(A19, 'ANEXO A'!$A$2:$L$94, 9, FALSE), "")</f>
        <v/>
      </c>
      <c r="G19" s="38">
        <f>IFERROR(VLOOKUP(A19, 'ANEXO A'!$A$2:$L$94, 10, FALSE), "")</f>
        <v/>
      </c>
      <c r="H19" s="38">
        <f>IFERROR(VLOOKUP(A19, 'ANEXO A'!$A$2:$L$94, 12, FALSE), "")</f>
        <v/>
      </c>
      <c r="I19" s="38" t="inlineStr">
        <is>
          <t>6.10. Revisión periódica de roles y usuarios - Control y auditoría de accesos (GSO-GSI-MP-GSI)</t>
        </is>
      </c>
      <c r="J19" s="112">
        <f>"• Establecer lineamientos para " &amp; IFERROR(VLOOKUP(A19, 'ANEXO A'!$A$2:$L$94, 2, FALSE), "Este Control") &amp; CHAR(10) &amp; "• Definir roles para el control " &amp; A19 &amp; CHAR(10) &amp; "• Revisar efectividad de " &amp; IFERROR(VLOOKUP(A19, 'ANEXO A'!$A$2:$L$94, 2, FALSE), "Este Control")</f>
        <v/>
      </c>
      <c r="K19" s="112" t="inlineStr">
        <is>
          <t>Asegurar el cumplimiento, control y resguardo continuo de los procesos de Derechos de acceso a fin de mitigar riesgos y mantener la alineación a los principios de confidencialidad, integridad y disponibilidad aplicables a este dominio.</t>
        </is>
      </c>
      <c r="L19" s="112" t="inlineStr">
        <is>
          <t>La organización deberá implementar, registrar y monitorear operativamente todos los protocolos relacionados a Derechos de acceso, estableciendo políticas técnicas correspondientes.</t>
        </is>
      </c>
    </row>
    <row r="20" ht="78.75" customHeight="1" s="106">
      <c r="A20" s="38">
        <f>'ANEXO A'!A20</f>
        <v/>
      </c>
      <c r="B20" s="38">
        <f>IFERROR(VLOOKUP(A20, 'ANEXO A'!$A$2:$L$94, 2, FALSE), "")</f>
        <v/>
      </c>
      <c r="C20" s="38">
        <f>IF(LEFT(A20,1)="5", "5. Organizacionales", IF(LEFT(A20,1)="6", "6. Personas", IF(LEFT(A20,1)="7", "7. Físicos", "8. Tecnológicos")))</f>
        <v/>
      </c>
      <c r="D20" s="38">
        <f>IFERROR(VLOOKUP(A20, 'ANEXO A'!$A$2:$L$94, 11, FALSE), "")</f>
        <v/>
      </c>
      <c r="E20" s="38">
        <f>IFERROR(VLOOKUP(A20, 'ANEXO A'!$A$2:$L$94, 8, FALSE), "")</f>
        <v/>
      </c>
      <c r="F20" s="38">
        <f>IFERROR(VLOOKUP(A20, 'ANEXO A'!$A$2:$L$94, 9, FALSE), "")</f>
        <v/>
      </c>
      <c r="G20" s="38">
        <f>IFERROR(VLOOKUP(A20, 'ANEXO A'!$A$2:$L$94, 10, FALSE), "")</f>
        <v/>
      </c>
      <c r="H20" s="38">
        <f>IFERROR(VLOOKUP(A20, 'ANEXO A'!$A$2:$L$94, 12, FALSE), "")</f>
        <v/>
      </c>
      <c r="I20" s="38" t="inlineStr">
        <is>
          <t>6.19 Escaneo / Disp. General 2da SEPS 002: Evaluación periódica de riesgos de seguridad y solicitud de auditorías a prestadores de servicios (SEPS-2022-002 / GSO-GSI-MP-GSI).</t>
        </is>
      </c>
      <c r="J20" s="112">
        <f>"• Establecer lineamientos para " &amp; IFERROR(VLOOKUP(A20, 'ANEXO A'!$A$2:$L$94, 2, FALSE), "Este Control") &amp; CHAR(10) &amp; "• Definir roles para el control " &amp; A20 &amp; CHAR(10) &amp; "• Revisar efectividad de " &amp; IFERROR(VLOOKUP(A20, 'ANEXO A'!$A$2:$L$94, 2, FALSE), "Este Control")</f>
        <v/>
      </c>
      <c r="K20" s="112" t="inlineStr">
        <is>
          <t>Asegurar el cumplimiento, control y resguardo continuo de los procesos de Seguridad de la información en las relaciones con los proveedores a fin de mitigar riesgos y mantener la alineación a los principios de confidencialidad, integridad y disponibilidad aplicables a este dominio.</t>
        </is>
      </c>
      <c r="L20" s="112" t="inlineStr">
        <is>
          <t>La organización deberá implementar, registrar y monitorear operativamente todos los protocolos relacionados a Seguridad de la información en las relaciones con los proveedores, estableciendo políticas técnicas correspondientes.</t>
        </is>
      </c>
    </row>
    <row r="21" ht="90" customHeight="1" s="106">
      <c r="A21" s="38">
        <f>'ANEXO A'!A21</f>
        <v/>
      </c>
      <c r="B21" s="38">
        <f>IFERROR(VLOOKUP(A21, 'ANEXO A'!$A$2:$L$94, 2, FALSE), "")</f>
        <v/>
      </c>
      <c r="C21" s="38">
        <f>IF(LEFT(A21,1)="5", "5. Organizacionales", IF(LEFT(A21,1)="6", "6. Personas", IF(LEFT(A21,1)="7", "7. Físicos", "8. Tecnológicos")))</f>
        <v/>
      </c>
      <c r="D21" s="38">
        <f>IFERROR(VLOOKUP(A21, 'ANEXO A'!$A$2:$L$94, 11, FALSE), "")</f>
        <v/>
      </c>
      <c r="E21" s="38">
        <f>IFERROR(VLOOKUP(A21, 'ANEXO A'!$A$2:$L$94, 8, FALSE), "")</f>
        <v/>
      </c>
      <c r="F21" s="38">
        <f>IFERROR(VLOOKUP(A21, 'ANEXO A'!$A$2:$L$94, 9, FALSE), "")</f>
        <v/>
      </c>
      <c r="G21" s="38">
        <f>IFERROR(VLOOKUP(A21, 'ANEXO A'!$A$2:$L$94, 10, FALSE), "")</f>
        <v/>
      </c>
      <c r="H21" s="38">
        <f>IFERROR(VLOOKUP(A21, 'ANEXO A'!$A$2:$L$94, 12, FALSE), "")</f>
        <v/>
      </c>
      <c r="I21" s="38" t="inlineStr">
        <is>
          <t>Disp. General 3era SEPS 002: Incorporación obligatoria de cláusulas de seguridad de la información, protección de datos y confidencialidad en contratos (SEPS-2022-002).</t>
        </is>
      </c>
      <c r="J21" s="112">
        <f>"• Establecer lineamientos para " &amp; IFERROR(VLOOKUP(A21, 'ANEXO A'!$A$2:$L$94, 2, FALSE), "Este Control") &amp; CHAR(10) &amp; "• Definir roles para el control " &amp; A21 &amp; CHAR(10) &amp; "• Revisar efectividad de " &amp; IFERROR(VLOOKUP(A21, 'ANEXO A'!$A$2:$L$94, 2, FALSE), "Este Control")</f>
        <v/>
      </c>
      <c r="K21" s="112" t="inlineStr">
        <is>
          <t>Asegurar el cumplimiento, control y resguardo continuo de los procesos de Tratamiento de la seguridad de la información en los acuerdos con los proveedores a fin de mitigar riesgos y mantener la alineación a los principios de confidencialidad, integridad y disponibilidad aplicables a este dominio.</t>
        </is>
      </c>
      <c r="L21" s="112" t="inlineStr">
        <is>
          <t>La organización deberá implementar, registrar y monitorear operativamente todos los protocolos relacionados a Tratamiento de la seguridad de la información en los acuerdos con los proveedores, estableciendo políticas técnicas correspondientes.</t>
        </is>
      </c>
    </row>
    <row r="22" ht="90" customHeight="1" s="106">
      <c r="A22" s="38">
        <f>'ANEXO A'!A22</f>
        <v/>
      </c>
      <c r="B22" s="38">
        <f>IFERROR(VLOOKUP(A22, 'ANEXO A'!$A$2:$L$94, 2, FALSE), "")</f>
        <v/>
      </c>
      <c r="C22" s="38">
        <f>IF(LEFT(A22,1)="5", "5. Organizacionales", IF(LEFT(A22,1)="6", "6. Personas", IF(LEFT(A22,1)="7", "7. Físicos", "8. Tecnológicos")))</f>
        <v/>
      </c>
      <c r="D22" s="38">
        <f>IFERROR(VLOOKUP(A22, 'ANEXO A'!$A$2:$L$94, 11, FALSE), "")</f>
        <v/>
      </c>
      <c r="E22" s="38">
        <f>IFERROR(VLOOKUP(A22, 'ANEXO A'!$A$2:$L$94, 8, FALSE), "")</f>
        <v/>
      </c>
      <c r="F22" s="38">
        <f>IFERROR(VLOOKUP(A22, 'ANEXO A'!$A$2:$L$94, 9, FALSE), "")</f>
        <v/>
      </c>
      <c r="G22" s="38">
        <f>IFERROR(VLOOKUP(A22, 'ANEXO A'!$A$2:$L$94, 10, FALSE), "")</f>
        <v/>
      </c>
      <c r="H22" s="38">
        <f>IFERROR(VLOOKUP(A22, 'ANEXO A'!$A$2:$L$94, 12, FALSE), "")</f>
        <v/>
      </c>
      <c r="I22" s="38" t="inlineStr">
        <is>
          <t>Anexo 1 SEPS 002: Evaluación de procedencia, confiabilidad y riesgos en la adquisición de hardware, software y suministros de TIC (SEPS-2022-002).</t>
        </is>
      </c>
      <c r="J22" s="112">
        <f>"• Establecer lineamientos para " &amp; IFERROR(VLOOKUP(A22, 'ANEXO A'!$A$2:$L$94, 2, FALSE), "Este Control") &amp; CHAR(10) &amp; "• Definir roles para el control " &amp; A22 &amp; CHAR(10) &amp; "• Revisar efectividad de " &amp; IFERROR(VLOOKUP(A22, 'ANEXO A'!$A$2:$L$94, 2, FALSE), "Este Control")</f>
        <v/>
      </c>
      <c r="K22" s="112" t="inlineStr">
        <is>
          <t>Asegurar el cumplimiento, control y resguardo continuo de los procesos de Gestión de la seguridad de la información en la cadena de suministro de TIC a fin de mitigar riesgos y mantener la alineación a los principios de confidencialidad, integridad y disponibilidad aplicables a este dominio.</t>
        </is>
      </c>
      <c r="L22" s="112" t="inlineStr">
        <is>
          <t>La organización deberá implementar, registrar y monitorear operativamente todos los protocolos relacionados a Gestión de la seguridad de la información en la cadena de suministro de TIC, estableciendo políticas técnicas correspondientes.</t>
        </is>
      </c>
    </row>
    <row r="23" ht="90" customHeight="1" s="106">
      <c r="A23" s="38">
        <f>'ANEXO A'!A23</f>
        <v/>
      </c>
      <c r="B23" s="38">
        <f>IFERROR(VLOOKUP(A23, 'ANEXO A'!$A$2:$L$94, 2, FALSE), "")</f>
        <v/>
      </c>
      <c r="C23" s="38">
        <f>IF(LEFT(A23,1)="5", "5. Organizacionales", IF(LEFT(A23,1)="6", "6. Personas", IF(LEFT(A23,1)="7", "7. Físicos", "8. Tecnológicos")))</f>
        <v/>
      </c>
      <c r="D23" s="38">
        <f>IFERROR(VLOOKUP(A23, 'ANEXO A'!$A$2:$L$94, 11, FALSE), "")</f>
        <v/>
      </c>
      <c r="E23" s="38">
        <f>IFERROR(VLOOKUP(A23, 'ANEXO A'!$A$2:$L$94, 8, FALSE), "")</f>
        <v/>
      </c>
      <c r="F23" s="38">
        <f>IFERROR(VLOOKUP(A23, 'ANEXO A'!$A$2:$L$94, 9, FALSE), "")</f>
        <v/>
      </c>
      <c r="G23" s="38">
        <f>IFERROR(VLOOKUP(A23, 'ANEXO A'!$A$2:$L$94, 10, FALSE), "")</f>
        <v/>
      </c>
      <c r="H23" s="38">
        <f>IFERROR(VLOOKUP(A23, 'ANEXO A'!$A$2:$L$94, 12, FALSE), "")</f>
        <v/>
      </c>
      <c r="I23" s="38" t="inlineStr">
        <is>
          <t>Anexo 1 SEPS 002 / Disp. General 2da: Supervisión continua de ANS (SLA) y auditoría a cambios técnicos en plataformas provistas por terceros (SEPS-2022-002).</t>
        </is>
      </c>
      <c r="J23" s="112">
        <f>"• Establecer lineamientos para " &amp; IFERROR(VLOOKUP(A23, 'ANEXO A'!$A$2:$L$94, 2, FALSE), "Este Control") &amp; CHAR(10) &amp; "• Definir roles para el control " &amp; A23 &amp; CHAR(10) &amp; "• Revisar efectividad de " &amp; IFERROR(VLOOKUP(A23, 'ANEXO A'!$A$2:$L$94, 2, FALSE), "Este Control")</f>
        <v/>
      </c>
      <c r="K23" s="112" t="inlineStr">
        <is>
          <t>Asegurar el cumplimiento, control y resguardo continuo de los procesos de Seguimiento, revisión y gestión de cambios en los servicios de los proveedores a fin de mitigar riesgos y mantener la alineación a los principios de confidencialidad, integridad y disponibilidad aplicables a este dominio.</t>
        </is>
      </c>
      <c r="L23" s="112" t="inlineStr">
        <is>
          <t>La organización deberá implementar, registrar y monitorear operativamente todos los protocolos relacionados a Seguimiento, revisión y gestión de cambios en los servicios de los proveedores, estableciendo políticas técnicas correspondientes.</t>
        </is>
      </c>
    </row>
    <row r="24" ht="78.75" customHeight="1" s="106">
      <c r="A24" s="38">
        <f>'ANEXO A'!A24</f>
        <v/>
      </c>
      <c r="B24" s="38">
        <f>IFERROR(VLOOKUP(A24, 'ANEXO A'!$A$2:$L$94, 2, FALSE), "")</f>
        <v/>
      </c>
      <c r="C24" s="38">
        <f>IF(LEFT(A24,1)="5", "5. Organizacionales", IF(LEFT(A24,1)="6", "6. Personas", IF(LEFT(A24,1)="7", "7. Físicos", "8. Tecnológicos")))</f>
        <v/>
      </c>
      <c r="D24" s="38">
        <f>IFERROR(VLOOKUP(A24, 'ANEXO A'!$A$2:$L$94, 11, FALSE), "")</f>
        <v/>
      </c>
      <c r="E24" s="38">
        <f>IFERROR(VLOOKUP(A24, 'ANEXO A'!$A$2:$L$94, 8, FALSE), "")</f>
        <v/>
      </c>
      <c r="F24" s="38">
        <f>IFERROR(VLOOKUP(A24, 'ANEXO A'!$A$2:$L$94, 9, FALSE), "")</f>
        <v/>
      </c>
      <c r="G24" s="38">
        <f>IFERROR(VLOOKUP(A24, 'ANEXO A'!$A$2:$L$94, 10, FALSE), "")</f>
        <v/>
      </c>
      <c r="H24" s="38">
        <f>IFERROR(VLOOKUP(A24, 'ANEXO A'!$A$2:$L$94, 12, FALSE), "")</f>
        <v/>
      </c>
      <c r="I24" s="38" t="inlineStr">
        <is>
          <t>6.2 Azure / 6.12 MyHSM: Gestión de configuraciones, segregación y control de llaves y servicios en esquemas SaaS/PaaS (GSO-GSI-MP-GSI).</t>
        </is>
      </c>
      <c r="J24" s="112">
        <f>"• Establecer lineamientos para " &amp; IFERROR(VLOOKUP(A24, 'ANEXO A'!$A$2:$L$94, 2, FALSE), "Este Control") &amp; CHAR(10) &amp; "• Definir roles para el control " &amp; A24 &amp; CHAR(10) &amp; "• Revisar efectividad de " &amp; IFERROR(VLOOKUP(A24, 'ANEXO A'!$A$2:$L$94, 2, FALSE), "Este Control")</f>
        <v/>
      </c>
      <c r="K24" s="112" t="inlineStr">
        <is>
          <t>Asegurar el cumplimiento, control y resguardo continuo de los procesos de Seguridad de la información en el uso de servicios en la nube a fin de mitigar riesgos y mantener la alineación a los principios de confidencialidad, integridad y disponibilidad aplicables a este dominio.</t>
        </is>
      </c>
      <c r="L24" s="112" t="inlineStr">
        <is>
          <t>La organización deberá implementar, registrar y monitorear operativamente todos los protocolos relacionados a Seguridad de la información en el uso de servicios en la nube, estableciendo políticas técnicas correspondientes.</t>
        </is>
      </c>
    </row>
    <row r="25" ht="78.75" customHeight="1" s="106">
      <c r="A25" s="38">
        <f>'ANEXO A'!A25</f>
        <v/>
      </c>
      <c r="B25" s="38">
        <f>IFERROR(VLOOKUP(A25, 'ANEXO A'!$A$2:$L$94, 2, FALSE), "")</f>
        <v/>
      </c>
      <c r="C25" s="38">
        <f>IF(LEFT(A25,1)="5", "5. Organizacionales", IF(LEFT(A25,1)="6", "6. Personas", IF(LEFT(A25,1)="7", "7. Físicos", "8. Tecnológicos")))</f>
        <v/>
      </c>
      <c r="D25" s="38">
        <f>IFERROR(VLOOKUP(A25, 'ANEXO A'!$A$2:$L$94, 11, FALSE), "")</f>
        <v/>
      </c>
      <c r="E25" s="38">
        <f>IFERROR(VLOOKUP(A25, 'ANEXO A'!$A$2:$L$94, 8, FALSE), "")</f>
        <v/>
      </c>
      <c r="F25" s="38">
        <f>IFERROR(VLOOKUP(A25, 'ANEXO A'!$A$2:$L$94, 9, FALSE), "")</f>
        <v/>
      </c>
      <c r="G25" s="38">
        <f>IFERROR(VLOOKUP(A25, 'ANEXO A'!$A$2:$L$94, 10, FALSE), "")</f>
        <v/>
      </c>
      <c r="H25" s="38">
        <f>IFERROR(VLOOKUP(A25, 'ANEXO A'!$A$2:$L$94, 12, FALSE), "")</f>
        <v/>
      </c>
      <c r="I25" s="38" t="inlineStr">
        <is>
          <t>6.15. Gestión de incidentes de seguridad de la información - Planificación de respuesta (GSO-GSI-MP-GSI)</t>
        </is>
      </c>
      <c r="J25" s="112">
        <f>"• Establecer lineamientos para " &amp; IFERROR(VLOOKUP(A25, 'ANEXO A'!$A$2:$L$94, 2, FALSE), "Este Control") &amp; CHAR(10) &amp; "• Definir roles para el control " &amp; A25 &amp; CHAR(10) &amp; "• Revisar efectividad de " &amp; IFERROR(VLOOKUP(A25, 'ANEXO A'!$A$2:$L$94, 2, FALSE), "Este Control")</f>
        <v/>
      </c>
      <c r="K25" s="112" t="inlineStr">
        <is>
          <t>Asegurar el cumplimiento, control y resguardo continuo de los procesos de Planificación y preparación de la gestión de incidentes a fin de mitigar riesgos y mantener la alineación a los principios de confidencialidad, integridad y disponibilidad aplicables a este dominio.</t>
        </is>
      </c>
      <c r="L25" s="112" t="inlineStr">
        <is>
          <t>La organización deberá implementar, registrar y monitorear operativamente todos los protocolos relacionados a Planificación y preparación de la gestión de incidentes, estableciendo políticas técnicas correspondientes.</t>
        </is>
      </c>
    </row>
    <row r="26" ht="78.75" customHeight="1" s="106">
      <c r="A26" s="38">
        <f>'ANEXO A'!A26</f>
        <v/>
      </c>
      <c r="B26" s="38">
        <f>IFERROR(VLOOKUP(A26, 'ANEXO A'!$A$2:$L$94, 2, FALSE), "")</f>
        <v/>
      </c>
      <c r="C26" s="38">
        <f>IF(LEFT(A26,1)="5", "5. Organizacionales", IF(LEFT(A26,1)="6", "6. Personas", IF(LEFT(A26,1)="7", "7. Físicos", "8. Tecnológicos")))</f>
        <v/>
      </c>
      <c r="D26" s="38">
        <f>IFERROR(VLOOKUP(A26, 'ANEXO A'!$A$2:$L$94, 11, FALSE), "")</f>
        <v/>
      </c>
      <c r="E26" s="38">
        <f>IFERROR(VLOOKUP(A26, 'ANEXO A'!$A$2:$L$94, 8, FALSE), "")</f>
        <v/>
      </c>
      <c r="F26" s="38">
        <f>IFERROR(VLOOKUP(A26, 'ANEXO A'!$A$2:$L$94, 9, FALSE), "")</f>
        <v/>
      </c>
      <c r="G26" s="38">
        <f>IFERROR(VLOOKUP(A26, 'ANEXO A'!$A$2:$L$94, 10, FALSE), "")</f>
        <v/>
      </c>
      <c r="H26" s="38">
        <f>IFERROR(VLOOKUP(A26, 'ANEXO A'!$A$2:$L$94, 12, FALSE), "")</f>
        <v/>
      </c>
      <c r="I26" s="38" t="inlineStr">
        <is>
          <t>6.15 Gestión de incidentes (Act. 2 y 3): Análisis, categorización, clasificación y registro de eventos y riesgos en el sistema RDS (GSO-GSI-MP-GSI).</t>
        </is>
      </c>
      <c r="J26" s="112">
        <f>"• Establecer lineamientos para " &amp; IFERROR(VLOOKUP(A26, 'ANEXO A'!$A$2:$L$94, 2, FALSE), "Este Control") &amp; CHAR(10) &amp; "• Definir roles para el control " &amp; A26 &amp; CHAR(10) &amp; "• Revisar efectividad de " &amp; IFERROR(VLOOKUP(A26, 'ANEXO A'!$A$2:$L$94, 2, FALSE), "Este Control")</f>
        <v/>
      </c>
      <c r="K26" s="112" t="inlineStr">
        <is>
          <t>Asegurar el cumplimiento, control y resguardo continuo de los procesos de Evaluación y decisión sobre los eventos de seguridad a fin de mitigar riesgos y mantener la alineación a los principios de confidencialidad, integridad y disponibilidad aplicables a este dominio.</t>
        </is>
      </c>
      <c r="L26" s="112" t="inlineStr">
        <is>
          <t>La organización deberá implementar, registrar y monitorear operativamente todos los protocolos relacionados a Evaluación y decisión sobre los eventos de seguridad, estableciendo políticas técnicas correspondientes.</t>
        </is>
      </c>
    </row>
    <row r="27" ht="78.75" customHeight="1" s="106">
      <c r="A27" s="38">
        <f>'ANEXO A'!A27</f>
        <v/>
      </c>
      <c r="B27" s="38">
        <f>IFERROR(VLOOKUP(A27, 'ANEXO A'!$A$2:$L$94, 2, FALSE), "")</f>
        <v/>
      </c>
      <c r="C27" s="38">
        <f>IF(LEFT(A27,1)="5", "5. Organizacionales", IF(LEFT(A27,1)="6", "6. Personas", IF(LEFT(A27,1)="7", "7. Físicos", "8. Tecnológicos")))</f>
        <v/>
      </c>
      <c r="D27" s="38">
        <f>IFERROR(VLOOKUP(A27, 'ANEXO A'!$A$2:$L$94, 11, FALSE), "")</f>
        <v/>
      </c>
      <c r="E27" s="38">
        <f>IFERROR(VLOOKUP(A27, 'ANEXO A'!$A$2:$L$94, 8, FALSE), "")</f>
        <v/>
      </c>
      <c r="F27" s="38">
        <f>IFERROR(VLOOKUP(A27, 'ANEXO A'!$A$2:$L$94, 9, FALSE), "")</f>
        <v/>
      </c>
      <c r="G27" s="38">
        <f>IFERROR(VLOOKUP(A27, 'ANEXO A'!$A$2:$L$94, 10, FALSE), "")</f>
        <v/>
      </c>
      <c r="H27" s="38">
        <f>IFERROR(VLOOKUP(A27, 'ANEXO A'!$A$2:$L$94, 12, FALSE), "")</f>
        <v/>
      </c>
      <c r="I27" s="38" t="inlineStr">
        <is>
          <t>6.15 Gestión de incidentes (Act. 3, 4 y 5): Ejecución de acciones de contención, mitigación y escalamiento a Gerencia y Comité de Seguridad (GSO-GSI-MP-GSI).</t>
        </is>
      </c>
      <c r="J27" s="112">
        <f>"• Establecer lineamientos para " &amp; IFERROR(VLOOKUP(A27, 'ANEXO A'!$A$2:$L$94, 2, FALSE), "Este Control") &amp; CHAR(10) &amp; "• Definir roles para el control " &amp; A27 &amp; CHAR(10) &amp; "• Revisar efectividad de " &amp; IFERROR(VLOOKUP(A27, 'ANEXO A'!$A$2:$L$94, 2, FALSE), "Este Control")</f>
        <v/>
      </c>
      <c r="K27" s="112" t="inlineStr">
        <is>
          <t>Asegurar el cumplimiento, control y resguardo continuo de los procesos de Respuesta a los incidentes de seguridad de la información a fin de mitigar riesgos y mantener la alineación a los principios de confidencialidad, integridad y disponibilidad aplicables a este dominio.</t>
        </is>
      </c>
      <c r="L27" s="112" t="inlineStr">
        <is>
          <t>La organización deberá implementar, registrar y monitorear operativamente todos los protocolos relacionados a Respuesta a los incidentes de seguridad de la información, estableciendo políticas técnicas correspondientes.</t>
        </is>
      </c>
    </row>
    <row r="28" ht="78.75" customHeight="1" s="106">
      <c r="A28" s="38">
        <f>'ANEXO A'!A28</f>
        <v/>
      </c>
      <c r="B28" s="38">
        <f>IFERROR(VLOOKUP(A28, 'ANEXO A'!$A$2:$L$94, 2, FALSE), "")</f>
        <v/>
      </c>
      <c r="C28" s="38">
        <f>IF(LEFT(A28,1)="5", "5. Organizacionales", IF(LEFT(A28,1)="6", "6. Personas", IF(LEFT(A28,1)="7", "7. Físicos", "8. Tecnológicos")))</f>
        <v/>
      </c>
      <c r="D28" s="38">
        <f>IFERROR(VLOOKUP(A28, 'ANEXO A'!$A$2:$L$94, 11, FALSE), "")</f>
        <v/>
      </c>
      <c r="E28" s="38">
        <f>IFERROR(VLOOKUP(A28, 'ANEXO A'!$A$2:$L$94, 8, FALSE), "")</f>
        <v/>
      </c>
      <c r="F28" s="38">
        <f>IFERROR(VLOOKUP(A28, 'ANEXO A'!$A$2:$L$94, 9, FALSE), "")</f>
        <v/>
      </c>
      <c r="G28" s="38">
        <f>IFERROR(VLOOKUP(A28, 'ANEXO A'!$A$2:$L$94, 10, FALSE), "")</f>
        <v/>
      </c>
      <c r="H28" s="38">
        <f>IFERROR(VLOOKUP(A28, 'ANEXO A'!$A$2:$L$94, 12, FALSE), "")</f>
        <v/>
      </c>
      <c r="I28" s="38" t="inlineStr">
        <is>
          <t>6.15 Gestión de incidentes (Act. 7 y 8): Análisis de causa raíz, actualización de controles y enriquecimiento del Plan Anual de SI (GSO-GSI-MP-GSI).</t>
        </is>
      </c>
      <c r="J28" s="112">
        <f>"• Establecer lineamientos para " &amp; IFERROR(VLOOKUP(A28, 'ANEXO A'!$A$2:$L$94, 2, FALSE), "Este Control") &amp; CHAR(10) &amp; "• Definir roles para el control " &amp; A28 &amp; CHAR(10) &amp; "• Revisar efectividad de " &amp; IFERROR(VLOOKUP(A28, 'ANEXO A'!$A$2:$L$94, 2, FALSE), "Este Control")</f>
        <v/>
      </c>
      <c r="K28" s="112" t="inlineStr">
        <is>
          <t>Asegurar el cumplimiento, control y resguardo continuo de los procesos de Aprendizaje de los incidentes de seguridad de la información a fin de mitigar riesgos y mantener la alineación a los principios de confidencialidad, integridad y disponibilidad aplicables a este dominio.</t>
        </is>
      </c>
      <c r="L28" s="112" t="inlineStr">
        <is>
          <t>La organización deberá implementar, registrar y monitorear operativamente todos los protocolos relacionados a Aprendizaje de los incidentes de seguridad de la información, estableciendo políticas técnicas correspondientes.</t>
        </is>
      </c>
    </row>
    <row r="29" ht="56.25" customHeight="1" s="106">
      <c r="A29" s="38">
        <f>'ANEXO A'!A29</f>
        <v/>
      </c>
      <c r="B29" s="38">
        <f>IFERROR(VLOOKUP(A29, 'ANEXO A'!$A$2:$L$94, 2, FALSE), "")</f>
        <v/>
      </c>
      <c r="C29" s="38">
        <f>IF(LEFT(A29,1)="5", "5. Organizacionales", IF(LEFT(A29,1)="6", "6. Personas", IF(LEFT(A29,1)="7", "7. Físicos", "8. Tecnológicos")))</f>
        <v/>
      </c>
      <c r="D29" s="38">
        <f>IFERROR(VLOOKUP(A29, 'ANEXO A'!$A$2:$L$94, 11, FALSE), "")</f>
        <v/>
      </c>
      <c r="E29" s="38">
        <f>IFERROR(VLOOKUP(A29, 'ANEXO A'!$A$2:$L$94, 8, FALSE), "")</f>
        <v/>
      </c>
      <c r="F29" s="38">
        <f>IFERROR(VLOOKUP(A29, 'ANEXO A'!$A$2:$L$94, 9, FALSE), "")</f>
        <v/>
      </c>
      <c r="G29" s="38">
        <f>IFERROR(VLOOKUP(A29, 'ANEXO A'!$A$2:$L$94, 10, FALSE), "")</f>
        <v/>
      </c>
      <c r="H29" s="38">
        <f>IFERROR(VLOOKUP(A29, 'ANEXO A'!$A$2:$L$94, 12, FALSE), "")</f>
        <v/>
      </c>
      <c r="I29" s="38" t="inlineStr">
        <is>
          <t>6.14 Auditoría BD / 6.15 Incidentes: Preservación de logs, pistas de auditoría y cadena de custodia técnica (GSO-GSI-MP-GSI / ISO 27002).</t>
        </is>
      </c>
      <c r="J29" s="112">
        <f>"• Establecer lineamientos para " &amp; IFERROR(VLOOKUP(A29, 'ANEXO A'!$A$2:$L$94, 2, FALSE), "Este Control") &amp; CHAR(10) &amp; "• Definir roles para el control " &amp; A29 &amp; CHAR(10) &amp; "• Revisar efectividad de " &amp; IFERROR(VLOOKUP(A29, 'ANEXO A'!$A$2:$L$94, 2, FALSE), "Este Control")</f>
        <v/>
      </c>
      <c r="K29" s="112" t="inlineStr">
        <is>
          <t>Asegurar el cumplimiento, control y resguardo continuo de los procesos de Recolección de evidencias a fin de mitigar riesgos y mantener la alineación a los principios de confidencialidad, integridad y disponibilidad aplicables a este dominio.</t>
        </is>
      </c>
      <c r="L29" s="112" t="inlineStr">
        <is>
          <t>La organización deberá implementar, registrar y monitorear operativamente todos los protocolos relacionados a Recolección de evidencias, estableciendo políticas técnicas correspondientes.</t>
        </is>
      </c>
    </row>
    <row r="30" ht="67.5" customHeight="1" s="106">
      <c r="A30" s="38">
        <f>'ANEXO A'!A30</f>
        <v/>
      </c>
      <c r="B30" s="38">
        <f>IFERROR(VLOOKUP(A30, 'ANEXO A'!$A$2:$L$94, 2, FALSE), "")</f>
        <v/>
      </c>
      <c r="C30" s="38">
        <f>IF(LEFT(A30,1)="5", "5. Organizacionales", IF(LEFT(A30,1)="6", "6. Personas", IF(LEFT(A30,1)="7", "7. Físicos", "8. Tecnológicos")))</f>
        <v/>
      </c>
      <c r="D30" s="38">
        <f>IFERROR(VLOOKUP(A30, 'ANEXO A'!$A$2:$L$94, 11, FALSE), "")</f>
        <v/>
      </c>
      <c r="E30" s="38">
        <f>IFERROR(VLOOKUP(A30, 'ANEXO A'!$A$2:$L$94, 8, FALSE), "")</f>
        <v/>
      </c>
      <c r="F30" s="38">
        <f>IFERROR(VLOOKUP(A30, 'ANEXO A'!$A$2:$L$94, 9, FALSE), "")</f>
        <v/>
      </c>
      <c r="G30" s="38">
        <f>IFERROR(VLOOKUP(A30, 'ANEXO A'!$A$2:$L$94, 10, FALSE), "")</f>
        <v/>
      </c>
      <c r="H30" s="38">
        <f>IFERROR(VLOOKUP(A30, 'ANEXO A'!$A$2:$L$94, 12, FALSE), "")</f>
        <v/>
      </c>
      <c r="I30" s="38" t="inlineStr">
        <is>
          <t>Anexo 1 SEPS / DRP: Mantenimiento de las salvaguardas de confidencialidad e integridad durante la activación de contingencias (SEPS-2022-002 / ISO 27001).</t>
        </is>
      </c>
      <c r="J30" s="112">
        <f>"• Establecer lineamientos para " &amp; IFERROR(VLOOKUP(A30, 'ANEXO A'!$A$2:$L$94, 2, FALSE), "Este Control") &amp; CHAR(10) &amp; "• Definir roles para el control " &amp; A30 &amp; CHAR(10) &amp; "• Revisar efectividad de " &amp; IFERROR(VLOOKUP(A30, 'ANEXO A'!$A$2:$L$94, 2, FALSE), "Este Control")</f>
        <v/>
      </c>
      <c r="K30" s="112" t="inlineStr">
        <is>
          <t>Asegurar el cumplimiento, control y resguardo continuo de los procesos de Seguridad de la información durante la interrupción a fin de mitigar riesgos y mantener la alineación a los principios de confidencialidad, integridad y disponibilidad aplicables a este dominio.</t>
        </is>
      </c>
      <c r="L30" s="112" t="inlineStr">
        <is>
          <t>La organización deberá implementar, registrar y monitorear operativamente todos los protocolos relacionados a Seguridad de la información durante la interrupción, estableciendo políticas técnicas correspondientes.</t>
        </is>
      </c>
    </row>
    <row r="31" ht="78.75" customHeight="1" s="106">
      <c r="A31" s="38">
        <f>'ANEXO A'!A31</f>
        <v/>
      </c>
      <c r="B31" s="38">
        <f>IFERROR(VLOOKUP(A31, 'ANEXO A'!$A$2:$L$94, 2, FALSE), "")</f>
        <v/>
      </c>
      <c r="C31" s="38">
        <f>IF(LEFT(A31,1)="5", "5. Organizacionales", IF(LEFT(A31,1)="6", "6. Personas", IF(LEFT(A31,1)="7", "7. Físicos", "8. Tecnológicos")))</f>
        <v/>
      </c>
      <c r="D31" s="38">
        <f>IFERROR(VLOOKUP(A31, 'ANEXO A'!$A$2:$L$94, 11, FALSE), "")</f>
        <v/>
      </c>
      <c r="E31" s="38">
        <f>IFERROR(VLOOKUP(A31, 'ANEXO A'!$A$2:$L$94, 8, FALSE), "")</f>
        <v/>
      </c>
      <c r="F31" s="38">
        <f>IFERROR(VLOOKUP(A31, 'ANEXO A'!$A$2:$L$94, 9, FALSE), "")</f>
        <v/>
      </c>
      <c r="G31" s="38">
        <f>IFERROR(VLOOKUP(A31, 'ANEXO A'!$A$2:$L$94, 10, FALSE), "")</f>
        <v/>
      </c>
      <c r="H31" s="38">
        <f>IFERROR(VLOOKUP(A31, 'ANEXO A'!$A$2:$L$94, 12, FALSE), "")</f>
        <v/>
      </c>
      <c r="I31" s="38" t="inlineStr">
        <is>
          <t>Anexo 1 SEPS (Planes de Contingencia): Definición y pruebas periódicas de RTO/RPO y continuidad en infraestructura tecnológica (SEPS-2022-002).</t>
        </is>
      </c>
      <c r="J31" s="112">
        <f>"• Establecer lineamientos para " &amp; IFERROR(VLOOKUP(A31, 'ANEXO A'!$A$2:$L$94, 2, FALSE), "Este Control") &amp; CHAR(10) &amp; "• Definir roles para el control " &amp; A31 &amp; CHAR(10) &amp; "• Revisar efectividad de " &amp; IFERROR(VLOOKUP(A31, 'ANEXO A'!$A$2:$L$94, 2, FALSE), "Este Control")</f>
        <v/>
      </c>
      <c r="K31" s="112" t="inlineStr">
        <is>
          <t>Asegurar el cumplimiento, control y resguardo continuo de los procesos de Preparación de las TIC para la continuidad del negocio a fin de mitigar riesgos y mantener la alineación a los principios de confidencialidad, integridad y disponibilidad aplicables a este dominio.</t>
        </is>
      </c>
      <c r="L31" s="112" t="inlineStr">
        <is>
          <t>La organización deberá implementar, registrar y monitorear operativamente todos los protocolos relacionados a Preparación de las TIC para la continuidad del negocio, estableciendo políticas técnicas correspondientes.</t>
        </is>
      </c>
    </row>
    <row r="32" ht="78.75" customHeight="1" s="106">
      <c r="A32" s="38">
        <f>'ANEXO A'!A32</f>
        <v/>
      </c>
      <c r="B32" s="38">
        <f>IFERROR(VLOOKUP(A32, 'ANEXO A'!$A$2:$L$94, 2, FALSE), "")</f>
        <v/>
      </c>
      <c r="C32" s="38">
        <f>IF(LEFT(A32,1)="5", "5. Organizacionales", IF(LEFT(A32,1)="6", "6. Personas", IF(LEFT(A32,1)="7", "7. Físicos", "8. Tecnológicos")))</f>
        <v/>
      </c>
      <c r="D32" s="38">
        <f>IFERROR(VLOOKUP(A32, 'ANEXO A'!$A$2:$L$94, 11, FALSE), "")</f>
        <v/>
      </c>
      <c r="E32" s="38">
        <f>IFERROR(VLOOKUP(A32, 'ANEXO A'!$A$2:$L$94, 8, FALSE), "")</f>
        <v/>
      </c>
      <c r="F32" s="38">
        <f>IFERROR(VLOOKUP(A32, 'ANEXO A'!$A$2:$L$94, 9, FALSE), "")</f>
        <v/>
      </c>
      <c r="G32" s="38">
        <f>IFERROR(VLOOKUP(A32, 'ANEXO A'!$A$2:$L$94, 10, FALSE), "")</f>
        <v/>
      </c>
      <c r="H32" s="38">
        <f>IFERROR(VLOOKUP(A32, 'ANEXO A'!$A$2:$L$94, 12, FALSE), "")</f>
        <v/>
      </c>
      <c r="I32" s="38" t="inlineStr">
        <is>
          <t>Sec. 3 Marco Normativo SEPS 002: Mapeo y cumplimiento sistemático del marco legal (SEPS, LOPDP, ISO 27001) (GSO-GSI-MP-GSI / SEPS-2022-002).</t>
        </is>
      </c>
      <c r="J32" s="112">
        <f>"• Establecer lineamientos para " &amp; IFERROR(VLOOKUP(A32, 'ANEXO A'!$A$2:$L$94, 2, FALSE), "Este Control") &amp; CHAR(10) &amp; "• Definir roles para el control " &amp; A32 &amp; CHAR(10) &amp; "• Revisar efectividad de " &amp; IFERROR(VLOOKUP(A32, 'ANEXO A'!$A$2:$L$94, 2, FALSE), "Este Control")</f>
        <v/>
      </c>
      <c r="K32" s="112" t="inlineStr">
        <is>
          <t>Asegurar el cumplimiento, control y resguardo continuo de los procesos de Requisitos legales, estatutarios, reglamentarios y contractuales a fin de mitigar riesgos y mantener la alineación a los principios de confidencialidad, integridad y disponibilidad aplicables a este dominio.</t>
        </is>
      </c>
      <c r="L32" s="112" t="inlineStr">
        <is>
          <t>La organización deberá implementar, registrar y monitorear operativamente todos los protocolos relacionados a Requisitos legales, estatutarios, reglamentarios y contractuales, estableciendo políticas técnicas correspondientes.</t>
        </is>
      </c>
    </row>
    <row r="33" ht="56.25" customHeight="1" s="106">
      <c r="A33" s="38">
        <f>'ANEXO A'!A33</f>
        <v/>
      </c>
      <c r="B33" s="38">
        <f>IFERROR(VLOOKUP(A33, 'ANEXO A'!$A$2:$L$94, 2, FALSE), "")</f>
        <v/>
      </c>
      <c r="C33" s="38">
        <f>IF(LEFT(A33,1)="5", "5. Organizacionales", IF(LEFT(A33,1)="6", "6. Personas", IF(LEFT(A33,1)="7", "7. Físicos", "8. Tecnológicos")))</f>
        <v/>
      </c>
      <c r="D33" s="38">
        <f>IFERROR(VLOOKUP(A33, 'ANEXO A'!$A$2:$L$94, 11, FALSE), "")</f>
        <v/>
      </c>
      <c r="E33" s="38">
        <f>IFERROR(VLOOKUP(A33, 'ANEXO A'!$A$2:$L$94, 8, FALSE), "")</f>
        <v/>
      </c>
      <c r="F33" s="38">
        <f>IFERROR(VLOOKUP(A33, 'ANEXO A'!$A$2:$L$94, 9, FALSE), "")</f>
        <v/>
      </c>
      <c r="G33" s="38">
        <f>IFERROR(VLOOKUP(A33, 'ANEXO A'!$A$2:$L$94, 10, FALSE), "")</f>
        <v/>
      </c>
      <c r="H33" s="38">
        <f>IFERROR(VLOOKUP(A33, 'ANEXO A'!$A$2:$L$94, 12, FALSE), "")</f>
        <v/>
      </c>
      <c r="I33" s="38" t="inlineStr">
        <is>
          <t>6.13 Gestión de activos / Anexo 1 SEPS: Control y verificación de licenciamiento de software y restricción de uso no autorizado (GSO-GSI-ME-GAI / SEPS-2022-002).</t>
        </is>
      </c>
      <c r="J33" s="112">
        <f>"• Establecer lineamientos para " &amp; IFERROR(VLOOKUP(A33, 'ANEXO A'!$A$2:$L$94, 2, FALSE), "Este Control") &amp; CHAR(10) &amp; "• Definir roles para el control " &amp; A33 &amp; CHAR(10) &amp; "• Revisar efectividad de " &amp; IFERROR(VLOOKUP(A33, 'ANEXO A'!$A$2:$L$94, 2, FALSE), "Este Control")</f>
        <v/>
      </c>
      <c r="K33" s="112" t="inlineStr">
        <is>
          <t>Asegurar el cumplimiento, control y resguardo continuo de los procesos de Derechos de propiedad intelectual a fin de mitigar riesgos y mantener la alineación a los principios de confidencialidad, integridad y disponibilidad aplicables a este dominio.</t>
        </is>
      </c>
      <c r="L33" s="112" t="inlineStr">
        <is>
          <t>La organización deberá implementar, registrar y monitorear operativamente todos los protocolos relacionados a Derechos de propiedad intelectual, estableciendo políticas técnicas correspondientes.</t>
        </is>
      </c>
    </row>
    <row r="34" ht="56.25" customHeight="1" s="106">
      <c r="A34" s="38">
        <f>'ANEXO A'!A34</f>
        <v/>
      </c>
      <c r="B34" s="38">
        <f>IFERROR(VLOOKUP(A34, 'ANEXO A'!$A$2:$L$94, 2, FALSE), "")</f>
        <v/>
      </c>
      <c r="C34" s="38">
        <f>IF(LEFT(A34,1)="5", "5. Organizacionales", IF(LEFT(A34,1)="6", "6. Personas", IF(LEFT(A34,1)="7", "7. Físicos", "8. Tecnológicos")))</f>
        <v/>
      </c>
      <c r="D34" s="38">
        <f>IFERROR(VLOOKUP(A34, 'ANEXO A'!$A$2:$L$94, 11, FALSE), "")</f>
        <v/>
      </c>
      <c r="E34" s="38">
        <f>IFERROR(VLOOKUP(A34, 'ANEXO A'!$A$2:$L$94, 8, FALSE), "")</f>
        <v/>
      </c>
      <c r="F34" s="38">
        <f>IFERROR(VLOOKUP(A34, 'ANEXO A'!$A$2:$L$94, 9, FALSE), "")</f>
        <v/>
      </c>
      <c r="G34" s="38">
        <f>IFERROR(VLOOKUP(A34, 'ANEXO A'!$A$2:$L$94, 10, FALSE), "")</f>
        <v/>
      </c>
      <c r="H34" s="38">
        <f>IFERROR(VLOOKUP(A34, 'ANEXO A'!$A$2:$L$94, 12, FALSE), "")</f>
        <v/>
      </c>
      <c r="I34" s="38" t="inlineStr">
        <is>
          <t>6.1 Políticas / 6.14 Auditoría BD: Custodia, retención y protección física y lógica de bitácoras, actas y registros digitales (GSO-GSI-MP-GSI).</t>
        </is>
      </c>
      <c r="J34" s="112">
        <f>"• Establecer lineamientos para " &amp; IFERROR(VLOOKUP(A34, 'ANEXO A'!$A$2:$L$94, 2, FALSE), "Este Control") &amp; CHAR(10) &amp; "• Definir roles para el control " &amp; A34 &amp; CHAR(10) &amp; "• Revisar efectividad de " &amp; IFERROR(VLOOKUP(A34, 'ANEXO A'!$A$2:$L$94, 2, FALSE), "Este Control")</f>
        <v/>
      </c>
      <c r="K34" s="112" t="inlineStr">
        <is>
          <t>Asegurar el cumplimiento, control y resguardo continuo de los procesos de Protección de los registros a fin de mitigar riesgos y mantener la alineación a los principios de confidencialidad, integridad y disponibilidad aplicables a este dominio.</t>
        </is>
      </c>
      <c r="L34" s="112" t="inlineStr">
        <is>
          <t>La organización deberá implementar, registrar y monitorear operativamente todos los protocolos relacionados a Protección de los registros, estableciendo políticas técnicas correspondientes.</t>
        </is>
      </c>
    </row>
    <row r="35" ht="90" customHeight="1" s="106">
      <c r="A35" s="38">
        <f>'ANEXO A'!A35</f>
        <v/>
      </c>
      <c r="B35" s="38">
        <f>IFERROR(VLOOKUP(A35, 'ANEXO A'!$A$2:$L$94, 2, FALSE), "")</f>
        <v/>
      </c>
      <c r="C35" s="38">
        <f>IF(LEFT(A35,1)="5", "5. Organizacionales", IF(LEFT(A35,1)="6", "6. Personas", IF(LEFT(A35,1)="7", "7. Físicos", "8. Tecnológicos")))</f>
        <v/>
      </c>
      <c r="D35" s="38">
        <f>IFERROR(VLOOKUP(A35, 'ANEXO A'!$A$2:$L$94, 11, FALSE), "")</f>
        <v/>
      </c>
      <c r="E35" s="38">
        <f>IFERROR(VLOOKUP(A35, 'ANEXO A'!$A$2:$L$94, 8, FALSE), "")</f>
        <v/>
      </c>
      <c r="F35" s="38">
        <f>IFERROR(VLOOKUP(A35, 'ANEXO A'!$A$2:$L$94, 9, FALSE), "")</f>
        <v/>
      </c>
      <c r="G35" s="38">
        <f>IFERROR(VLOOKUP(A35, 'ANEXO A'!$A$2:$L$94, 10, FALSE), "")</f>
        <v/>
      </c>
      <c r="H35" s="38">
        <f>IFERROR(VLOOKUP(A35, 'ANEXO A'!$A$2:$L$94, 12, FALSE), "")</f>
        <v/>
      </c>
      <c r="I35" s="38" t="inlineStr">
        <is>
          <t>6.17 Escaneo PCI DSS / LOPDP: Tratamiento lícito, enmascaramiento y resguardo de datos personales y tarjetahabientes (GSO-GSI-MP-GSI / SEPS-2022-002).</t>
        </is>
      </c>
      <c r="J35" s="112">
        <f>"• Establecer lineamientos para " &amp; IFERROR(VLOOKUP(A35, 'ANEXO A'!$A$2:$L$94, 2, FALSE), "Este Control") &amp; CHAR(10) &amp; "• Definir roles para el control " &amp; A35 &amp; CHAR(10) &amp; "• Revisar efectividad de " &amp; IFERROR(VLOOKUP(A35, 'ANEXO A'!$A$2:$L$94, 2, FALSE), "Este Control")</f>
        <v/>
      </c>
      <c r="K35" s="112" t="inlineStr">
        <is>
          <t>Asegurar el cumplimiento, control y resguardo continuo de los procesos de Privacidad y protección de la información de identificación personal (PII) a fin de mitigar riesgos y mantener la alineación a los principios de confidencialidad, integridad y disponibilidad aplicables a este dominio.</t>
        </is>
      </c>
      <c r="L35" s="112" t="inlineStr">
        <is>
          <t>La organización deberá implementar, registrar y monitorear operativamente todos los protocolos relacionados a Privacidad y protección de la información de identificación personal (PII), estableciendo políticas técnicas correspondientes.</t>
        </is>
      </c>
    </row>
    <row r="36" ht="78.75" customHeight="1" s="106">
      <c r="A36" s="38">
        <f>'ANEXO A'!A36</f>
        <v/>
      </c>
      <c r="B36" s="38">
        <f>IFERROR(VLOOKUP(A36, 'ANEXO A'!$A$2:$L$94, 2, FALSE), "")</f>
        <v/>
      </c>
      <c r="C36" s="38">
        <f>IF(LEFT(A36,1)="5", "5. Organizacionales", IF(LEFT(A36,1)="6", "6. Personas", IF(LEFT(A36,1)="7", "7. Físicos", "8. Tecnológicos")))</f>
        <v/>
      </c>
      <c r="D36" s="38">
        <f>IFERROR(VLOOKUP(A36, 'ANEXO A'!$A$2:$L$94, 11, FALSE), "")</f>
        <v/>
      </c>
      <c r="E36" s="38">
        <f>IFERROR(VLOOKUP(A36, 'ANEXO A'!$A$2:$L$94, 8, FALSE), "")</f>
        <v/>
      </c>
      <c r="F36" s="38">
        <f>IFERROR(VLOOKUP(A36, 'ANEXO A'!$A$2:$L$94, 9, FALSE), "")</f>
        <v/>
      </c>
      <c r="G36" s="38">
        <f>IFERROR(VLOOKUP(A36, 'ANEXO A'!$A$2:$L$94, 10, FALSE), "")</f>
        <v/>
      </c>
      <c r="H36" s="38">
        <f>IFERROR(VLOOKUP(A36, 'ANEXO A'!$A$2:$L$94, 12, FALSE), "")</f>
        <v/>
      </c>
      <c r="I36" s="38" t="inlineStr">
        <is>
          <t>6.2 Controles / Sec. 12 SEPS 002: Auditorías informáticas internas y externas anuales al SGSI (GSO-GSI-MP-GSI / SEPS-2022-002).</t>
        </is>
      </c>
      <c r="J36" s="112">
        <f>"• Establecer lineamientos para " &amp; IFERROR(VLOOKUP(A36, 'ANEXO A'!$A$2:$L$94, 2, FALSE), "Este Control") &amp; CHAR(10) &amp; "• Definir roles para el control " &amp; A36 &amp; CHAR(10) &amp; "• Revisar efectividad de " &amp; IFERROR(VLOOKUP(A36, 'ANEXO A'!$A$2:$L$94, 2, FALSE), "Este Control")</f>
        <v/>
      </c>
      <c r="K36" s="112" t="inlineStr">
        <is>
          <t>Asegurar el cumplimiento, control y resguardo continuo de los procesos de Revisión independiente de la seguridad de la información a fin de mitigar riesgos y mantener la alineación a los principios de confidencialidad, integridad y disponibilidad aplicables a este dominio.</t>
        </is>
      </c>
      <c r="L36" s="112" t="inlineStr">
        <is>
          <t>La organización deberá implementar, registrar y monitorear operativamente todos los protocolos relacionados a Revisión independiente de la seguridad de la información, estableciendo políticas técnicas correspondientes.</t>
        </is>
      </c>
    </row>
    <row r="37" ht="78.75" customHeight="1" s="106">
      <c r="A37" s="38">
        <f>'ANEXO A'!A37</f>
        <v/>
      </c>
      <c r="B37" s="38">
        <f>IFERROR(VLOOKUP(A37, 'ANEXO A'!$A$2:$L$94, 2, FALSE), "")</f>
        <v/>
      </c>
      <c r="C37" s="38">
        <f>IF(LEFT(A37,1)="5", "5. Organizacionales", IF(LEFT(A37,1)="6", "6. Personas", IF(LEFT(A37,1)="7", "7. Físicos", "8. Tecnológicos")))</f>
        <v/>
      </c>
      <c r="D37" s="38">
        <f>IFERROR(VLOOKUP(A37, 'ANEXO A'!$A$2:$L$94, 11, FALSE), "")</f>
        <v/>
      </c>
      <c r="E37" s="38">
        <f>IFERROR(VLOOKUP(A37, 'ANEXO A'!$A$2:$L$94, 8, FALSE), "")</f>
        <v/>
      </c>
      <c r="F37" s="38">
        <f>IFERROR(VLOOKUP(A37, 'ANEXO A'!$A$2:$L$94, 9, FALSE), "")</f>
        <v/>
      </c>
      <c r="G37" s="38">
        <f>IFERROR(VLOOKUP(A37, 'ANEXO A'!$A$2:$L$94, 10, FALSE), "")</f>
        <v/>
      </c>
      <c r="H37" s="38">
        <f>IFERROR(VLOOKUP(A37, 'ANEXO A'!$A$2:$L$94, 12, FALSE), "")</f>
        <v/>
      </c>
      <c r="I37" s="38" t="inlineStr">
        <is>
          <t>6.16 Revisión y monitoreo: Ejecución de checklist semestral y elaboración de informe de cumplimiento de políticas (GSO-GSI-MP-GSI).</t>
        </is>
      </c>
      <c r="J37" s="112">
        <f>"• Establecer lineamientos para " &amp; IFERROR(VLOOKUP(A37, 'ANEXO A'!$A$2:$L$94, 2, FALSE), "Este Control") &amp; CHAR(10) &amp; "• Definir roles para el control " &amp; A37 &amp; CHAR(10) &amp; "• Revisar efectividad de " &amp; IFERROR(VLOOKUP(A37, 'ANEXO A'!$A$2:$L$94, 2, FALSE), "Este Control")</f>
        <v/>
      </c>
      <c r="K37" s="112" t="inlineStr">
        <is>
          <t>Asegurar el cumplimiento, control y resguardo continuo de los procesos de Cumplimiento de las políticas, normas y estándares de seguridad a fin de mitigar riesgos y mantener la alineación a los principios de confidencialidad, integridad y disponibilidad aplicables a este dominio.</t>
        </is>
      </c>
      <c r="L37" s="112" t="inlineStr">
        <is>
          <t>La organización deberá implementar, registrar y monitorear operativamente todos los protocolos relacionados a Cumplimiento de las políticas, normas y estándares de seguridad, estableciendo políticas técnicas correspondientes.</t>
        </is>
      </c>
    </row>
    <row r="38" ht="78.75" customHeight="1" s="106">
      <c r="A38" s="38">
        <f>'ANEXO A'!A38</f>
        <v/>
      </c>
      <c r="B38" s="38">
        <f>IFERROR(VLOOKUP(A38, 'ANEXO A'!$A$2:$L$94, 2, FALSE), "")</f>
        <v/>
      </c>
      <c r="C38" s="38">
        <f>IF(LEFT(A38,1)="5", "5. Organizacionales", IF(LEFT(A38,1)="6", "6. Personas", IF(LEFT(A38,1)="7", "7. Físicos", "8. Tecnológicos")))</f>
        <v/>
      </c>
      <c r="D38" s="38">
        <f>IFERROR(VLOOKUP(A38, 'ANEXO A'!$A$2:$L$94, 11, FALSE), "")</f>
        <v/>
      </c>
      <c r="E38" s="38">
        <f>IFERROR(VLOOKUP(A38, 'ANEXO A'!$A$2:$L$94, 8, FALSE), "")</f>
        <v/>
      </c>
      <c r="F38" s="38">
        <f>IFERROR(VLOOKUP(A38, 'ANEXO A'!$A$2:$L$94, 9, FALSE), "")</f>
        <v/>
      </c>
      <c r="G38" s="38">
        <f>IFERROR(VLOOKUP(A38, 'ANEXO A'!$A$2:$L$94, 10, FALSE), "")</f>
        <v/>
      </c>
      <c r="H38" s="38">
        <f>IFERROR(VLOOKUP(A38, 'ANEXO A'!$A$2:$L$94, 12, FALSE), "")</f>
        <v/>
      </c>
      <c r="I38" s="38" t="inlineStr">
        <is>
          <t>Sec. 6 Procedimientos Operativos GSI: Elaboración, actualización y formalización de manuales e instructivos de seguridad (GSO-GSI-MP-GSI).</t>
        </is>
      </c>
      <c r="J38" s="112">
        <f>"• Establecer lineamientos para " &amp; IFERROR(VLOOKUP(A38, 'ANEXO A'!$A$2:$L$94, 2, FALSE), "Este Control") &amp; CHAR(10) &amp; "• Definir roles para el control " &amp; A38 &amp; CHAR(10) &amp; "• Revisar efectividad de " &amp; IFERROR(VLOOKUP(A38, 'ANEXO A'!$A$2:$L$94, 2, FALSE), "Este Control")</f>
        <v/>
      </c>
      <c r="K38" s="112" t="inlineStr">
        <is>
          <t>Asegurar el cumplimiento, control y resguardo continuo de los procesos de Procedimientos operativos documentados a fin de mitigar riesgos y mantener la alineación a los principios de confidencialidad, integridad y disponibilidad aplicables a este dominio.</t>
        </is>
      </c>
      <c r="L38" s="112" t="inlineStr">
        <is>
          <t>La organización deberá implementar, registrar y monitorear operativamente todos los protocolos relacionados a Procedimientos operativos documentados, estableciendo políticas técnicas correspondientes.</t>
        </is>
      </c>
    </row>
    <row r="39" ht="56.25" customHeight="1" s="106">
      <c r="A39" s="38">
        <f>'ANEXO A'!A39</f>
        <v/>
      </c>
      <c r="B39" s="38">
        <f>IFERROR(VLOOKUP(A39, 'ANEXO A'!$A$2:$L$94, 2, FALSE), "")</f>
        <v/>
      </c>
      <c r="C39" s="38">
        <f>IF(LEFT(A39,1)="5", "5. Organizacionales", IF(LEFT(A39,1)="6", "6. Personas", IF(LEFT(A39,1)="7", "7. Físicos", "8. Tecnológicos")))</f>
        <v/>
      </c>
      <c r="D39" s="38">
        <f>IFERROR(VLOOKUP(A39, 'ANEXO A'!$A$2:$L$94, 11, FALSE), "")</f>
        <v/>
      </c>
      <c r="E39" s="38">
        <f>IFERROR(VLOOKUP(A39, 'ANEXO A'!$A$2:$L$94, 8, FALSE), "")</f>
        <v/>
      </c>
      <c r="F39" s="38">
        <f>IFERROR(VLOOKUP(A39, 'ANEXO A'!$A$2:$L$94, 9, FALSE), "")</f>
        <v/>
      </c>
      <c r="G39" s="38">
        <f>IFERROR(VLOOKUP(A39, 'ANEXO A'!$A$2:$L$94, 10, FALSE), "")</f>
        <v/>
      </c>
      <c r="H39" s="38">
        <f>IFERROR(VLOOKUP(A39, 'ANEXO A'!$A$2:$L$94, 12, FALSE), "")</f>
        <v/>
      </c>
      <c r="I39" s="38" t="inlineStr">
        <is>
          <t>6.2 Creación de nuevos usuarios (GTH): Validación previa de antecedentes laborales, penales y académicos por Talento Humano (GSO-GSI-MP-GSI / GTH-IDP).</t>
        </is>
      </c>
      <c r="J39" s="112">
        <f>"• Establecer lineamientos para " &amp; IFERROR(VLOOKUP(A39, 'ANEXO A'!$A$2:$L$94, 2, FALSE), "Este Control") &amp; CHAR(10) &amp; "• Definir roles para el control " &amp; A39 &amp; CHAR(10) &amp; "• Revisar efectividad de " &amp; IFERROR(VLOOKUP(A39, 'ANEXO A'!$A$2:$L$94, 2, FALSE), "Este Control")</f>
        <v/>
      </c>
      <c r="K39" s="112" t="inlineStr">
        <is>
          <t>Asegurar el cumplimiento, control y resguardo continuo de los procesos de Investigación de antecedentes a fin de mitigar riesgos y mantener la alineación a los principios de confidencialidad, integridad y disponibilidad aplicables a este dominio.</t>
        </is>
      </c>
      <c r="L39" s="112" t="inlineStr">
        <is>
          <t>La organización deberá implementar, registrar y monitorear operativamente todos los protocolos relacionados a Investigación de antecedentes, estableciendo políticas técnicas correspondientes.</t>
        </is>
      </c>
    </row>
    <row r="40" ht="56.25" customHeight="1" s="106">
      <c r="A40" s="38">
        <f>'ANEXO A'!A40</f>
        <v/>
      </c>
      <c r="B40" s="38">
        <f>IFERROR(VLOOKUP(A40, 'ANEXO A'!$A$2:$L$94, 2, FALSE), "")</f>
        <v/>
      </c>
      <c r="C40" s="38">
        <f>IF(LEFT(A40,1)="5", "5. Organizacionales", IF(LEFT(A40,1)="6", "6. Personas", IF(LEFT(A40,1)="7", "7. Físicos", "8. Tecnológicos")))</f>
        <v/>
      </c>
      <c r="D40" s="38">
        <f>IFERROR(VLOOKUP(A40, 'ANEXO A'!$A$2:$L$94, 11, FALSE), "")</f>
        <v/>
      </c>
      <c r="E40" s="38">
        <f>IFERROR(VLOOKUP(A40, 'ANEXO A'!$A$2:$L$94, 8, FALSE), "")</f>
        <v/>
      </c>
      <c r="F40" s="38">
        <f>IFERROR(VLOOKUP(A40, 'ANEXO A'!$A$2:$L$94, 9, FALSE), "")</f>
        <v/>
      </c>
      <c r="G40" s="38">
        <f>IFERROR(VLOOKUP(A40, 'ANEXO A'!$A$2:$L$94, 10, FALSE), "")</f>
        <v/>
      </c>
      <c r="H40" s="38">
        <f>IFERROR(VLOOKUP(A40, 'ANEXO A'!$A$2:$L$94, 12, FALSE), "")</f>
        <v/>
      </c>
      <c r="I40" s="38" t="inlineStr">
        <is>
          <t>6.2 Políticas Específicas / GTH: Inclusión contractual de responsabilidades de seguridad y deber de sigilo institucional (GSO-GSI-MP-GSI / SEPS-2022-002).</t>
        </is>
      </c>
      <c r="J40" s="112">
        <f>"• Establecer lineamientos para " &amp; IFERROR(VLOOKUP(A40, 'ANEXO A'!$A$2:$L$94, 2, FALSE), "Este Control") &amp; CHAR(10) &amp; "• Definir roles para el control " &amp; A40 &amp; CHAR(10) &amp; "• Revisar efectividad de " &amp; IFERROR(VLOOKUP(A40, 'ANEXO A'!$A$2:$L$94, 2, FALSE), "Este Control")</f>
        <v/>
      </c>
      <c r="K40" s="112" t="inlineStr">
        <is>
          <t>Asegurar el cumplimiento, control y resguardo continuo de los procesos de Términos y condiciones de empleo a fin de mitigar riesgos y mantener la alineación a los principios de confidencialidad, integridad y disponibilidad aplicables a este dominio.</t>
        </is>
      </c>
      <c r="L40" s="112" t="inlineStr">
        <is>
          <t>La organización deberá implementar, registrar y monitorear operativamente todos los protocolos relacionados a Términos y condiciones de empleo, estableciendo políticas técnicas correspondientes.</t>
        </is>
      </c>
    </row>
    <row r="41" ht="78.75" customHeight="1" s="106">
      <c r="A41" s="38">
        <f>'ANEXO A'!A41</f>
        <v/>
      </c>
      <c r="B41" s="38">
        <f>IFERROR(VLOOKUP(A41, 'ANEXO A'!$A$2:$L$94, 2, FALSE), "")</f>
        <v/>
      </c>
      <c r="C41" s="38">
        <f>IF(LEFT(A41,1)="5", "5. Organizacionales", IF(LEFT(A41,1)="6", "6. Personas", IF(LEFT(A41,1)="7", "7. Físicos", "8. Tecnológicos")))</f>
        <v/>
      </c>
      <c r="D41" s="38">
        <f>IFERROR(VLOOKUP(A41, 'ANEXO A'!$A$2:$L$94, 11, FALSE), "")</f>
        <v/>
      </c>
      <c r="E41" s="38">
        <f>IFERROR(VLOOKUP(A41, 'ANEXO A'!$A$2:$L$94, 8, FALSE), "")</f>
        <v/>
      </c>
      <c r="F41" s="38">
        <f>IFERROR(VLOOKUP(A41, 'ANEXO A'!$A$2:$L$94, 9, FALSE), "")</f>
        <v/>
      </c>
      <c r="G41" s="38">
        <f>IFERROR(VLOOKUP(A41, 'ANEXO A'!$A$2:$L$94, 10, FALSE), "")</f>
        <v/>
      </c>
      <c r="H41" s="38">
        <f>IFERROR(VLOOKUP(A41, 'ANEXO A'!$A$2:$L$94, 12, FALSE), "")</f>
        <v/>
      </c>
      <c r="I41" s="38" t="inlineStr">
        <is>
          <t>Anexo 1 SEPS 002 (Cultura de SI): Ejecución del plan anual de capacitación y evaluación de efectividad/madurez en seguridad (SEPS-2022-002).</t>
        </is>
      </c>
      <c r="J41" s="112">
        <f>"• Establecer lineamientos para " &amp; IFERROR(VLOOKUP(A41, 'ANEXO A'!$A$2:$L$94, 2, FALSE), "Este Control") &amp; CHAR(10) &amp; "• Definir roles para el control " &amp; A41 &amp; CHAR(10) &amp; "• Revisar efectividad de " &amp; IFERROR(VLOOKUP(A41, 'ANEXO A'!$A$2:$L$94, 2, FALSE), "Este Control")</f>
        <v/>
      </c>
      <c r="K41" s="112" t="inlineStr">
        <is>
          <t>Asegurar el cumplimiento, control y resguardo continuo de los procesos de Concienciación, educación y capacitación a fin de mitigar riesgos y mantener la alineación a los principios de confidencialidad, integridad y disponibilidad aplicables a este dominio.</t>
        </is>
      </c>
      <c r="L41" s="112" t="inlineStr">
        <is>
          <t>La organización deberá implementar, registrar y monitorear operativamente todos los protocolos relacionados a Concienciación, educación y capacitación, estableciendo políticas técnicas correspondientes.</t>
        </is>
      </c>
    </row>
    <row r="42" ht="56.25" customHeight="1" s="106">
      <c r="A42" s="38">
        <f>'ANEXO A'!A42</f>
        <v/>
      </c>
      <c r="B42" s="38">
        <f>IFERROR(VLOOKUP(A42, 'ANEXO A'!$A$2:$L$94, 2, FALSE), "")</f>
        <v/>
      </c>
      <c r="C42" s="38">
        <f>IF(LEFT(A42,1)="5", "5. Organizacionales", IF(LEFT(A42,1)="6", "6. Personas", IF(LEFT(A42,1)="7", "7. Físicos", "8. Tecnológicos")))</f>
        <v/>
      </c>
      <c r="D42" s="38">
        <f>IFERROR(VLOOKUP(A42, 'ANEXO A'!$A$2:$L$94, 11, FALSE), "")</f>
        <v/>
      </c>
      <c r="E42" s="38">
        <f>IFERROR(VLOOKUP(A42, 'ANEXO A'!$A$2:$L$94, 8, FALSE), "")</f>
        <v/>
      </c>
      <c r="F42" s="38">
        <f>IFERROR(VLOOKUP(A42, 'ANEXO A'!$A$2:$L$94, 9, FALSE), "")</f>
        <v/>
      </c>
      <c r="G42" s="38">
        <f>IFERROR(VLOOKUP(A42, 'ANEXO A'!$A$2:$L$94, 10, FALSE), "")</f>
        <v/>
      </c>
      <c r="H42" s="38">
        <f>IFERROR(VLOOKUP(A42, 'ANEXO A'!$A$2:$L$94, 12, FALSE), "")</f>
        <v/>
      </c>
      <c r="I42" s="38" t="inlineStr">
        <is>
          <t>6.4 Políticas / Reglamento Interno: Aplicación de sanciones ante reincidencia en bloqueos, negligencia o vulneración de políticas de SI (GSO-GSI-MP-GSI).</t>
        </is>
      </c>
      <c r="J42" s="112">
        <f>"• Establecer lineamientos para " &amp; IFERROR(VLOOKUP(A42, 'ANEXO A'!$A$2:$L$94, 2, FALSE), "Este Control") &amp; CHAR(10) &amp; "• Definir roles para el control " &amp; A42 &amp; CHAR(10) &amp; "• Revisar efectividad de " &amp; IFERROR(VLOOKUP(A42, 'ANEXO A'!$A$2:$L$94, 2, FALSE), "Este Control")</f>
        <v/>
      </c>
      <c r="K42" s="112" t="inlineStr">
        <is>
          <t>Asegurar el cumplimiento, control y resguardo continuo de los procesos de Proceso disciplinario a fin de mitigar riesgos y mantener la alineación a los principios de confidencialidad, integridad y disponibilidad aplicables a este dominio.</t>
        </is>
      </c>
      <c r="L42" s="112" t="inlineStr">
        <is>
          <t>La organización deberá implementar, registrar y monitorear operativamente todos los protocolos relacionados a Proceso disciplinario, estableciendo políticas técnicas correspondientes.</t>
        </is>
      </c>
    </row>
    <row r="43" ht="78.75" customHeight="1" s="106">
      <c r="A43" s="38">
        <f>'ANEXO A'!A43</f>
        <v/>
      </c>
      <c r="B43" s="38">
        <f>IFERROR(VLOOKUP(A43, 'ANEXO A'!$A$2:$L$94, 2, FALSE), "")</f>
        <v/>
      </c>
      <c r="C43" s="38">
        <f>IF(LEFT(A43,1)="5", "5. Organizacionales", IF(LEFT(A43,1)="6", "6. Personas", IF(LEFT(A43,1)="7", "7. Físicos", "8. Tecnológicos")))</f>
        <v/>
      </c>
      <c r="D43" s="38">
        <f>IFERROR(VLOOKUP(A43, 'ANEXO A'!$A$2:$L$94, 11, FALSE), "")</f>
        <v/>
      </c>
      <c r="E43" s="38">
        <f>IFERROR(VLOOKUP(A43, 'ANEXO A'!$A$2:$L$94, 8, FALSE), "")</f>
        <v/>
      </c>
      <c r="F43" s="38">
        <f>IFERROR(VLOOKUP(A43, 'ANEXO A'!$A$2:$L$94, 9, FALSE), "")</f>
        <v/>
      </c>
      <c r="G43" s="38">
        <f>IFERROR(VLOOKUP(A43, 'ANEXO A'!$A$2:$L$94, 10, FALSE), "")</f>
        <v/>
      </c>
      <c r="H43" s="38">
        <f>IFERROR(VLOOKUP(A43, 'ANEXO A'!$A$2:$L$94, 12, FALSE), "")</f>
        <v/>
      </c>
      <c r="I43" s="38" t="inlineStr">
        <is>
          <t>6.3 Modificación / 6.5 Eliminación de usuarios: Suscripción de acuerdos de confidencialidad permanentes y revocación de accesos al cesar funciones (GSO-GSI-MP-GSI).</t>
        </is>
      </c>
      <c r="J43" s="112">
        <f>"• Establecer lineamientos para " &amp; IFERROR(VLOOKUP(A43, 'ANEXO A'!$A$2:$L$94, 2, FALSE), "Este Control") &amp; CHAR(10) &amp; "• Definir roles para el control " &amp; A43 &amp; CHAR(10) &amp; "• Revisar efectividad de " &amp; IFERROR(VLOOKUP(A43, 'ANEXO A'!$A$2:$L$94, 2, FALSE), "Este Control")</f>
        <v/>
      </c>
      <c r="K43" s="112" t="inlineStr">
        <is>
          <t>Asegurar el cumplimiento, control y resguardo continuo de los procesos de Responsabilidades después de la terminación o cambio de empleo a fin de mitigar riesgos y mantener la alineación a los principios de confidencialidad, integridad y disponibilidad aplicables a este dominio.</t>
        </is>
      </c>
      <c r="L43" s="112" t="inlineStr">
        <is>
          <t>La organización deberá implementar, registrar y monitorear operativamente todos los protocolos relacionados a Responsabilidades después de la terminación o cambio de empleo, estableciendo políticas técnicas correspondientes.</t>
        </is>
      </c>
    </row>
    <row r="44" ht="67.5" customHeight="1" s="106">
      <c r="A44" s="38">
        <f>'ANEXO A'!A44</f>
        <v/>
      </c>
      <c r="B44" s="38">
        <f>IFERROR(VLOOKUP(A44, 'ANEXO A'!$A$2:$L$94, 2, FALSE), "")</f>
        <v/>
      </c>
      <c r="C44" s="38">
        <f>IF(LEFT(A44,1)="5", "5. Organizacionales", IF(LEFT(A44,1)="6", "6. Personas", IF(LEFT(A44,1)="7", "7. Físicos", "8. Tecnológicos")))</f>
        <v/>
      </c>
      <c r="D44" s="38">
        <f>IFERROR(VLOOKUP(A44, 'ANEXO A'!$A$2:$L$94, 11, FALSE), "")</f>
        <v/>
      </c>
      <c r="E44" s="38">
        <f>IFERROR(VLOOKUP(A44, 'ANEXO A'!$A$2:$L$94, 8, FALSE), "")</f>
        <v/>
      </c>
      <c r="F44" s="38">
        <f>IFERROR(VLOOKUP(A44, 'ANEXO A'!$A$2:$L$94, 9, FALSE), "")</f>
        <v/>
      </c>
      <c r="G44" s="38">
        <f>IFERROR(VLOOKUP(A44, 'ANEXO A'!$A$2:$L$94, 10, FALSE), "")</f>
        <v/>
      </c>
      <c r="H44" s="38">
        <f>IFERROR(VLOOKUP(A44, 'ANEXO A'!$A$2:$L$94, 12, FALSE), "")</f>
        <v/>
      </c>
      <c r="I44" s="38" t="inlineStr">
        <is>
          <t>6.2 Creación (Equifax/Aval) / GTH: Firma obligatoria de convenios de confidencialidad por colaboradores y terceros (GSO-GSI-MP-GSI).</t>
        </is>
      </c>
      <c r="J44" s="112">
        <f>"• Establecer lineamientos para " &amp; IFERROR(VLOOKUP(A44, 'ANEXO A'!$A$2:$L$94, 2, FALSE), "Este Control") &amp; CHAR(10) &amp; "• Definir roles para el control " &amp; A44 &amp; CHAR(10) &amp; "• Revisar efectividad de " &amp; IFERROR(VLOOKUP(A44, 'ANEXO A'!$A$2:$L$94, 2, FALSE), "Este Control")</f>
        <v/>
      </c>
      <c r="K44" s="112" t="inlineStr">
        <is>
          <t>Asegurar el cumplimiento, control y resguardo continuo de los procesos de Acuerdos de confidencialidad o no divulgación a fin de mitigar riesgos y mantener la alineación a los principios de confidencialidad, integridad y disponibilidad aplicables a este dominio.</t>
        </is>
      </c>
      <c r="L44" s="112" t="inlineStr">
        <is>
          <t>La organización deberá implementar, registrar y monitorear operativamente todos los protocolos relacionados a Acuerdos de confidencialidad o no divulgación, estableciendo políticas técnicas correspondientes.</t>
        </is>
      </c>
    </row>
    <row r="45" ht="56.25" customHeight="1" s="106">
      <c r="A45" s="38">
        <f>'ANEXO A'!A45</f>
        <v/>
      </c>
      <c r="B45" s="38">
        <f>IFERROR(VLOOKUP(A45, 'ANEXO A'!$A$2:$L$94, 2, FALSE), "")</f>
        <v/>
      </c>
      <c r="C45" s="38">
        <f>IF(LEFT(A45,1)="5", "5. Organizacionales", IF(LEFT(A45,1)="6", "6. Personas", IF(LEFT(A45,1)="7", "7. Físicos", "8. Tecnológicos")))</f>
        <v/>
      </c>
      <c r="D45" s="38">
        <f>IFERROR(VLOOKUP(A45, 'ANEXO A'!$A$2:$L$94, 11, FALSE), "")</f>
        <v/>
      </c>
      <c r="E45" s="38">
        <f>IFERROR(VLOOKUP(A45, 'ANEXO A'!$A$2:$L$94, 8, FALSE), "")</f>
        <v/>
      </c>
      <c r="F45" s="38">
        <f>IFERROR(VLOOKUP(A45, 'ANEXO A'!$A$2:$L$94, 9, FALSE), "")</f>
        <v/>
      </c>
      <c r="G45" s="38">
        <f>IFERROR(VLOOKUP(A45, 'ANEXO A'!$A$2:$L$94, 10, FALSE), "")</f>
        <v/>
      </c>
      <c r="H45" s="38">
        <f>IFERROR(VLOOKUP(A45, 'ANEXO A'!$A$2:$L$94, 12, FALSE), "")</f>
        <v/>
      </c>
      <c r="I45" s="38" t="inlineStr">
        <is>
          <t>6.2 VPN Directorio Activo: Uso obligatorio de VPN corporativa y autenticación multifactor para accesos remotos autorizados (GSO-GSI-MP-GSI)</t>
        </is>
      </c>
      <c r="J45" s="112">
        <f>"• Establecer lineamientos para " &amp; IFERROR(VLOOKUP(A45, 'ANEXO A'!$A$2:$L$94, 2, FALSE), "Este Control") &amp; CHAR(10) &amp; "• Definir roles para el control " &amp; A45 &amp; CHAR(10) &amp; "• Revisar efectividad de " &amp; IFERROR(VLOOKUP(A45, 'ANEXO A'!$A$2:$L$94, 2, FALSE), "Este Control")</f>
        <v/>
      </c>
      <c r="K45" s="112" t="inlineStr">
        <is>
          <t>Asegurar el cumplimiento, control y resguardo continuo de los procesos de Trabajo a distancia a fin de mitigar riesgos y mantener la alineación a los principios de confidencialidad, integridad y disponibilidad aplicables a este dominio.</t>
        </is>
      </c>
      <c r="L45" s="112" t="inlineStr">
        <is>
          <t>La organización deberá implementar, registrar y monitorear operativamente todos los protocolos relacionados a Trabajo a distancia, estableciendo políticas técnicas correspondientes.</t>
        </is>
      </c>
    </row>
    <row r="46" ht="78.75" customHeight="1" s="106">
      <c r="A46" s="38">
        <f>'ANEXO A'!A46</f>
        <v/>
      </c>
      <c r="B46" s="38">
        <f>IFERROR(VLOOKUP(A46, 'ANEXO A'!$A$2:$L$94, 2, FALSE), "")</f>
        <v/>
      </c>
      <c r="C46" s="38">
        <f>IF(LEFT(A46,1)="5", "5. Organizacionales", IF(LEFT(A46,1)="6", "6. Personas", IF(LEFT(A46,1)="7", "7. Físicos", "8. Tecnológicos")))</f>
        <v/>
      </c>
      <c r="D46" s="38">
        <f>IFERROR(VLOOKUP(A46, 'ANEXO A'!$A$2:$L$94, 11, FALSE), "")</f>
        <v/>
      </c>
      <c r="E46" s="38">
        <f>IFERROR(VLOOKUP(A46, 'ANEXO A'!$A$2:$L$94, 8, FALSE), "")</f>
        <v/>
      </c>
      <c r="F46" s="38">
        <f>IFERROR(VLOOKUP(A46, 'ANEXO A'!$A$2:$L$94, 9, FALSE), "")</f>
        <v/>
      </c>
      <c r="G46" s="38">
        <f>IFERROR(VLOOKUP(A46, 'ANEXO A'!$A$2:$L$94, 10, FALSE), "")</f>
        <v/>
      </c>
      <c r="H46" s="38">
        <f>IFERROR(VLOOKUP(A46, 'ANEXO A'!$A$2:$L$94, 12, FALSE), "")</f>
        <v/>
      </c>
      <c r="I46" s="38" t="inlineStr">
        <is>
          <t>6.15 Gestión de incidentes (Act. 1): Canalización formal vía Service Desk y correo de cualquier evento o anomalía detectada (GSO-GSI-MP-GSI).</t>
        </is>
      </c>
      <c r="J46" s="112">
        <f>"• Establecer lineamientos para " &amp; IFERROR(VLOOKUP(A46, 'ANEXO A'!$A$2:$L$94, 2, FALSE), "Este Control") &amp; CHAR(10) &amp; "• Definir roles para el control " &amp; A46 &amp; CHAR(10) &amp; "• Revisar efectividad de " &amp; IFERROR(VLOOKUP(A46, 'ANEXO A'!$A$2:$L$94, 2, FALSE), "Este Control")</f>
        <v/>
      </c>
      <c r="K46" s="112" t="inlineStr">
        <is>
          <t>Asegurar el cumplimiento, control y resguardo continuo de los procesos de Notificación de eventos de seguridad de la información a fin de mitigar riesgos y mantener la alineación a los principios de confidencialidad, integridad y disponibilidad aplicables a este dominio.</t>
        </is>
      </c>
      <c r="L46" s="112" t="inlineStr">
        <is>
          <t>La organización deberá implementar, registrar y monitorear operativamente todos los protocolos relacionados a Notificación de eventos de seguridad de la información, estableciendo políticas técnicas correspondientes.</t>
        </is>
      </c>
    </row>
    <row r="47" ht="56.25" customHeight="1" s="106">
      <c r="A47" s="38">
        <f>'ANEXO A'!A47</f>
        <v/>
      </c>
      <c r="B47" s="38">
        <f>IFERROR(VLOOKUP(A47, 'ANEXO A'!$A$2:$L$94, 2, FALSE), "")</f>
        <v/>
      </c>
      <c r="C47" s="38">
        <f>IF(LEFT(A47,1)="5", "5. Organizacionales", IF(LEFT(A47,1)="6", "6. Personas", IF(LEFT(A47,1)="7", "7. Físicos", "8. Tecnológicos")))</f>
        <v/>
      </c>
      <c r="D47" s="38">
        <f>IFERROR(VLOOKUP(A47, 'ANEXO A'!$A$2:$L$94, 11, FALSE), "")</f>
        <v/>
      </c>
      <c r="E47" s="38">
        <f>IFERROR(VLOOKUP(A47, 'ANEXO A'!$A$2:$L$94, 8, FALSE), "")</f>
        <v/>
      </c>
      <c r="F47" s="38">
        <f>IFERROR(VLOOKUP(A47, 'ANEXO A'!$A$2:$L$94, 9, FALSE), "")</f>
        <v/>
      </c>
      <c r="G47" s="38">
        <f>IFERROR(VLOOKUP(A47, 'ANEXO A'!$A$2:$L$94, 10, FALSE), "")</f>
        <v/>
      </c>
      <c r="H47" s="38">
        <f>IFERROR(VLOOKUP(A47, 'ANEXO A'!$A$2:$L$94, 12, FALSE), "")</f>
        <v/>
      </c>
      <c r="I47" s="38" t="inlineStr">
        <is>
          <t>Anexo 1 SEPS 002 (Seguridad Física): Delimitación perimetral, puertas de seguridad y áreas de data center con acceso restringido (SEPS-2022-002).</t>
        </is>
      </c>
      <c r="J47" s="112">
        <f>"• Establecer lineamientos para " &amp; IFERROR(VLOOKUP(A47, 'ANEXO A'!$A$2:$L$94, 2, FALSE), "Este Control") &amp; CHAR(10) &amp; "• Definir roles para el control " &amp; A47 &amp; CHAR(10) &amp; "• Revisar efectividad de " &amp; IFERROR(VLOOKUP(A47, 'ANEXO A'!$A$2:$L$94, 2, FALSE), "Este Control")</f>
        <v/>
      </c>
      <c r="K47" s="112" t="inlineStr">
        <is>
          <t>Asegurar el cumplimiento, control y resguardo continuo de los procesos de Perímetros de seguridad física a fin de mitigar riesgos y mantener la alineación a los principios de confidencialidad, integridad y disponibilidad aplicables a este dominio.</t>
        </is>
      </c>
      <c r="L47" s="112" t="inlineStr">
        <is>
          <t>La organización deberá implementar, registrar y monitorear operativamente todos los protocolos relacionados a Perímetros de seguridad física, estableciendo políticas técnicas correspondientes.</t>
        </is>
      </c>
    </row>
    <row r="48" ht="56.25" customHeight="1" s="106">
      <c r="A48" s="38">
        <f>'ANEXO A'!A48</f>
        <v/>
      </c>
      <c r="B48" s="38">
        <f>IFERROR(VLOOKUP(A48, 'ANEXO A'!$A$2:$L$94, 2, FALSE), "")</f>
        <v/>
      </c>
      <c r="C48" s="38">
        <f>IF(LEFT(A48,1)="5", "5. Organizacionales", IF(LEFT(A48,1)="6", "6. Personas", IF(LEFT(A48,1)="7", "7. Físicos", "8. Tecnológicos")))</f>
        <v/>
      </c>
      <c r="D48" s="38">
        <f>IFERROR(VLOOKUP(A48, 'ANEXO A'!$A$2:$L$94, 11, FALSE), "")</f>
        <v/>
      </c>
      <c r="E48" s="38">
        <f>IFERROR(VLOOKUP(A48, 'ANEXO A'!$A$2:$L$94, 8, FALSE), "")</f>
        <v/>
      </c>
      <c r="F48" s="38">
        <f>IFERROR(VLOOKUP(A48, 'ANEXO A'!$A$2:$L$94, 9, FALSE), "")</f>
        <v/>
      </c>
      <c r="G48" s="38">
        <f>IFERROR(VLOOKUP(A48, 'ANEXO A'!$A$2:$L$94, 10, FALSE), "")</f>
        <v/>
      </c>
      <c r="H48" s="38">
        <f>IFERROR(VLOOKUP(A48, 'ANEXO A'!$A$2:$L$94, 12, FALSE), "")</f>
        <v/>
      </c>
      <c r="I48" s="38" t="inlineStr">
        <is>
          <t>Anexo 1 SEPS 002 / GAD: Control biométrico, tarjetas de proximidad y registro bitacorizado de visitantes (SEPS-2022-002).</t>
        </is>
      </c>
      <c r="J48" s="112">
        <f>"• Establecer lineamientos para " &amp; IFERROR(VLOOKUP(A48, 'ANEXO A'!$A$2:$L$94, 2, FALSE), "Este Control") &amp; CHAR(10) &amp; "• Definir roles para el control " &amp; A48 &amp; CHAR(10) &amp; "• Revisar efectividad de " &amp; IFERROR(VLOOKUP(A48, 'ANEXO A'!$A$2:$L$94, 2, FALSE), "Este Control")</f>
        <v/>
      </c>
      <c r="K48" s="112" t="inlineStr">
        <is>
          <t>Asegurar el cumplimiento, control y resguardo continuo de los procesos de Controles de entrada física a fin de mitigar riesgos y mantener la alineación a los principios de confidencialidad, integridad y disponibilidad aplicables a este dominio.</t>
        </is>
      </c>
      <c r="L48" s="112" t="inlineStr">
        <is>
          <t>La organización deberá implementar, registrar y monitorear operativamente todos los protocolos relacionados a Controles de entrada física, estableciendo políticas técnicas correspondientes.</t>
        </is>
      </c>
    </row>
    <row r="49" ht="67.5" customHeight="1" s="106">
      <c r="A49" s="38">
        <f>'ANEXO A'!A49</f>
        <v/>
      </c>
      <c r="B49" s="38">
        <f>IFERROR(VLOOKUP(A49, 'ANEXO A'!$A$2:$L$94, 2, FALSE), "")</f>
        <v/>
      </c>
      <c r="C49" s="38">
        <f>IF(LEFT(A49,1)="5", "5. Organizacionales", IF(LEFT(A49,1)="6", "6. Personas", IF(LEFT(A49,1)="7", "7. Físicos", "8. Tecnológicos")))</f>
        <v/>
      </c>
      <c r="D49" s="38">
        <f>IFERROR(VLOOKUP(A49, 'ANEXO A'!$A$2:$L$94, 11, FALSE), "")</f>
        <v/>
      </c>
      <c r="E49" s="38">
        <f>IFERROR(VLOOKUP(A49, 'ANEXO A'!$A$2:$L$94, 8, FALSE), "")</f>
        <v/>
      </c>
      <c r="F49" s="38">
        <f>IFERROR(VLOOKUP(A49, 'ANEXO A'!$A$2:$L$94, 9, FALSE), "")</f>
        <v/>
      </c>
      <c r="G49" s="38">
        <f>IFERROR(VLOOKUP(A49, 'ANEXO A'!$A$2:$L$94, 10, FALSE), "")</f>
        <v/>
      </c>
      <c r="H49" s="38">
        <f>IFERROR(VLOOKUP(A49, 'ANEXO A'!$A$2:$L$94, 12, FALSE), "")</f>
        <v/>
      </c>
      <c r="I49" s="38" t="inlineStr">
        <is>
          <t>Anexo 1 SEPS 002: Protección de zonas sensibles y aislamiento físico de áreas de procesamiento crítico (SEPS-2022-002).</t>
        </is>
      </c>
      <c r="J49" s="112">
        <f>"• Establecer lineamientos para " &amp; IFERROR(VLOOKUP(A49, 'ANEXO A'!$A$2:$L$94, 2, FALSE), "Este Control") &amp; CHAR(10) &amp; "• Definir roles para el control " &amp; A49 &amp; CHAR(10) &amp; "• Revisar efectividad de " &amp; IFERROR(VLOOKUP(A49, 'ANEXO A'!$A$2:$L$94, 2, FALSE), "Este Control")</f>
        <v/>
      </c>
      <c r="K49" s="112" t="inlineStr">
        <is>
          <t>Asegurar el cumplimiento, control y resguardo continuo de los procesos de Seguridad de oficinas, despachos e instalaciones a fin de mitigar riesgos y mantener la alineación a los principios de confidencialidad, integridad y disponibilidad aplicables a este dominio.</t>
        </is>
      </c>
      <c r="L49" s="112" t="inlineStr">
        <is>
          <t>La organización deberá implementar, registrar y monitorear operativamente todos los protocolos relacionados a Seguridad de oficinas, despachos e instalaciones, estableciendo políticas técnicas correspondientes.</t>
        </is>
      </c>
    </row>
    <row r="50" ht="56.25" customHeight="1" s="106">
      <c r="A50" s="38">
        <f>'ANEXO A'!A50</f>
        <v/>
      </c>
      <c r="B50" s="38">
        <f>IFERROR(VLOOKUP(A50, 'ANEXO A'!$A$2:$L$94, 2, FALSE), "")</f>
        <v/>
      </c>
      <c r="C50" s="38">
        <f>IF(LEFT(A50,1)="5", "5. Organizacionales", IF(LEFT(A50,1)="6", "6. Personas", IF(LEFT(A50,1)="7", "7. Físicos", "8. Tecnológicos")))</f>
        <v/>
      </c>
      <c r="D50" s="38">
        <f>IFERROR(VLOOKUP(A50, 'ANEXO A'!$A$2:$L$94, 11, FALSE), "")</f>
        <v/>
      </c>
      <c r="E50" s="38">
        <f>IFERROR(VLOOKUP(A50, 'ANEXO A'!$A$2:$L$94, 8, FALSE), "")</f>
        <v/>
      </c>
      <c r="F50" s="38">
        <f>IFERROR(VLOOKUP(A50, 'ANEXO A'!$A$2:$L$94, 9, FALSE), "")</f>
        <v/>
      </c>
      <c r="G50" s="38">
        <f>IFERROR(VLOOKUP(A50, 'ANEXO A'!$A$2:$L$94, 10, FALSE), "")</f>
        <v/>
      </c>
      <c r="H50" s="38">
        <f>IFERROR(VLOOKUP(A50, 'ANEXO A'!$A$2:$L$94, 12, FALSE), "")</f>
        <v/>
      </c>
      <c r="I50" s="38" t="inlineStr">
        <is>
          <t>Anexo 1 SEPS 002 / CCTV: Monitoreo y grabación permanente mediante Circuito Cerrado de Televisión y sensores de alarma (SEPS-2022-002).</t>
        </is>
      </c>
      <c r="J50" s="112">
        <f>"• Establecer lineamientos para " &amp; IFERROR(VLOOKUP(A50, 'ANEXO A'!$A$2:$L$94, 2, FALSE), "Este Control") &amp; CHAR(10) &amp; "• Definir roles para el control " &amp; A50 &amp; CHAR(10) &amp; "• Revisar efectividad de " &amp; IFERROR(VLOOKUP(A50, 'ANEXO A'!$A$2:$L$94, 2, FALSE), "Este Control")</f>
        <v/>
      </c>
      <c r="K50" s="112" t="inlineStr">
        <is>
          <t>Asegurar el cumplimiento, control y resguardo continuo de los procesos de Supervisión de la seguridad física a fin de mitigar riesgos y mantener la alineación a los principios de confidencialidad, integridad y disponibilidad aplicables a este dominio.</t>
        </is>
      </c>
      <c r="L50" s="112" t="inlineStr">
        <is>
          <t>La organización deberá implementar, registrar y monitorear operativamente todos los protocolos relacionados a Supervisión de la seguridad física, estableciendo políticas técnicas correspondientes.</t>
        </is>
      </c>
    </row>
    <row r="51" ht="78.75" customHeight="1" s="106">
      <c r="A51" s="38">
        <f>'ANEXO A'!A51</f>
        <v/>
      </c>
      <c r="B51" s="38">
        <f>IFERROR(VLOOKUP(A51, 'ANEXO A'!$A$2:$L$94, 2, FALSE), "")</f>
        <v/>
      </c>
      <c r="C51" s="38">
        <f>IF(LEFT(A51,1)="5", "5. Organizacionales", IF(LEFT(A51,1)="6", "6. Personas", IF(LEFT(A51,1)="7", "7. Físicos", "8. Tecnológicos")))</f>
        <v/>
      </c>
      <c r="D51" s="38">
        <f>IFERROR(VLOOKUP(A51, 'ANEXO A'!$A$2:$L$94, 11, FALSE), "")</f>
        <v/>
      </c>
      <c r="E51" s="38">
        <f>IFERROR(VLOOKUP(A51, 'ANEXO A'!$A$2:$L$94, 8, FALSE), "")</f>
        <v/>
      </c>
      <c r="F51" s="38">
        <f>IFERROR(VLOOKUP(A51, 'ANEXO A'!$A$2:$L$94, 9, FALSE), "")</f>
        <v/>
      </c>
      <c r="G51" s="38">
        <f>IFERROR(VLOOKUP(A51, 'ANEXO A'!$A$2:$L$94, 10, FALSE), "")</f>
        <v/>
      </c>
      <c r="H51" s="38">
        <f>IFERROR(VLOOKUP(A51, 'ANEXO A'!$A$2:$L$94, 12, FALSE), "")</f>
        <v/>
      </c>
      <c r="I51" s="38" t="inlineStr">
        <is>
          <t>Sec. 10.2.1 Metodología GAI (S31-S40): Sistemas de detección y extinción de incendios (FM200/gas), sensores de inundación y pararrayos (GSO-GSI-ME-GAI / SEPS-2022-002).</t>
        </is>
      </c>
      <c r="J51" s="112">
        <f>"• Establecer lineamientos para " &amp; IFERROR(VLOOKUP(A51, 'ANEXO A'!$A$2:$L$94, 2, FALSE), "Este Control") &amp; CHAR(10) &amp; "• Definir roles para el control " &amp; A51 &amp; CHAR(10) &amp; "• Revisar efectividad de " &amp; IFERROR(VLOOKUP(A51, 'ANEXO A'!$A$2:$L$94, 2, FALSE), "Este Control")</f>
        <v/>
      </c>
      <c r="K51" s="112" t="inlineStr">
        <is>
          <t>Asegurar el cumplimiento, control y resguardo continuo de los procesos de Protección contra amenazas físicas y ambientales a fin de mitigar riesgos y mantener la alineación a los principios de confidencialidad, integridad y disponibilidad aplicables a este dominio.</t>
        </is>
      </c>
      <c r="L51" s="112" t="inlineStr">
        <is>
          <t>La organización deberá implementar, registrar y monitorear operativamente todos los protocolos relacionados a Protección contra amenazas físicas y ambientales, estableciendo políticas técnicas correspondientes.</t>
        </is>
      </c>
    </row>
    <row r="52" ht="56.25" customHeight="1" s="106">
      <c r="A52" s="38">
        <f>'ANEXO A'!A52</f>
        <v/>
      </c>
      <c r="B52" s="38">
        <f>IFERROR(VLOOKUP(A52, 'ANEXO A'!$A$2:$L$94, 2, FALSE), "")</f>
        <v/>
      </c>
      <c r="C52" s="38">
        <f>IF(LEFT(A52,1)="5", "5. Organizacionales", IF(LEFT(A52,1)="6", "6. Personas", IF(LEFT(A52,1)="7", "7. Físicos", "8. Tecnológicos")))</f>
        <v/>
      </c>
      <c r="D52" s="38">
        <f>IFERROR(VLOOKUP(A52, 'ANEXO A'!$A$2:$L$94, 11, FALSE), "")</f>
        <v/>
      </c>
      <c r="E52" s="38">
        <f>IFERROR(VLOOKUP(A52, 'ANEXO A'!$A$2:$L$94, 8, FALSE), "")</f>
        <v/>
      </c>
      <c r="F52" s="38">
        <f>IFERROR(VLOOKUP(A52, 'ANEXO A'!$A$2:$L$94, 9, FALSE), "")</f>
        <v/>
      </c>
      <c r="G52" s="38">
        <f>IFERROR(VLOOKUP(A52, 'ANEXO A'!$A$2:$L$94, 10, FALSE), "")</f>
        <v/>
      </c>
      <c r="H52" s="38">
        <f>IFERROR(VLOOKUP(A52, 'ANEXO A'!$A$2:$L$94, 12, FALSE), "")</f>
        <v/>
      </c>
      <c r="I52" s="38" t="inlineStr">
        <is>
          <t>6.11 Claves críticas / 6.12 Llaves: Procedimientos restringidos para custodia de cajas fuertes y zonas de cifrado bajo estricto control (GSO-GSI-MP-GSI).</t>
        </is>
      </c>
      <c r="J52" s="112">
        <f>"• Establecer lineamientos para " &amp; IFERROR(VLOOKUP(A52, 'ANEXO A'!$A$2:$L$94, 2, FALSE), "Este Control") &amp; CHAR(10) &amp; "• Definir roles para el control " &amp; A52 &amp; CHAR(10) &amp; "• Revisar efectividad de " &amp; IFERROR(VLOOKUP(A52, 'ANEXO A'!$A$2:$L$94, 2, FALSE), "Este Control")</f>
        <v/>
      </c>
      <c r="K52" s="112" t="inlineStr">
        <is>
          <t>Asegurar el cumplimiento, control y resguardo continuo de los procesos de Trabajo en áreas seguras a fin de mitigar riesgos y mantener la alineación a los principios de confidencialidad, integridad y disponibilidad aplicables a este dominio.</t>
        </is>
      </c>
      <c r="L52" s="112" t="inlineStr">
        <is>
          <t>La organización deberá implementar, registrar y monitorear operativamente todos los protocolos relacionados a Trabajo en áreas seguras, estableciendo políticas técnicas correspondientes.</t>
        </is>
      </c>
    </row>
    <row r="53" ht="78.75" customHeight="1" s="106">
      <c r="A53" s="38">
        <f>'ANEXO A'!A53</f>
        <v/>
      </c>
      <c r="B53" s="38">
        <f>IFERROR(VLOOKUP(A53, 'ANEXO A'!$A$2:$L$94, 2, FALSE), "")</f>
        <v/>
      </c>
      <c r="C53" s="38">
        <f>IF(LEFT(A53,1)="5", "5. Organizacionales", IF(LEFT(A53,1)="6", "6. Personas", IF(LEFT(A53,1)="7", "7. Físicos", "8. Tecnológicos")))</f>
        <v/>
      </c>
      <c r="D53" s="38">
        <f>IFERROR(VLOOKUP(A53, 'ANEXO A'!$A$2:$L$94, 11, FALSE), "")</f>
        <v/>
      </c>
      <c r="E53" s="38">
        <f>IFERROR(VLOOKUP(A53, 'ANEXO A'!$A$2:$L$94, 8, FALSE), "")</f>
        <v/>
      </c>
      <c r="F53" s="38">
        <f>IFERROR(VLOOKUP(A53, 'ANEXO A'!$A$2:$L$94, 9, FALSE), "")</f>
        <v/>
      </c>
      <c r="G53" s="38">
        <f>IFERROR(VLOOKUP(A53, 'ANEXO A'!$A$2:$L$94, 10, FALSE), "")</f>
        <v/>
      </c>
      <c r="H53" s="38">
        <f>IFERROR(VLOOKUP(A53, 'ANEXO A'!$A$2:$L$94, 12, FALSE), "")</f>
        <v/>
      </c>
      <c r="I53" s="38" t="inlineStr">
        <is>
          <t>6.16 Revisión y monitoreo de políticas: Bloqueo automático de estación por inactividad y resguardo bajo llave de documentos físicos (GSO-GSI-MP-GSI).</t>
        </is>
      </c>
      <c r="J53" s="112">
        <f>"• Establecer lineamientos para " &amp; IFERROR(VLOOKUP(A53, 'ANEXO A'!$A$2:$L$94, 2, FALSE), "Este Control") &amp; CHAR(10) &amp; "• Definir roles para el control " &amp; A53 &amp; CHAR(10) &amp; "• Revisar efectividad de " &amp; IFERROR(VLOOKUP(A53, 'ANEXO A'!$A$2:$L$94, 2, FALSE), "Este Control")</f>
        <v/>
      </c>
      <c r="K53" s="112" t="inlineStr">
        <is>
          <t>Asegurar el cumplimiento, control y resguardo continuo de los procesos de Política de escritorio despejado y pantalla despejada a fin de mitigar riesgos y mantener la alineación a los principios de confidencialidad, integridad y disponibilidad aplicables a este dominio.</t>
        </is>
      </c>
      <c r="L53" s="112" t="inlineStr">
        <is>
          <t>La organización deberá implementar, registrar y monitorear operativamente todos los protocolos relacionados a Política de escritorio despejado y pantalla despejada, estableciendo políticas técnicas correspondientes.</t>
        </is>
      </c>
    </row>
    <row r="54" ht="78.75" customHeight="1" s="106">
      <c r="A54" s="38">
        <f>'ANEXO A'!A54</f>
        <v/>
      </c>
      <c r="B54" s="38">
        <f>IFERROR(VLOOKUP(A54, 'ANEXO A'!$A$2:$L$94, 2, FALSE), "")</f>
        <v/>
      </c>
      <c r="C54" s="38">
        <f>IF(LEFT(A54,1)="5", "5. Organizacionales", IF(LEFT(A54,1)="6", "6. Personas", IF(LEFT(A54,1)="7", "7. Físicos", "8. Tecnológicos")))</f>
        <v/>
      </c>
      <c r="D54" s="38">
        <f>IFERROR(VLOOKUP(A54, 'ANEXO A'!$A$2:$L$94, 11, FALSE), "")</f>
        <v/>
      </c>
      <c r="E54" s="38">
        <f>IFERROR(VLOOKUP(A54, 'ANEXO A'!$A$2:$L$94, 8, FALSE), "")</f>
        <v/>
      </c>
      <c r="F54" s="38">
        <f>IFERROR(VLOOKUP(A54, 'ANEXO A'!$A$2:$L$94, 9, FALSE), "")</f>
        <v/>
      </c>
      <c r="G54" s="38">
        <f>IFERROR(VLOOKUP(A54, 'ANEXO A'!$A$2:$L$94, 10, FALSE), "")</f>
        <v/>
      </c>
      <c r="H54" s="38">
        <f>IFERROR(VLOOKUP(A54, 'ANEXO A'!$A$2:$L$94, 12, FALSE), "")</f>
        <v/>
      </c>
      <c r="I54" s="38" t="inlineStr">
        <is>
          <t>6.13 Gestión de activos / TI: Ubicación de servidores y racks en centros de datos con control de clima y energía (GSO-GSI-ME-GAI / SEPS-2022-002).</t>
        </is>
      </c>
      <c r="J54" s="112">
        <f>"• Establecer lineamientos para " &amp; IFERROR(VLOOKUP(A54, 'ANEXO A'!$A$2:$L$94, 2, FALSE), "Este Control") &amp; CHAR(10) &amp; "• Definir roles para el control " &amp; A54 &amp; CHAR(10) &amp; "• Revisar efectividad de " &amp; IFERROR(VLOOKUP(A54, 'ANEXO A'!$A$2:$L$94, 2, FALSE), "Este Control")</f>
        <v/>
      </c>
      <c r="K54" s="112" t="inlineStr">
        <is>
          <t>Asegurar el cumplimiento, control y resguardo continuo de los procesos de Emplazamiento y protección de equipos a fin de mitigar riesgos y mantener la alineación a los principios de confidencialidad, integridad y disponibilidad aplicables a este dominio.</t>
        </is>
      </c>
      <c r="L54" s="112" t="inlineStr">
        <is>
          <t>La organización deberá implementar, registrar y monitorear operativamente todos los protocolos relacionados a Emplazamiento y protección de equipos, estableciendo políticas técnicas correspondientes.</t>
        </is>
      </c>
    </row>
    <row r="55" ht="67.5" customHeight="1" s="106">
      <c r="A55" s="38">
        <f>'ANEXO A'!A55</f>
        <v/>
      </c>
      <c r="B55" s="38">
        <f>IFERROR(VLOOKUP(A55, 'ANEXO A'!$A$2:$L$94, 2, FALSE), "")</f>
        <v/>
      </c>
      <c r="C55" s="38">
        <f>IF(LEFT(A55,1)="5", "5. Organizacionales", IF(LEFT(A55,1)="6", "6. Personas", IF(LEFT(A55,1)="7", "7. Físicos", "8. Tecnológicos")))</f>
        <v/>
      </c>
      <c r="D55" s="38">
        <f>IFERROR(VLOOKUP(A55, 'ANEXO A'!$A$2:$L$94, 11, FALSE), "")</f>
        <v/>
      </c>
      <c r="E55" s="38">
        <f>IFERROR(VLOOKUP(A55, 'ANEXO A'!$A$2:$L$94, 8, FALSE), "")</f>
        <v/>
      </c>
      <c r="F55" s="38">
        <f>IFERROR(VLOOKUP(A55, 'ANEXO A'!$A$2:$L$94, 9, FALSE), "")</f>
        <v/>
      </c>
      <c r="G55" s="38">
        <f>IFERROR(VLOOKUP(A55, 'ANEXO A'!$A$2:$L$94, 10, FALSE), "")</f>
        <v/>
      </c>
      <c r="H55" s="38">
        <f>IFERROR(VLOOKUP(A55, 'ANEXO A'!$A$2:$L$94, 12, FALSE), "")</f>
        <v/>
      </c>
      <c r="I55" s="38" t="inlineStr">
        <is>
          <t>6.1 Políticas Generales (Item 4): Equipos portátiles integrados al Directorio Activo, antivirus y cifrado de disco (GSO-GSI-MP-GSI).</t>
        </is>
      </c>
      <c r="J55" s="112">
        <f>"• Establecer lineamientos para " &amp; IFERROR(VLOOKUP(A55, 'ANEXO A'!$A$2:$L$94, 2, FALSE), "Este Control") &amp; CHAR(10) &amp; "• Definir roles para el control " &amp; A55 &amp; CHAR(10) &amp; "• Revisar efectividad de " &amp; IFERROR(VLOOKUP(A55, 'ANEXO A'!$A$2:$L$94, 2, FALSE), "Este Control")</f>
        <v/>
      </c>
      <c r="K55" s="112" t="inlineStr">
        <is>
          <t>Asegurar el cumplimiento, control y resguardo continuo de los procesos de Seguridad de los activos fuera de las instalaciones a fin de mitigar riesgos y mantener la alineación a los principios de confidencialidad, integridad y disponibilidad aplicables a este dominio.</t>
        </is>
      </c>
      <c r="L55" s="112" t="inlineStr">
        <is>
          <t>La organización deberá implementar, registrar y monitorear operativamente todos los protocolos relacionados a Seguridad de los activos fuera de las instalaciones, estableciendo políticas técnicas correspondientes.</t>
        </is>
      </c>
    </row>
    <row r="56" ht="56.25" customHeight="1" s="106">
      <c r="A56" s="38">
        <f>'ANEXO A'!A56</f>
        <v/>
      </c>
      <c r="B56" s="38">
        <f>IFERROR(VLOOKUP(A56, 'ANEXO A'!$A$2:$L$94, 2, FALSE), "")</f>
        <v/>
      </c>
      <c r="C56" s="38">
        <f>IF(LEFT(A56,1)="5", "5. Organizacionales", IF(LEFT(A56,1)="6", "6. Personas", IF(LEFT(A56,1)="7", "7. Físicos", "8. Tecnológicos")))</f>
        <v/>
      </c>
      <c r="D56" s="38">
        <f>IFERROR(VLOOKUP(A56, 'ANEXO A'!$A$2:$L$94, 11, FALSE), "")</f>
        <v/>
      </c>
      <c r="E56" s="38">
        <f>IFERROR(VLOOKUP(A56, 'ANEXO A'!$A$2:$L$94, 8, FALSE), "")</f>
        <v/>
      </c>
      <c r="F56" s="38">
        <f>IFERROR(VLOOKUP(A56, 'ANEXO A'!$A$2:$L$94, 9, FALSE), "")</f>
        <v/>
      </c>
      <c r="G56" s="38">
        <f>IFERROR(VLOOKUP(A56, 'ANEXO A'!$A$2:$L$94, 10, FALSE), "")</f>
        <v/>
      </c>
      <c r="H56" s="38">
        <f>IFERROR(VLOOKUP(A56, 'ANEXO A'!$A$2:$L$94, 12, FALSE), "")</f>
        <v/>
      </c>
      <c r="I56" s="38" t="inlineStr">
        <is>
          <t>6.9 FTP / 6.13 Activos: Control y restricción de medios extraíbles (USB/discos) y almacenamiento de backups (GSO-GSI-MP-GSI / GSO-GSI-ME-GAI).</t>
        </is>
      </c>
      <c r="J56" s="112">
        <f>"• Establecer lineamientos para " &amp; IFERROR(VLOOKUP(A56, 'ANEXO A'!$A$2:$L$94, 2, FALSE), "Este Control") &amp; CHAR(10) &amp; "• Definir roles para el control " &amp; A56 &amp; CHAR(10) &amp; "• Revisar efectividad de " &amp; IFERROR(VLOOKUP(A56, 'ANEXO A'!$A$2:$L$94, 2, FALSE), "Este Control")</f>
        <v/>
      </c>
      <c r="K56" s="112" t="inlineStr">
        <is>
          <t>Asegurar el cumplimiento, control y resguardo continuo de los procesos de Soportes de almacenamiento a fin de mitigar riesgos y mantener la alineación a los principios de confidencialidad, integridad y disponibilidad aplicables a este dominio.</t>
        </is>
      </c>
      <c r="L56" s="112" t="inlineStr">
        <is>
          <t>La organización deberá implementar, registrar y monitorear operativamente todos los protocolos relacionados a Soportes de almacenamiento, estableciendo políticas técnicas correspondientes.</t>
        </is>
      </c>
    </row>
    <row r="57" ht="56.25" customHeight="1" s="106">
      <c r="A57" s="38">
        <f>'ANEXO A'!A57</f>
        <v/>
      </c>
      <c r="B57" s="38">
        <f>IFERROR(VLOOKUP(A57, 'ANEXO A'!$A$2:$L$94, 2, FALSE), "")</f>
        <v/>
      </c>
      <c r="C57" s="38">
        <f>IF(LEFT(A57,1)="5", "5. Organizacionales", IF(LEFT(A57,1)="6", "6. Personas", IF(LEFT(A57,1)="7", "7. Físicos", "8. Tecnológicos")))</f>
        <v/>
      </c>
      <c r="D57" s="38">
        <f>IFERROR(VLOOKUP(A57, 'ANEXO A'!$A$2:$L$94, 11, FALSE), "")</f>
        <v/>
      </c>
      <c r="E57" s="38">
        <f>IFERROR(VLOOKUP(A57, 'ANEXO A'!$A$2:$L$94, 8, FALSE), "")</f>
        <v/>
      </c>
      <c r="F57" s="38">
        <f>IFERROR(VLOOKUP(A57, 'ANEXO A'!$A$2:$L$94, 9, FALSE), "")</f>
        <v/>
      </c>
      <c r="G57" s="38">
        <f>IFERROR(VLOOKUP(A57, 'ANEXO A'!$A$2:$L$94, 10, FALSE), "")</f>
        <v/>
      </c>
      <c r="H57" s="38">
        <f>IFERROR(VLOOKUP(A57, 'ANEXO A'!$A$2:$L$94, 12, FALSE), "")</f>
        <v/>
      </c>
      <c r="I57" s="38" t="inlineStr">
        <is>
          <t>Sec. 10.2.1 Metodología GAI (S32-S33): Respaldo eléctrico mediante UPS redundantes y generador eléctrico (GSO-GSI-ME-GAI / SEPS-2022-002).</t>
        </is>
      </c>
      <c r="J57" s="112">
        <f>"• Establecer lineamientos para " &amp; IFERROR(VLOOKUP(A57, 'ANEXO A'!$A$2:$L$94, 2, FALSE), "Este Control") &amp; CHAR(10) &amp; "• Definir roles para el control " &amp; A57 &amp; CHAR(10) &amp; "• Revisar efectividad de " &amp; IFERROR(VLOOKUP(A57, 'ANEXO A'!$A$2:$L$94, 2, FALSE), "Este Control")</f>
        <v/>
      </c>
      <c r="K57" s="112" t="inlineStr">
        <is>
          <t>Asegurar el cumplimiento, control y resguardo continuo de los procesos de Servicios públicos a fin de mitigar riesgos y mantener la alineación a los principios de confidencialidad, integridad y disponibilidad aplicables a este dominio.</t>
        </is>
      </c>
      <c r="L57" s="112" t="inlineStr">
        <is>
          <t>La organización deberá implementar, registrar y monitorear operativamente todos los protocolos relacionados a Servicios públicos, estableciendo políticas técnicas correspondientes.</t>
        </is>
      </c>
    </row>
    <row r="58" ht="56.25" customHeight="1" s="106">
      <c r="A58" s="38">
        <f>'ANEXO A'!A58</f>
        <v/>
      </c>
      <c r="B58" s="38">
        <f>IFERROR(VLOOKUP(A58, 'ANEXO A'!$A$2:$L$94, 2, FALSE), "")</f>
        <v/>
      </c>
      <c r="C58" s="38">
        <f>IF(LEFT(A58,1)="5", "5. Organizacionales", IF(LEFT(A58,1)="6", "6. Personas", IF(LEFT(A58,1)="7", "7. Físicos", "8. Tecnológicos")))</f>
        <v/>
      </c>
      <c r="D58" s="38">
        <f>IFERROR(VLOOKUP(A58, 'ANEXO A'!$A$2:$L$94, 11, FALSE), "")</f>
        <v/>
      </c>
      <c r="E58" s="38">
        <f>IFERROR(VLOOKUP(A58, 'ANEXO A'!$A$2:$L$94, 8, FALSE), "")</f>
        <v/>
      </c>
      <c r="F58" s="38">
        <f>IFERROR(VLOOKUP(A58, 'ANEXO A'!$A$2:$L$94, 9, FALSE), "")</f>
        <v/>
      </c>
      <c r="G58" s="38">
        <f>IFERROR(VLOOKUP(A58, 'ANEXO A'!$A$2:$L$94, 10, FALSE), "")</f>
        <v/>
      </c>
      <c r="H58" s="38">
        <f>IFERROR(VLOOKUP(A58, 'ANEXO A'!$A$2:$L$94, 12, FALSE), "")</f>
        <v/>
      </c>
      <c r="I58" s="38" t="inlineStr">
        <is>
          <t>Anexo 1 SEPS (Infraestructura): Cableado estructurado canalizado, ordenado y protegido en ductos cerrados (SEPS-2022-002).</t>
        </is>
      </c>
      <c r="J58" s="112">
        <f>"• Establecer lineamientos para " &amp; IFERROR(VLOOKUP(A58, 'ANEXO A'!$A$2:$L$94, 2, FALSE), "Este Control") &amp; CHAR(10) &amp; "• Definir roles para el control " &amp; A58 &amp; CHAR(10) &amp; "• Revisar efectividad de " &amp; IFERROR(VLOOKUP(A58, 'ANEXO A'!$A$2:$L$94, 2, FALSE), "Este Control")</f>
        <v/>
      </c>
      <c r="K58" s="112" t="inlineStr">
        <is>
          <t>Asegurar el cumplimiento, control y resguardo continuo de los procesos de Seguridad del cableado a fin de mitigar riesgos y mantener la alineación a los principios de confidencialidad, integridad y disponibilidad aplicables a este dominio.</t>
        </is>
      </c>
      <c r="L58" s="112" t="inlineStr">
        <is>
          <t>La organización deberá implementar, registrar y monitorear operativamente todos los protocolos relacionados a Seguridad del cableado, estableciendo políticas técnicas correspondientes.</t>
        </is>
      </c>
    </row>
    <row r="59" ht="56.25" customHeight="1" s="106">
      <c r="A59" s="38">
        <f>'ANEXO A'!A59</f>
        <v/>
      </c>
      <c r="B59" s="38">
        <f>IFERROR(VLOOKUP(A59, 'ANEXO A'!$A$2:$L$94, 2, FALSE), "")</f>
        <v/>
      </c>
      <c r="C59" s="38">
        <f>IF(LEFT(A59,1)="5", "5. Organizacionales", IF(LEFT(A59,1)="6", "6. Personas", IF(LEFT(A59,1)="7", "7. Físicos", "8. Tecnológicos")))</f>
        <v/>
      </c>
      <c r="D59" s="38">
        <f>IFERROR(VLOOKUP(A59, 'ANEXO A'!$A$2:$L$94, 11, FALSE), "")</f>
        <v/>
      </c>
      <c r="E59" s="38">
        <f>IFERROR(VLOOKUP(A59, 'ANEXO A'!$A$2:$L$94, 8, FALSE), "")</f>
        <v/>
      </c>
      <c r="F59" s="38">
        <f>IFERROR(VLOOKUP(A59, 'ANEXO A'!$A$2:$L$94, 9, FALSE), "")</f>
        <v/>
      </c>
      <c r="G59" s="38">
        <f>IFERROR(VLOOKUP(A59, 'ANEXO A'!$A$2:$L$94, 10, FALSE), "")</f>
        <v/>
      </c>
      <c r="H59" s="38">
        <f>IFERROR(VLOOKUP(A59, 'ANEXO A'!$A$2:$L$94, 12, FALSE), "")</f>
        <v/>
      </c>
      <c r="I59" s="38" t="inlineStr">
        <is>
          <t>6.19 Escaneo / Plan TI: Mantenimiento preventivo y correctivo periódico a infraestructura bajo bitácora y supervisión (GSO-GSI-MP-GSI / SEPS-2022-002).</t>
        </is>
      </c>
      <c r="J59" s="112">
        <f>"• Establecer lineamientos para " &amp; IFERROR(VLOOKUP(A59, 'ANEXO A'!$A$2:$L$94, 2, FALSE), "Este Control") &amp; CHAR(10) &amp; "• Definir roles para el control " &amp; A59 &amp; CHAR(10) &amp; "• Revisar efectividad de " &amp; IFERROR(VLOOKUP(A59, 'ANEXO A'!$A$2:$L$94, 2, FALSE), "Este Control")</f>
        <v/>
      </c>
      <c r="K59" s="112" t="inlineStr">
        <is>
          <t>Asegurar el cumplimiento, control y resguardo continuo de los procesos de Mantenimiento de equipos a fin de mitigar riesgos y mantener la alineación a los principios de confidencialidad, integridad y disponibilidad aplicables a este dominio.</t>
        </is>
      </c>
      <c r="L59" s="112" t="inlineStr">
        <is>
          <t>La organización deberá implementar, registrar y monitorear operativamente todos los protocolos relacionados a Mantenimiento de equipos, estableciendo políticas técnicas correspondientes.</t>
        </is>
      </c>
    </row>
    <row r="60" ht="67.5" customHeight="1" s="106">
      <c r="A60" s="38">
        <f>'ANEXO A'!A60</f>
        <v/>
      </c>
      <c r="B60" s="38">
        <f>IFERROR(VLOOKUP(A60, 'ANEXO A'!$A$2:$L$94, 2, FALSE), "")</f>
        <v/>
      </c>
      <c r="C60" s="38">
        <f>IF(LEFT(A60,1)="5", "5. Organizacionales", IF(LEFT(A60,1)="6", "6. Personas", IF(LEFT(A60,1)="7", "7. Físicos", "8. Tecnológicos")))</f>
        <v/>
      </c>
      <c r="D60" s="38">
        <f>IFERROR(VLOOKUP(A60, 'ANEXO A'!$A$2:$L$94, 11, FALSE), "")</f>
        <v/>
      </c>
      <c r="E60" s="38">
        <f>IFERROR(VLOOKUP(A60, 'ANEXO A'!$A$2:$L$94, 8, FALSE), "")</f>
        <v/>
      </c>
      <c r="F60" s="38">
        <f>IFERROR(VLOOKUP(A60, 'ANEXO A'!$A$2:$L$94, 9, FALSE), "")</f>
        <v/>
      </c>
      <c r="G60" s="38">
        <f>IFERROR(VLOOKUP(A60, 'ANEXO A'!$A$2:$L$94, 10, FALSE), "")</f>
        <v/>
      </c>
      <c r="H60" s="38">
        <f>IFERROR(VLOOKUP(A60, 'ANEXO A'!$A$2:$L$94, 12, FALSE), "")</f>
        <v/>
      </c>
      <c r="I60" s="38" t="inlineStr">
        <is>
          <t>Sec. 1 Metodología GAI / Bajas TI: Borrado seguro de medios de almacenamiento y desmagnetización/destrucción de discos dados de baja (GSO-GSI-ME-GAI / ISO 27002).</t>
        </is>
      </c>
      <c r="J60" s="112">
        <f>"• Establecer lineamientos para " &amp; IFERROR(VLOOKUP(A60, 'ANEXO A'!$A$2:$L$94, 2, FALSE), "Este Control") &amp; CHAR(10) &amp; "• Definir roles para el control " &amp; A60 &amp; CHAR(10) &amp; "• Revisar efectividad de " &amp; IFERROR(VLOOKUP(A60, 'ANEXO A'!$A$2:$L$94, 2, FALSE), "Este Control")</f>
        <v/>
      </c>
      <c r="K60" s="112" t="inlineStr">
        <is>
          <t>Asegurar el cumplimiento, control y resguardo continuo de los procesos de Eliminación segura o reutilización de equipos a fin de mitigar riesgos y mantener la alineación a los principios de confidencialidad, integridad y disponibilidad aplicables a este dominio.</t>
        </is>
      </c>
      <c r="L60" s="112" t="inlineStr">
        <is>
          <t>La organización deberá implementar, registrar y monitorear operativamente todos los protocolos relacionados a Eliminación segura o reutilización de equipos, estableciendo políticas técnicas correspondientes.</t>
        </is>
      </c>
    </row>
    <row r="61" ht="56.25" customHeight="1" s="106">
      <c r="A61" s="38">
        <f>'ANEXO A'!A61</f>
        <v/>
      </c>
      <c r="B61" s="38">
        <f>IFERROR(VLOOKUP(A61, 'ANEXO A'!$A$2:$L$94, 2, FALSE), "")</f>
        <v/>
      </c>
      <c r="C61" s="38">
        <f>IF(LEFT(A61,1)="5", "5. Organizacionales", IF(LEFT(A61,1)="6", "6. Personas", IF(LEFT(A61,1)="7", "7. Físicos", "8. Tecnológicos")))</f>
        <v/>
      </c>
      <c r="D61" s="38">
        <f>IFERROR(VLOOKUP(A61, 'ANEXO A'!$A$2:$L$94, 11, FALSE), "")</f>
        <v/>
      </c>
      <c r="E61" s="38">
        <f>IFERROR(VLOOKUP(A61, 'ANEXO A'!$A$2:$L$94, 8, FALSE), "")</f>
        <v/>
      </c>
      <c r="F61" s="38">
        <f>IFERROR(VLOOKUP(A61, 'ANEXO A'!$A$2:$L$94, 9, FALSE), "")</f>
        <v/>
      </c>
      <c r="G61" s="38">
        <f>IFERROR(VLOOKUP(A61, 'ANEXO A'!$A$2:$L$94, 10, FALSE), "")</f>
        <v/>
      </c>
      <c r="H61" s="38">
        <f>IFERROR(VLOOKUP(A61, 'ANEXO A'!$A$2:$L$94, 12, FALSE), "")</f>
        <v/>
      </c>
      <c r="I61" s="38" t="inlineStr">
        <is>
          <t>6.1 Políticas Generales (Item 4) / 6.16: Gestión unificada por Directorio Activo, políticas GPO y monitoreo de terminales (GSO-GSI-MP-GSI).</t>
        </is>
      </c>
      <c r="J61" s="112">
        <f>"• Establecer lineamientos para " &amp; IFERROR(VLOOKUP(A61, 'ANEXO A'!$A$2:$L$94, 2, FALSE), "Este Control") &amp; CHAR(10) &amp; "• Definir roles para el control " &amp; A61 &amp; CHAR(10) &amp; "• Revisar efectividad de " &amp; IFERROR(VLOOKUP(A61, 'ANEXO A'!$A$2:$L$94, 2, FALSE), "Este Control")</f>
        <v/>
      </c>
      <c r="K61" s="112" t="inlineStr">
        <is>
          <t>Asegurar el cumplimiento, control y resguardo continuo de los procesos de Dispositivos de punto final de usuario a fin de mitigar riesgos y mantener la alineación a los principios de confidencialidad, integridad y disponibilidad aplicables a este dominio.</t>
        </is>
      </c>
      <c r="L61" s="112" t="inlineStr">
        <is>
          <t>La organización deberá implementar, registrar y monitorear operativamente todos los protocolos relacionados a Dispositivos de punto final de usuario, estableciendo políticas técnicas correspondientes.</t>
        </is>
      </c>
    </row>
    <row r="62" ht="56.25" customHeight="1" s="106">
      <c r="A62" s="38">
        <f>'ANEXO A'!A62</f>
        <v/>
      </c>
      <c r="B62" s="38">
        <f>IFERROR(VLOOKUP(A62, 'ANEXO A'!$A$2:$L$94, 2, FALSE), "")</f>
        <v/>
      </c>
      <c r="C62" s="38">
        <f>IF(LEFT(A62,1)="5", "5. Organizacionales", IF(LEFT(A62,1)="6", "6. Personas", IF(LEFT(A62,1)="7", "7. Físicos", "8. Tecnológicos")))</f>
        <v/>
      </c>
      <c r="D62" s="38">
        <f>IFERROR(VLOOKUP(A62, 'ANEXO A'!$A$2:$L$94, 11, FALSE), "")</f>
        <v/>
      </c>
      <c r="E62" s="38">
        <f>IFERROR(VLOOKUP(A62, 'ANEXO A'!$A$2:$L$94, 8, FALSE), "")</f>
        <v/>
      </c>
      <c r="F62" s="38">
        <f>IFERROR(VLOOKUP(A62, 'ANEXO A'!$A$2:$L$94, 9, FALSE), "")</f>
        <v/>
      </c>
      <c r="G62" s="38">
        <f>IFERROR(VLOOKUP(A62, 'ANEXO A'!$A$2:$L$94, 10, FALSE), "")</f>
        <v/>
      </c>
      <c r="H62" s="38">
        <f>IFERROR(VLOOKUP(A62, 'ANEXO A'!$A$2:$L$94, 12, FALSE), "")</f>
        <v/>
      </c>
      <c r="I62" s="38" t="inlineStr">
        <is>
          <t>6.7. Administración de roles y perfiles - Control de acceso privilegiado (GSO-GSI-MP-GSI)</t>
        </is>
      </c>
      <c r="J62" s="112">
        <f>"• Establecer lineamientos para " &amp; IFERROR(VLOOKUP(A62, 'ANEXO A'!$A$2:$L$94, 2, FALSE), "Este Control") &amp; CHAR(10) &amp; "• Definir roles para el control " &amp; A62 &amp; CHAR(10) &amp; "• Revisar efectividad de " &amp; IFERROR(VLOOKUP(A62, 'ANEXO A'!$A$2:$L$94, 2, FALSE), "Este Control")</f>
        <v/>
      </c>
      <c r="K62" s="112" t="inlineStr">
        <is>
          <t>Asegurar el cumplimiento, control y resguardo continuo de los procesos de Derechos de acceso privilegiado a fin de mitigar riesgos y mantener la alineación a los principios de confidencialidad, integridad y disponibilidad aplicables a este dominio.</t>
        </is>
      </c>
      <c r="L62" s="112" t="inlineStr">
        <is>
          <t>La organización deberá implementar, registrar y monitorear operativamente todos los protocolos relacionados a Derechos de acceso privilegiado, estableciendo políticas técnicas correspondientes.</t>
        </is>
      </c>
    </row>
    <row r="63" ht="67.5" customHeight="1" s="106">
      <c r="A63" s="38">
        <f>'ANEXO A'!A63</f>
        <v/>
      </c>
      <c r="B63" s="38">
        <f>IFERROR(VLOOKUP(A63, 'ANEXO A'!$A$2:$L$94, 2, FALSE), "")</f>
        <v/>
      </c>
      <c r="C63" s="38">
        <f>IF(LEFT(A63,1)="5", "5. Organizacionales", IF(LEFT(A63,1)="6", "6. Personas", IF(LEFT(A63,1)="7", "7. Físicos", "8. Tecnológicos")))</f>
        <v/>
      </c>
      <c r="D63" s="38">
        <f>IFERROR(VLOOKUP(A63, 'ANEXO A'!$A$2:$L$94, 11, FALSE), "")</f>
        <v/>
      </c>
      <c r="E63" s="38">
        <f>IFERROR(VLOOKUP(A63, 'ANEXO A'!$A$2:$L$94, 8, FALSE), "")</f>
        <v/>
      </c>
      <c r="F63" s="38">
        <f>IFERROR(VLOOKUP(A63, 'ANEXO A'!$A$2:$L$94, 9, FALSE), "")</f>
        <v/>
      </c>
      <c r="G63" s="38">
        <f>IFERROR(VLOOKUP(A63, 'ANEXO A'!$A$2:$L$94, 10, FALSE), "")</f>
        <v/>
      </c>
      <c r="H63" s="38">
        <f>IFERROR(VLOOKUP(A63, 'ANEXO A'!$A$2:$L$94, 12, FALSE), "")</f>
        <v/>
      </c>
      <c r="I63" s="38" t="inlineStr">
        <is>
          <t>6.4. Bloqueo y Desbloqueo de usuarios / 6.5 Eliminación de usuarios (GSO-GSI-MP-GSI)</t>
        </is>
      </c>
      <c r="J63" s="112">
        <f>"• Establecer lineamientos para " &amp; IFERROR(VLOOKUP(A63, 'ANEXO A'!$A$2:$L$94, 2, FALSE), "Este Control") &amp; CHAR(10) &amp; "• Definir roles para el control " &amp; A63 &amp; CHAR(10) &amp; "• Revisar efectividad de " &amp; IFERROR(VLOOKUP(A63, 'ANEXO A'!$A$2:$L$94, 2, FALSE), "Este Control")</f>
        <v/>
      </c>
      <c r="K63" s="112" t="inlineStr">
        <is>
          <t>Asegurar el cumplimiento, control y resguardo continuo de los procesos de Restricción del acceso a la información a fin de mitigar riesgos y mantener la alineación a los principios de confidencialidad, integridad y disponibilidad aplicables a este dominio.</t>
        </is>
      </c>
      <c r="L63" s="112" t="inlineStr">
        <is>
          <t>La organización deberá implementar, registrar y monitorear operativamente todos los protocolos relacionados a Restricción del acceso a la información, estableciendo políticas técnicas correspondientes.</t>
        </is>
      </c>
    </row>
    <row r="64" ht="56.25" customHeight="1" s="106">
      <c r="A64" s="38">
        <f>'ANEXO A'!A64</f>
        <v/>
      </c>
      <c r="B64" s="38">
        <f>IFERROR(VLOOKUP(A64, 'ANEXO A'!$A$2:$L$94, 2, FALSE), "")</f>
        <v/>
      </c>
      <c r="C64" s="38">
        <f>IF(LEFT(A64,1)="5", "5. Organizacionales", IF(LEFT(A64,1)="6", "6. Personas", IF(LEFT(A64,1)="7", "7. Físicos", "8. Tecnológicos")))</f>
        <v/>
      </c>
      <c r="D64" s="38">
        <f>IFERROR(VLOOKUP(A64, 'ANEXO A'!$A$2:$L$94, 11, FALSE), "")</f>
        <v/>
      </c>
      <c r="E64" s="38">
        <f>IFERROR(VLOOKUP(A64, 'ANEXO A'!$A$2:$L$94, 8, FALSE), "")</f>
        <v/>
      </c>
      <c r="F64" s="38">
        <f>IFERROR(VLOOKUP(A64, 'ANEXO A'!$A$2:$L$94, 9, FALSE), "")</f>
        <v/>
      </c>
      <c r="G64" s="38">
        <f>IFERROR(VLOOKUP(A64, 'ANEXO A'!$A$2:$L$94, 10, FALSE), "")</f>
        <v/>
      </c>
      <c r="H64" s="38">
        <f>IFERROR(VLOOKUP(A64, 'ANEXO A'!$A$2:$L$94, 12, FALSE), "")</f>
        <v/>
      </c>
      <c r="I64" s="38" t="inlineStr">
        <is>
          <t>Anexo 1 SEPS (Desarrollo): Restricción y control de repositorios de software y herramientas de desarrollo bajo mínima asignación de privilegios (SEPS-2022-002 / ISO 27002).</t>
        </is>
      </c>
      <c r="J64" s="112">
        <f>"• Establecer lineamientos para " &amp; IFERROR(VLOOKUP(A64, 'ANEXO A'!$A$2:$L$94, 2, FALSE), "Este Control") &amp; CHAR(10) &amp; "• Definir roles para el control " &amp; A64 &amp; CHAR(10) &amp; "• Revisar efectividad de " &amp; IFERROR(VLOOKUP(A64, 'ANEXO A'!$A$2:$L$94, 2, FALSE), "Este Control")</f>
        <v/>
      </c>
      <c r="K64" s="112" t="inlineStr">
        <is>
          <t>Asegurar el cumplimiento, control y resguardo continuo de los procesos de Acceso al código fuente a fin de mitigar riesgos y mantener la alineación a los principios de confidencialidad, integridad y disponibilidad aplicables a este dominio.</t>
        </is>
      </c>
      <c r="L64" s="112" t="inlineStr">
        <is>
          <t>La organización deberá implementar, registrar y monitorear operativamente todos los protocolos relacionados a Acceso al código fuente, estableciendo políticas técnicas correspondientes.</t>
        </is>
      </c>
    </row>
    <row r="65" ht="56.25" customHeight="1" s="106">
      <c r="A65" s="38">
        <f>'ANEXO A'!A65</f>
        <v/>
      </c>
      <c r="B65" s="38">
        <f>IFERROR(VLOOKUP(A65, 'ANEXO A'!$A$2:$L$94, 2, FALSE), "")</f>
        <v/>
      </c>
      <c r="C65" s="38">
        <f>IF(LEFT(A65,1)="5", "5. Organizacionales", IF(LEFT(A65,1)="6", "6. Personas", IF(LEFT(A65,1)="7", "7. Físicos", "8. Tecnológicos")))</f>
        <v/>
      </c>
      <c r="D65" s="38">
        <f>IFERROR(VLOOKUP(A65, 'ANEXO A'!$A$2:$L$94, 11, FALSE), "")</f>
        <v/>
      </c>
      <c r="E65" s="38">
        <f>IFERROR(VLOOKUP(A65, 'ANEXO A'!$A$2:$L$94, 8, FALSE), "")</f>
        <v/>
      </c>
      <c r="F65" s="38">
        <f>IFERROR(VLOOKUP(A65, 'ANEXO A'!$A$2:$L$94, 9, FALSE), "")</f>
        <v/>
      </c>
      <c r="G65" s="38">
        <f>IFERROR(VLOOKUP(A65, 'ANEXO A'!$A$2:$L$94, 10, FALSE), "")</f>
        <v/>
      </c>
      <c r="H65" s="38">
        <f>IFERROR(VLOOKUP(A65, 'ANEXO A'!$A$2:$L$94, 12, FALSE), "")</f>
        <v/>
      </c>
      <c r="I65" s="38" t="inlineStr">
        <is>
          <t>6.4 Bloqueo / 6.2 MFA Azure: Implementación de contraseñas robustas, bloqueo por intentos fallidos y autenticación multifactor (GSO-GSI-MP-GSI).</t>
        </is>
      </c>
      <c r="J65" s="112">
        <f>"• Establecer lineamientos para " &amp; IFERROR(VLOOKUP(A65, 'ANEXO A'!$A$2:$L$94, 2, FALSE), "Este Control") &amp; CHAR(10) &amp; "• Definir roles para el control " &amp; A65 &amp; CHAR(10) &amp; "• Revisar efectividad de " &amp; IFERROR(VLOOKUP(A65, 'ANEXO A'!$A$2:$L$94, 2, FALSE), "Este Control")</f>
        <v/>
      </c>
      <c r="K65" s="112" t="inlineStr">
        <is>
          <t>Asegurar el cumplimiento, control y resguardo continuo de los procesos de Autenticación segura a fin de mitigar riesgos y mantener la alineación a los principios de confidencialidad, integridad y disponibilidad aplicables a este dominio.</t>
        </is>
      </c>
      <c r="L65" s="112" t="inlineStr">
        <is>
          <t>La organización deberá implementar, registrar y monitorear operativamente todos los protocolos relacionados a Autenticación segura, estableciendo políticas técnicas correspondientes.</t>
        </is>
      </c>
    </row>
    <row r="66" ht="56.25" customHeight="1" s="106">
      <c r="A66" s="38">
        <f>'ANEXO A'!A66</f>
        <v/>
      </c>
      <c r="B66" s="38">
        <f>IFERROR(VLOOKUP(A66, 'ANEXO A'!$A$2:$L$94, 2, FALSE), "")</f>
        <v/>
      </c>
      <c r="C66" s="38">
        <f>IF(LEFT(A66,1)="5", "5. Organizacionales", IF(LEFT(A66,1)="6", "6. Personas", IF(LEFT(A66,1)="7", "7. Físicos", "8. Tecnológicos")))</f>
        <v/>
      </c>
      <c r="D66" s="38">
        <f>IFERROR(VLOOKUP(A66, 'ANEXO A'!$A$2:$L$94, 11, FALSE), "")</f>
        <v/>
      </c>
      <c r="E66" s="38">
        <f>IFERROR(VLOOKUP(A66, 'ANEXO A'!$A$2:$L$94, 8, FALSE), "")</f>
        <v/>
      </c>
      <c r="F66" s="38">
        <f>IFERROR(VLOOKUP(A66, 'ANEXO A'!$A$2:$L$94, 9, FALSE), "")</f>
        <v/>
      </c>
      <c r="G66" s="38">
        <f>IFERROR(VLOOKUP(A66, 'ANEXO A'!$A$2:$L$94, 10, FALSE), "")</f>
        <v/>
      </c>
      <c r="H66" s="38">
        <f>IFERROR(VLOOKUP(A66, 'ANEXO A'!$A$2:$L$94, 12, FALSE), "")</f>
        <v/>
      </c>
      <c r="I66" s="38" t="inlineStr">
        <is>
          <t>6.14 Auditoría BD (Pol. 5): Monitoreo semestral del consumo de recursos, almacenamiento y rendimiento de base de datos y Core (GSO-GSI-MP-GSI).</t>
        </is>
      </c>
      <c r="J66" s="112">
        <f>"• Establecer lineamientos para " &amp; IFERROR(VLOOKUP(A66, 'ANEXO A'!$A$2:$L$94, 2, FALSE), "Este Control") &amp; CHAR(10) &amp; "• Definir roles para el control " &amp; A66 &amp; CHAR(10) &amp; "• Revisar efectividad de " &amp; IFERROR(VLOOKUP(A66, 'ANEXO A'!$A$2:$L$94, 2, FALSE), "Este Control")</f>
        <v/>
      </c>
      <c r="K66" s="112" t="inlineStr">
        <is>
          <t>Asegurar el cumplimiento, control y resguardo continuo de los procesos de Gestión de capacidad a fin de mitigar riesgos y mantener la alineación a los principios de confidencialidad, integridad y disponibilidad aplicables a este dominio.</t>
        </is>
      </c>
      <c r="L66" s="112" t="inlineStr">
        <is>
          <t>La organización deberá implementar, registrar y monitorear operativamente todos los protocolos relacionados a Gestión de capacidad, estableciendo políticas técnicas correspondientes.</t>
        </is>
      </c>
    </row>
    <row r="67" ht="56.25" customHeight="1" s="106">
      <c r="A67" s="38">
        <f>'ANEXO A'!A67</f>
        <v/>
      </c>
      <c r="B67" s="38">
        <f>IFERROR(VLOOKUP(A67, 'ANEXO A'!$A$2:$L$94, 2, FALSE), "")</f>
        <v/>
      </c>
      <c r="C67" s="38">
        <f>IF(LEFT(A67,1)="5", "5. Organizacionales", IF(LEFT(A67,1)="6", "6. Personas", IF(LEFT(A67,1)="7", "7. Físicos", "8. Tecnológicos")))</f>
        <v/>
      </c>
      <c r="D67" s="38">
        <f>IFERROR(VLOOKUP(A67, 'ANEXO A'!$A$2:$L$94, 11, FALSE), "")</f>
        <v/>
      </c>
      <c r="E67" s="38">
        <f>IFERROR(VLOOKUP(A67, 'ANEXO A'!$A$2:$L$94, 8, FALSE), "")</f>
        <v/>
      </c>
      <c r="F67" s="38">
        <f>IFERROR(VLOOKUP(A67, 'ANEXO A'!$A$2:$L$94, 9, FALSE), "")</f>
        <v/>
      </c>
      <c r="G67" s="38">
        <f>IFERROR(VLOOKUP(A67, 'ANEXO A'!$A$2:$L$94, 10, FALSE), "")</f>
        <v/>
      </c>
      <c r="H67" s="38">
        <f>IFERROR(VLOOKUP(A67, 'ANEXO A'!$A$2:$L$94, 12, FALSE), "")</f>
        <v/>
      </c>
      <c r="I67" s="38" t="inlineStr">
        <is>
          <t>6.11 Cuentas Críticas (Antivirus/AntiSpam): Administración centralizada de consola antivirus, filtros antispam y actualización de firmas (GSO-GSI-MP-GSI).</t>
        </is>
      </c>
      <c r="J67" s="112">
        <f>"• Establecer lineamientos para " &amp; IFERROR(VLOOKUP(A67, 'ANEXO A'!$A$2:$L$94, 2, FALSE), "Este Control") &amp; CHAR(10) &amp; "• Definir roles para el control " &amp; A67 &amp; CHAR(10) &amp; "• Revisar efectividad de " &amp; IFERROR(VLOOKUP(A67, 'ANEXO A'!$A$2:$L$94, 2, FALSE), "Este Control")</f>
        <v/>
      </c>
      <c r="K67" s="112" t="inlineStr">
        <is>
          <t>Asegurar el cumplimiento, control y resguardo continuo de los procesos de Protección contra malware a fin de mitigar riesgos y mantener la alineación a los principios de confidencialidad, integridad y disponibilidad aplicables a este dominio.</t>
        </is>
      </c>
      <c r="L67" s="112" t="inlineStr">
        <is>
          <t>La organización deberá implementar, registrar y monitorear operativamente todos los protocolos relacionados a Protección contra malware, estableciendo políticas técnicas correspondientes.</t>
        </is>
      </c>
    </row>
    <row r="68" ht="56.25" customHeight="1" s="106">
      <c r="A68" s="38">
        <f>'ANEXO A'!A68</f>
        <v/>
      </c>
      <c r="B68" s="38">
        <f>IFERROR(VLOOKUP(A68, 'ANEXO A'!$A$2:$L$94, 2, FALSE), "")</f>
        <v/>
      </c>
      <c r="C68" s="38">
        <f>IF(LEFT(A68,1)="5", "5. Organizacionales", IF(LEFT(A68,1)="6", "6. Personas", IF(LEFT(A68,1)="7", "7. Físicos", "8. Tecnológicos")))</f>
        <v/>
      </c>
      <c r="D68" s="38">
        <f>IFERROR(VLOOKUP(A68, 'ANEXO A'!$A$2:$L$94, 11, FALSE), "")</f>
        <v/>
      </c>
      <c r="E68" s="38">
        <f>IFERROR(VLOOKUP(A68, 'ANEXO A'!$A$2:$L$94, 8, FALSE), "")</f>
        <v/>
      </c>
      <c r="F68" s="38">
        <f>IFERROR(VLOOKUP(A68, 'ANEXO A'!$A$2:$L$94, 9, FALSE), "")</f>
        <v/>
      </c>
      <c r="G68" s="38">
        <f>IFERROR(VLOOKUP(A68, 'ANEXO A'!$A$2:$L$94, 10, FALSE), "")</f>
        <v/>
      </c>
      <c r="H68" s="38">
        <f>IFERROR(VLOOKUP(A68, 'ANEXO A'!$A$2:$L$94, 12, FALSE), "")</f>
        <v/>
      </c>
      <c r="I68" s="38" t="inlineStr">
        <is>
          <t>6.19. Escaneo de vulnerabilidades internas y externas - Mantenimiento de software (GSO-GSI-MP-GSI)</t>
        </is>
      </c>
      <c r="J68" s="112">
        <f>"• Establecer lineamientos para " &amp; IFERROR(VLOOKUP(A68, 'ANEXO A'!$A$2:$L$94, 2, FALSE), "Este Control") &amp; CHAR(10) &amp; "• Definir roles para el control " &amp; A68 &amp; CHAR(10) &amp; "• Revisar efectividad de " &amp; IFERROR(VLOOKUP(A68, 'ANEXO A'!$A$2:$L$94, 2, FALSE), "Este Control")</f>
        <v/>
      </c>
      <c r="K68" s="112" t="inlineStr">
        <is>
          <t>Asegurar el cumplimiento, control y resguardo continuo de los procesos de Gestión de vulnerabilidades técnicas a fin de mitigar riesgos y mantener la alineación a los principios de confidencialidad, integridad y disponibilidad aplicables a este dominio.</t>
        </is>
      </c>
      <c r="L68" s="112" t="inlineStr">
        <is>
          <t>La organización deberá implementar, registrar y monitorear operativamente todos los protocolos relacionados a Gestión de vulnerabilidades técnicas, estableciendo políticas técnicas correspondientes.</t>
        </is>
      </c>
    </row>
    <row r="69" ht="56.25" customHeight="1" s="106">
      <c r="A69" s="38">
        <f>'ANEXO A'!A69</f>
        <v/>
      </c>
      <c r="B69" s="38">
        <f>IFERROR(VLOOKUP(A69, 'ANEXO A'!$A$2:$L$94, 2, FALSE), "")</f>
        <v/>
      </c>
      <c r="C69" s="38">
        <f>IF(LEFT(A69,1)="5", "5. Organizacionales", IF(LEFT(A69,1)="6", "6. Personas", IF(LEFT(A69,1)="7", "7. Físicos", "8. Tecnológicos")))</f>
        <v/>
      </c>
      <c r="D69" s="38">
        <f>IFERROR(VLOOKUP(A69, 'ANEXO A'!$A$2:$L$94, 11, FALSE), "")</f>
        <v/>
      </c>
      <c r="E69" s="38">
        <f>IFERROR(VLOOKUP(A69, 'ANEXO A'!$A$2:$L$94, 8, FALSE), "")</f>
        <v/>
      </c>
      <c r="F69" s="38">
        <f>IFERROR(VLOOKUP(A69, 'ANEXO A'!$A$2:$L$94, 9, FALSE), "")</f>
        <v/>
      </c>
      <c r="G69" s="38">
        <f>IFERROR(VLOOKUP(A69, 'ANEXO A'!$A$2:$L$94, 10, FALSE), "")</f>
        <v/>
      </c>
      <c r="H69" s="38">
        <f>IFERROR(VLOOKUP(A69, 'ANEXO A'!$A$2:$L$94, 12, FALSE), "")</f>
        <v/>
      </c>
      <c r="I69" s="38" t="inlineStr">
        <is>
          <t>Anexo 1 SEPS 002 (Configuración): Establecimiento y auditoría de líneas base seguras (Hardening) en servidores, BD y comunicaciones (SEPS-2022-002).</t>
        </is>
      </c>
      <c r="J69" s="112">
        <f>"• Establecer lineamientos para " &amp; IFERROR(VLOOKUP(A69, 'ANEXO A'!$A$2:$L$94, 2, FALSE), "Este Control") &amp; CHAR(10) &amp; "• Definir roles para el control " &amp; A69 &amp; CHAR(10) &amp; "• Revisar efectividad de " &amp; IFERROR(VLOOKUP(A69, 'ANEXO A'!$A$2:$L$94, 2, FALSE), "Este Control")</f>
        <v/>
      </c>
      <c r="K69" s="112" t="inlineStr">
        <is>
          <t>Asegurar el cumplimiento, control y resguardo continuo de los procesos de Gestión de la configuración a fin de mitigar riesgos y mantener la alineación a los principios de confidencialidad, integridad y disponibilidad aplicables a este dominio.</t>
        </is>
      </c>
      <c r="L69" s="112" t="inlineStr">
        <is>
          <t>La organización deberá implementar, registrar y monitorear operativamente todos los protocolos relacionados a Gestión de la configuración, estableciendo políticas técnicas correspondientes.</t>
        </is>
      </c>
    </row>
    <row r="70" ht="56.25" customHeight="1" s="106">
      <c r="A70" s="38">
        <f>'ANEXO A'!A70</f>
        <v/>
      </c>
      <c r="B70" s="38">
        <f>IFERROR(VLOOKUP(A70, 'ANEXO A'!$A$2:$L$94, 2, FALSE), "")</f>
        <v/>
      </c>
      <c r="C70" s="38">
        <f>IF(LEFT(A70,1)="5", "5. Organizacionales", IF(LEFT(A70,1)="6", "6. Personas", IF(LEFT(A70,1)="7", "7. Físicos", "8. Tecnológicos")))</f>
        <v/>
      </c>
      <c r="D70" s="38">
        <f>IFERROR(VLOOKUP(A70, 'ANEXO A'!$A$2:$L$94, 11, FALSE), "")</f>
        <v/>
      </c>
      <c r="E70" s="38">
        <f>IFERROR(VLOOKUP(A70, 'ANEXO A'!$A$2:$L$94, 8, FALSE), "")</f>
        <v/>
      </c>
      <c r="F70" s="38">
        <f>IFERROR(VLOOKUP(A70, 'ANEXO A'!$A$2:$L$94, 9, FALSE), "")</f>
        <v/>
      </c>
      <c r="G70" s="38">
        <f>IFERROR(VLOOKUP(A70, 'ANEXO A'!$A$2:$L$94, 10, FALSE), "")</f>
        <v/>
      </c>
      <c r="H70" s="38">
        <f>IFERROR(VLOOKUP(A70, 'ANEXO A'!$A$2:$L$94, 12, FALSE), "")</f>
        <v/>
      </c>
      <c r="I70" s="38" t="inlineStr">
        <is>
          <t>6.5 Eliminación de usuarios / Retención: Expiración de productos/roles y purga segura de archivos temporales (GSO-GSI-MP-GSI / ISO 27002).</t>
        </is>
      </c>
      <c r="J70" s="112">
        <f>"• Establecer lineamientos para " &amp; IFERROR(VLOOKUP(A70, 'ANEXO A'!$A$2:$L$94, 2, FALSE), "Este Control") &amp; CHAR(10) &amp; "• Definir roles para el control " &amp; A70 &amp; CHAR(10) &amp; "• Revisar efectividad de " &amp; IFERROR(VLOOKUP(A70, 'ANEXO A'!$A$2:$L$94, 2, FALSE), "Este Control")</f>
        <v/>
      </c>
      <c r="K70" s="112" t="inlineStr">
        <is>
          <t>Asegurar el cumplimiento, control y resguardo continuo de los procesos de Eliminación de información a fin de mitigar riesgos y mantener la alineación a los principios de confidencialidad, integridad y disponibilidad aplicables a este dominio.</t>
        </is>
      </c>
      <c r="L70" s="112" t="inlineStr">
        <is>
          <t>La organización deberá implementar, registrar y monitorear operativamente todos los protocolos relacionados a Eliminación de información, estableciendo políticas técnicas correspondientes.</t>
        </is>
      </c>
    </row>
    <row r="71" ht="56.25" customHeight="1" s="106">
      <c r="A71" s="38">
        <f>'ANEXO A'!A71</f>
        <v/>
      </c>
      <c r="B71" s="38">
        <f>IFERROR(VLOOKUP(A71, 'ANEXO A'!$A$2:$L$94, 2, FALSE), "")</f>
        <v/>
      </c>
      <c r="C71" s="38">
        <f>IF(LEFT(A71,1)="5", "5. Organizacionales", IF(LEFT(A71,1)="6", "6. Personas", IF(LEFT(A71,1)="7", "7. Físicos", "8. Tecnológicos")))</f>
        <v/>
      </c>
      <c r="D71" s="38">
        <f>IFERROR(VLOOKUP(A71, 'ANEXO A'!$A$2:$L$94, 11, FALSE), "")</f>
        <v/>
      </c>
      <c r="E71" s="38">
        <f>IFERROR(VLOOKUP(A71, 'ANEXO A'!$A$2:$L$94, 8, FALSE), "")</f>
        <v/>
      </c>
      <c r="F71" s="38">
        <f>IFERROR(VLOOKUP(A71, 'ANEXO A'!$A$2:$L$94, 9, FALSE), "")</f>
        <v/>
      </c>
      <c r="G71" s="38">
        <f>IFERROR(VLOOKUP(A71, 'ANEXO A'!$A$2:$L$94, 10, FALSE), "")</f>
        <v/>
      </c>
      <c r="H71" s="38">
        <f>IFERROR(VLOOKUP(A71, 'ANEXO A'!$A$2:$L$94, 12, FALSE), "")</f>
        <v/>
      </c>
      <c r="I71" s="38" t="inlineStr">
        <is>
          <t>6.17 Escaneo PCI DSS (Pol. 3-6): Truncamiento y ofuscación del PAN (visibilidad máx. primeros 6 y últimos 4 dígitos) (GSO-GSI-MP-GSI).</t>
        </is>
      </c>
      <c r="J71" s="112">
        <f>"• Establecer lineamientos para " &amp; IFERROR(VLOOKUP(A71, 'ANEXO A'!$A$2:$L$94, 2, FALSE), "Este Control") &amp; CHAR(10) &amp; "• Definir roles para el control " &amp; A71 &amp; CHAR(10) &amp; "• Revisar efectividad de " &amp; IFERROR(VLOOKUP(A71, 'ANEXO A'!$A$2:$L$94, 2, FALSE), "Este Control")</f>
        <v/>
      </c>
      <c r="K71" s="112" t="inlineStr">
        <is>
          <t>Asegurar el cumplimiento, control y resguardo continuo de los procesos de Enmascaramiento de datos a fin de mitigar riesgos y mantener la alineación a los principios de confidencialidad, integridad y disponibilidad aplicables a este dominio.</t>
        </is>
      </c>
      <c r="L71" s="112" t="inlineStr">
        <is>
          <t>La organización deberá implementar, registrar y monitorear operativamente todos los protocolos relacionados a Enmascaramiento de datos, estableciendo políticas técnicas correspondientes.</t>
        </is>
      </c>
    </row>
    <row r="72" ht="56.25" customHeight="1" s="106">
      <c r="A72" s="38">
        <f>'ANEXO A'!A72</f>
        <v/>
      </c>
      <c r="B72" s="38">
        <f>IFERROR(VLOOKUP(A72, 'ANEXO A'!$A$2:$L$94, 2, FALSE), "")</f>
        <v/>
      </c>
      <c r="C72" s="38">
        <f>IF(LEFT(A72,1)="5", "5. Organizacionales", IF(LEFT(A72,1)="6", "6. Personas", IF(LEFT(A72,1)="7", "7. Físicos", "8. Tecnológicos")))</f>
        <v/>
      </c>
      <c r="D72" s="38">
        <f>IFERROR(VLOOKUP(A72, 'ANEXO A'!$A$2:$L$94, 11, FALSE), "")</f>
        <v/>
      </c>
      <c r="E72" s="38">
        <f>IFERROR(VLOOKUP(A72, 'ANEXO A'!$A$2:$L$94, 8, FALSE), "")</f>
        <v/>
      </c>
      <c r="F72" s="38">
        <f>IFERROR(VLOOKUP(A72, 'ANEXO A'!$A$2:$L$94, 9, FALSE), "")</f>
        <v/>
      </c>
      <c r="G72" s="38">
        <f>IFERROR(VLOOKUP(A72, 'ANEXO A'!$A$2:$L$94, 10, FALSE), "")</f>
        <v/>
      </c>
      <c r="H72" s="38">
        <f>IFERROR(VLOOKUP(A72, 'ANEXO A'!$A$2:$L$94, 12, FALSE), "")</f>
        <v/>
      </c>
      <c r="I72" s="38" t="inlineStr">
        <is>
          <t>6.9 Control FTP / 6.17 PCI DSS: Restricción de descargas masivas, monitoreo de canales de salida y bloqueo de fuga de información crítica (GSO-GSI-MP-GSI).</t>
        </is>
      </c>
      <c r="J72" s="112">
        <f>"• Establecer lineamientos para " &amp; IFERROR(VLOOKUP(A72, 'ANEXO A'!$A$2:$L$94, 2, FALSE), "Este Control") &amp; CHAR(10) &amp; "• Definir roles para el control " &amp; A72 &amp; CHAR(10) &amp; "• Revisar efectividad de " &amp; IFERROR(VLOOKUP(A72, 'ANEXO A'!$A$2:$L$94, 2, FALSE), "Este Control")</f>
        <v/>
      </c>
      <c r="K72" s="112" t="inlineStr">
        <is>
          <t>Asegurar el cumplimiento, control y resguardo continuo de los procesos de Prevención de fuga de datos a fin de mitigar riesgos y mantener la alineación a los principios de confidencialidad, integridad y disponibilidad aplicables a este dominio.</t>
        </is>
      </c>
      <c r="L72" s="112" t="inlineStr">
        <is>
          <t>La organización deberá implementar, registrar y monitorear operativamente todos los protocolos relacionados a Prevención de fuga de datos, estableciendo políticas técnicas correspondientes.</t>
        </is>
      </c>
    </row>
    <row r="73" ht="56.25" customHeight="1" s="106">
      <c r="A73" s="38">
        <f>'ANEXO A'!A73</f>
        <v/>
      </c>
      <c r="B73" s="38">
        <f>IFERROR(VLOOKUP(A73, 'ANEXO A'!$A$2:$L$94, 2, FALSE), "")</f>
        <v/>
      </c>
      <c r="C73" s="38">
        <f>IF(LEFT(A73,1)="5", "5. Organizacionales", IF(LEFT(A73,1)="6", "6. Personas", IF(LEFT(A73,1)="7", "7. Físicos", "8. Tecnológicos")))</f>
        <v/>
      </c>
      <c r="D73" s="38">
        <f>IFERROR(VLOOKUP(A73, 'ANEXO A'!$A$2:$L$94, 11, FALSE), "")</f>
        <v/>
      </c>
      <c r="E73" s="38">
        <f>IFERROR(VLOOKUP(A73, 'ANEXO A'!$A$2:$L$94, 8, FALSE), "")</f>
        <v/>
      </c>
      <c r="F73" s="38">
        <f>IFERROR(VLOOKUP(A73, 'ANEXO A'!$A$2:$L$94, 9, FALSE), "")</f>
        <v/>
      </c>
      <c r="G73" s="38">
        <f>IFERROR(VLOOKUP(A73, 'ANEXO A'!$A$2:$L$94, 10, FALSE), "")</f>
        <v/>
      </c>
      <c r="H73" s="38">
        <f>IFERROR(VLOOKUP(A73, 'ANEXO A'!$A$2:$L$94, 12, FALSE), "")</f>
        <v/>
      </c>
      <c r="I73" s="38" t="inlineStr">
        <is>
          <t>Anexo 1 SEPS 002 (Respaldos): Resguardo periódico automatizado de BD y aplicativos, y pruebas semestrales de restauración (SEPS-2022-002).</t>
        </is>
      </c>
      <c r="J73" s="112">
        <f>"• Establecer lineamientos para " &amp; IFERROR(VLOOKUP(A73, 'ANEXO A'!$A$2:$L$94, 2, FALSE), "Este Control") &amp; CHAR(10) &amp; "• Definir roles para el control " &amp; A73 &amp; CHAR(10) &amp; "• Revisar efectividad de " &amp; IFERROR(VLOOKUP(A73, 'ANEXO A'!$A$2:$L$94, 2, FALSE), "Este Control")</f>
        <v/>
      </c>
      <c r="K73" s="112" t="inlineStr">
        <is>
          <t>Asegurar el cumplimiento, control y resguardo continuo de los procesos de Copias de seguridad de la información a fin de mitigar riesgos y mantener la alineación a los principios de confidencialidad, integridad y disponibilidad aplicables a este dominio.</t>
        </is>
      </c>
      <c r="L73" s="112" t="inlineStr">
        <is>
          <t>La organización deberá implementar, registrar y monitorear operativamente todos los protocolos relacionados a Copias de seguridad de la información, estableciendo políticas técnicas correspondientes.</t>
        </is>
      </c>
    </row>
    <row r="74" ht="78.75" customHeight="1" s="106">
      <c r="A74" s="38">
        <f>'ANEXO A'!A74</f>
        <v/>
      </c>
      <c r="B74" s="38">
        <f>IFERROR(VLOOKUP(A74, 'ANEXO A'!$A$2:$L$94, 2, FALSE), "")</f>
        <v/>
      </c>
      <c r="C74" s="38">
        <f>IF(LEFT(A74,1)="5", "5. Organizacionales", IF(LEFT(A74,1)="6", "6. Personas", IF(LEFT(A74,1)="7", "7. Físicos", "8. Tecnológicos")))</f>
        <v/>
      </c>
      <c r="D74" s="38">
        <f>IFERROR(VLOOKUP(A74, 'ANEXO A'!$A$2:$L$94, 11, FALSE), "")</f>
        <v/>
      </c>
      <c r="E74" s="38">
        <f>IFERROR(VLOOKUP(A74, 'ANEXO A'!$A$2:$L$94, 8, FALSE), "")</f>
        <v/>
      </c>
      <c r="F74" s="38">
        <f>IFERROR(VLOOKUP(A74, 'ANEXO A'!$A$2:$L$94, 9, FALSE), "")</f>
        <v/>
      </c>
      <c r="G74" s="38">
        <f>IFERROR(VLOOKUP(A74, 'ANEXO A'!$A$2:$L$94, 10, FALSE), "")</f>
        <v/>
      </c>
      <c r="H74" s="38">
        <f>IFERROR(VLOOKUP(A74, 'ANEXO A'!$A$2:$L$94, 12, FALSE), "")</f>
        <v/>
      </c>
      <c r="I74" s="38" t="inlineStr">
        <is>
          <t>Anexo 1 SEPS (Arquitectura): Implementación de clúster de servidores, alta disponibilidad de BD y enlaces de comunicación alternos (SEPS-2022-002).</t>
        </is>
      </c>
      <c r="J74" s="112">
        <f>"• Establecer lineamientos para " &amp; IFERROR(VLOOKUP(A74, 'ANEXO A'!$A$2:$L$94, 2, FALSE), "Este Control") &amp; CHAR(10) &amp; "• Definir roles para el control " &amp; A74 &amp; CHAR(10) &amp; "• Revisar efectividad de " &amp; IFERROR(VLOOKUP(A74, 'ANEXO A'!$A$2:$L$94, 2, FALSE), "Este Control")</f>
        <v/>
      </c>
      <c r="K74" s="112" t="inlineStr">
        <is>
          <t>Asegurar el cumplimiento, control y resguardo continuo de los procesos de Redundancia de las instalaciones de procesamiento de información a fin de mitigar riesgos y mantener la alineación a los principios de confidencialidad, integridad y disponibilidad aplicables a este dominio.</t>
        </is>
      </c>
      <c r="L74" s="112" t="inlineStr">
        <is>
          <t>La organización deberá implementar, registrar y monitorear operativamente todos los protocolos relacionados a Redundancia de las instalaciones de procesamiento de información, estableciendo políticas técnicas correspondientes.</t>
        </is>
      </c>
    </row>
    <row r="75" ht="56.25" customHeight="1" s="106">
      <c r="A75" s="38">
        <f>'ANEXO A'!A75</f>
        <v/>
      </c>
      <c r="B75" s="38">
        <f>IFERROR(VLOOKUP(A75, 'ANEXO A'!$A$2:$L$94, 2, FALSE), "")</f>
        <v/>
      </c>
      <c r="C75" s="38">
        <f>IF(LEFT(A75,1)="5", "5. Organizacionales", IF(LEFT(A75,1)="6", "6. Personas", IF(LEFT(A75,1)="7", "7. Físicos", "8. Tecnológicos")))</f>
        <v/>
      </c>
      <c r="D75" s="38">
        <f>IFERROR(VLOOKUP(A75, 'ANEXO A'!$A$2:$L$94, 11, FALSE), "")</f>
        <v/>
      </c>
      <c r="E75" s="38">
        <f>IFERROR(VLOOKUP(A75, 'ANEXO A'!$A$2:$L$94, 8, FALSE), "")</f>
        <v/>
      </c>
      <c r="F75" s="38">
        <f>IFERROR(VLOOKUP(A75, 'ANEXO A'!$A$2:$L$94, 9, FALSE), "")</f>
        <v/>
      </c>
      <c r="G75" s="38">
        <f>IFERROR(VLOOKUP(A75, 'ANEXO A'!$A$2:$L$94, 10, FALSE), "")</f>
        <v/>
      </c>
      <c r="H75" s="38">
        <f>IFERROR(VLOOKUP(A75, 'ANEXO A'!$A$2:$L$94, 12, FALSE), "")</f>
        <v/>
      </c>
      <c r="I75" s="38" t="inlineStr">
        <is>
          <t>6.14. Administración de la auditoría de la base de datos - Registro y monitoreo de eventos (GSO-GSI-MP-GSI)</t>
        </is>
      </c>
      <c r="J75" s="112">
        <f>"• Establecer lineamientos para " &amp; IFERROR(VLOOKUP(A75, 'ANEXO A'!$A$2:$L$94, 2, FALSE), "Este Control") &amp; CHAR(10) &amp; "• Definir roles para el control " &amp; A75 &amp; CHAR(10) &amp; "• Revisar efectividad de " &amp; IFERROR(VLOOKUP(A75, 'ANEXO A'!$A$2:$L$94, 2, FALSE), "Este Control")</f>
        <v/>
      </c>
      <c r="K75" s="112" t="inlineStr">
        <is>
          <t>Asegurar el cumplimiento, control y resguardo continuo de los procesos de Registro de eventos (Logging) a fin de mitigar riesgos y mantener la alineación a los principios de confidencialidad, integridad y disponibilidad aplicables a este dominio.</t>
        </is>
      </c>
      <c r="L75" s="112" t="inlineStr">
        <is>
          <t>La organización deberá implementar, registrar y monitorear operativamente todos los protocolos relacionados a Registro de eventos (Logging), estableciendo políticas técnicas correspondientes.</t>
        </is>
      </c>
    </row>
    <row r="76" ht="67.5" customHeight="1" s="106">
      <c r="A76" s="38">
        <f>'ANEXO A'!A76</f>
        <v/>
      </c>
      <c r="B76" s="38">
        <f>IFERROR(VLOOKUP(A76, 'ANEXO A'!$A$2:$L$94, 2, FALSE), "")</f>
        <v/>
      </c>
      <c r="C76" s="38">
        <f>IF(LEFT(A76,1)="5", "5. Organizacionales", IF(LEFT(A76,1)="6", "6. Personas", IF(LEFT(A76,1)="7", "7. Físicos", "8. Tecnológicos")))</f>
        <v/>
      </c>
      <c r="D76" s="38">
        <f>IFERROR(VLOOKUP(A76, 'ANEXO A'!$A$2:$L$94, 11, FALSE), "")</f>
        <v/>
      </c>
      <c r="E76" s="38">
        <f>IFERROR(VLOOKUP(A76, 'ANEXO A'!$A$2:$L$94, 8, FALSE), "")</f>
        <v/>
      </c>
      <c r="F76" s="38">
        <f>IFERROR(VLOOKUP(A76, 'ANEXO A'!$A$2:$L$94, 9, FALSE), "")</f>
        <v/>
      </c>
      <c r="G76" s="38">
        <f>IFERROR(VLOOKUP(A76, 'ANEXO A'!$A$2:$L$94, 10, FALSE), "")</f>
        <v/>
      </c>
      <c r="H76" s="38">
        <f>IFERROR(VLOOKUP(A76, 'ANEXO A'!$A$2:$L$94, 12, FALSE), "")</f>
        <v/>
      </c>
      <c r="I76" s="38" t="inlineStr">
        <is>
          <t>6.14 Auditoría BD / 6.16 Monitoreo: Supervisión continua mediante scripts, logs de base de datos y herramientas de red (GSO-GSI-MP-GSI).</t>
        </is>
      </c>
      <c r="J76" s="112">
        <f>"• Establecer lineamientos para " &amp; IFERROR(VLOOKUP(A76, 'ANEXO A'!$A$2:$L$94, 2, FALSE), "Este Control") &amp; CHAR(10) &amp; "• Definir roles para el control " &amp; A76 &amp; CHAR(10) &amp; "• Revisar efectividad de " &amp; IFERROR(VLOOKUP(A76, 'ANEXO A'!$A$2:$L$94, 2, FALSE), "Este Control")</f>
        <v/>
      </c>
      <c r="K76" s="112" t="inlineStr">
        <is>
          <t>Asegurar el cumplimiento, control y resguardo continuo de los procesos de Actividades de seguimiento (Monitoring) a fin de mitigar riesgos y mantener la alineación a los principios de confidencialidad, integridad y disponibilidad aplicables a este dominio.</t>
        </is>
      </c>
      <c r="L76" s="112" t="inlineStr">
        <is>
          <t>La organización deberá implementar, registrar y monitorear operativamente todos los protocolos relacionados a Actividades de seguimiento (Monitoring), estableciendo políticas técnicas correspondientes.</t>
        </is>
      </c>
    </row>
    <row r="77" ht="56.25" customHeight="1" s="106">
      <c r="A77" s="38">
        <f>'ANEXO A'!A77</f>
        <v/>
      </c>
      <c r="B77" s="38">
        <f>IFERROR(VLOOKUP(A77, 'ANEXO A'!$A$2:$L$94, 2, FALSE), "")</f>
        <v/>
      </c>
      <c r="C77" s="38">
        <f>IF(LEFT(A77,1)="5", "5. Organizacionales", IF(LEFT(A77,1)="6", "6. Personas", IF(LEFT(A77,1)="7", "7. Físicos", "8. Tecnológicos")))</f>
        <v/>
      </c>
      <c r="D77" s="38">
        <f>IFERROR(VLOOKUP(A77, 'ANEXO A'!$A$2:$L$94, 11, FALSE), "")</f>
        <v/>
      </c>
      <c r="E77" s="38">
        <f>IFERROR(VLOOKUP(A77, 'ANEXO A'!$A$2:$L$94, 8, FALSE), "")</f>
        <v/>
      </c>
      <c r="F77" s="38">
        <f>IFERROR(VLOOKUP(A77, 'ANEXO A'!$A$2:$L$94, 9, FALSE), "")</f>
        <v/>
      </c>
      <c r="G77" s="38">
        <f>IFERROR(VLOOKUP(A77, 'ANEXO A'!$A$2:$L$94, 10, FALSE), "")</f>
        <v/>
      </c>
      <c r="H77" s="38">
        <f>IFERROR(VLOOKUP(A77, 'ANEXO A'!$A$2:$L$94, 12, FALSE), "")</f>
        <v/>
      </c>
      <c r="I77" s="38" t="inlineStr">
        <is>
          <t>Anexo 1 SEPS (Logs y Detección): Sincronización automática de todos los servidores y estaciones a fuentes horarias oficiales (NTP) (SEPS-2022-002 / ISO 27002).</t>
        </is>
      </c>
      <c r="J77" s="112">
        <f>"• Establecer lineamientos para " &amp; IFERROR(VLOOKUP(A77, 'ANEXO A'!$A$2:$L$94, 2, FALSE), "Este Control") &amp; CHAR(10) &amp; "• Definir roles para el control " &amp; A77 &amp; CHAR(10) &amp; "• Revisar efectividad de " &amp; IFERROR(VLOOKUP(A77, 'ANEXO A'!$A$2:$L$94, 2, FALSE), "Este Control")</f>
        <v/>
      </c>
      <c r="K77" s="112" t="inlineStr">
        <is>
          <t>Asegurar el cumplimiento, control y resguardo continuo de los procesos de Sincronización de relojes a fin de mitigar riesgos y mantener la alineación a los principios de confidencialidad, integridad y disponibilidad aplicables a este dominio.</t>
        </is>
      </c>
      <c r="L77" s="112" t="inlineStr">
        <is>
          <t>La organización deberá implementar, registrar y monitorear operativamente todos los protocolos relacionados a Sincronización de relojes, estableciendo políticas técnicas correspondientes.</t>
        </is>
      </c>
    </row>
    <row r="78" ht="67.5" customHeight="1" s="106">
      <c r="A78" s="38">
        <f>'ANEXO A'!A78</f>
        <v/>
      </c>
      <c r="B78" s="38">
        <f>IFERROR(VLOOKUP(A78, 'ANEXO A'!$A$2:$L$94, 2, FALSE), "")</f>
        <v/>
      </c>
      <c r="C78" s="38">
        <f>IF(LEFT(A78,1)="5", "5. Organizacionales", IF(LEFT(A78,1)="6", "6. Personas", IF(LEFT(A78,1)="7", "7. Físicos", "8. Tecnológicos")))</f>
        <v/>
      </c>
      <c r="D78" s="38">
        <f>IFERROR(VLOOKUP(A78, 'ANEXO A'!$A$2:$L$94, 11, FALSE), "")</f>
        <v/>
      </c>
      <c r="E78" s="38">
        <f>IFERROR(VLOOKUP(A78, 'ANEXO A'!$A$2:$L$94, 8, FALSE), "")</f>
        <v/>
      </c>
      <c r="F78" s="38">
        <f>IFERROR(VLOOKUP(A78, 'ANEXO A'!$A$2:$L$94, 9, FALSE), "")</f>
        <v/>
      </c>
      <c r="G78" s="38">
        <f>IFERROR(VLOOKUP(A78, 'ANEXO A'!$A$2:$L$94, 10, FALSE), "")</f>
        <v/>
      </c>
      <c r="H78" s="38">
        <f>IFERROR(VLOOKUP(A78, 'ANEXO A'!$A$2:$L$94, 12, FALSE), "")</f>
        <v/>
      </c>
      <c r="I78" s="38" t="inlineStr">
        <is>
          <t>6.11 Cuentas Críticas / 6.14 BD: Restricción estricta de ejecución de scripts DDL/DML directos y herramientas de bajo nivel (GSO-GSI-MP-GSI).</t>
        </is>
      </c>
      <c r="J78" s="112">
        <f>"• Establecer lineamientos para " &amp; IFERROR(VLOOKUP(A78, 'ANEXO A'!$A$2:$L$94, 2, FALSE), "Este Control") &amp; CHAR(10) &amp; "• Definir roles para el control " &amp; A78 &amp; CHAR(10) &amp; "• Revisar efectividad de " &amp; IFERROR(VLOOKUP(A78, 'ANEXO A'!$A$2:$L$94, 2, FALSE), "Este Control")</f>
        <v/>
      </c>
      <c r="K78" s="112" t="inlineStr">
        <is>
          <t>Asegurar el cumplimiento, control y resguardo continuo de los procesos de Uso de programas de utilidad privilegiados a fin de mitigar riesgos y mantener la alineación a los principios de confidencialidad, integridad y disponibilidad aplicables a este dominio.</t>
        </is>
      </c>
      <c r="L78" s="112" t="inlineStr">
        <is>
          <t>La organización deberá implementar, registrar y monitorear operativamente todos los protocolos relacionados a Uso de programas de utilidad privilegiados, estableciendo políticas técnicas correspondientes.</t>
        </is>
      </c>
    </row>
    <row r="79" ht="67.5" customHeight="1" s="106">
      <c r="A79" s="38">
        <f>'ANEXO A'!A79</f>
        <v/>
      </c>
      <c r="B79" s="38">
        <f>IFERROR(VLOOKUP(A79, 'ANEXO A'!$A$2:$L$94, 2, FALSE), "")</f>
        <v/>
      </c>
      <c r="C79" s="38">
        <f>IF(LEFT(A79,1)="5", "5. Organizacionales", IF(LEFT(A79,1)="6", "6. Personas", IF(LEFT(A79,1)="7", "7. Físicos", "8. Tecnológicos")))</f>
        <v/>
      </c>
      <c r="D79" s="38">
        <f>IFERROR(VLOOKUP(A79, 'ANEXO A'!$A$2:$L$94, 11, FALSE), "")</f>
        <v/>
      </c>
      <c r="E79" s="38">
        <f>IFERROR(VLOOKUP(A79, 'ANEXO A'!$A$2:$L$94, 8, FALSE), "")</f>
        <v/>
      </c>
      <c r="F79" s="38">
        <f>IFERROR(VLOOKUP(A79, 'ANEXO A'!$A$2:$L$94, 9, FALSE), "")</f>
        <v/>
      </c>
      <c r="G79" s="38">
        <f>IFERROR(VLOOKUP(A79, 'ANEXO A'!$A$2:$L$94, 10, FALSE), "")</f>
        <v/>
      </c>
      <c r="H79" s="38">
        <f>IFERROR(VLOOKUP(A79, 'ANEXO A'!$A$2:$L$94, 12, FALSE), "")</f>
        <v/>
      </c>
      <c r="I79" s="38" t="inlineStr">
        <is>
          <t>6.1 Políticas (Item 4) / GPO: Bloqueo de permisos de instalación a usuarios finales; software desplegado centralmente por TI (GSO-GSI-MP-GSI).</t>
        </is>
      </c>
      <c r="J79" s="112">
        <f>"• Establecer lineamientos para " &amp; IFERROR(VLOOKUP(A79, 'ANEXO A'!$A$2:$L$94, 2, FALSE), "Este Control") &amp; CHAR(10) &amp; "• Definir roles para el control " &amp; A79 &amp; CHAR(10) &amp; "• Revisar efectividad de " &amp; IFERROR(VLOOKUP(A79, 'ANEXO A'!$A$2:$L$94, 2, FALSE), "Este Control")</f>
        <v/>
      </c>
      <c r="K79" s="112" t="inlineStr">
        <is>
          <t>Asegurar el cumplimiento, control y resguardo continuo de los procesos de Instalación de software en sistemas operativos a fin de mitigar riesgos y mantener la alineación a los principios de confidencialidad, integridad y disponibilidad aplicables a este dominio.</t>
        </is>
      </c>
      <c r="L79" s="112" t="inlineStr">
        <is>
          <t>La organización deberá implementar, registrar y monitorear operativamente todos los protocolos relacionados a Instalación de software en sistemas operativos, estableciendo políticas técnicas correspondientes.</t>
        </is>
      </c>
    </row>
    <row r="80" ht="56.25" customHeight="1" s="106">
      <c r="A80" s="38">
        <f>'ANEXO A'!A80</f>
        <v/>
      </c>
      <c r="B80" s="38">
        <f>IFERROR(VLOOKUP(A80, 'ANEXO A'!$A$2:$L$94, 2, FALSE), "")</f>
        <v/>
      </c>
      <c r="C80" s="38">
        <f>IF(LEFT(A80,1)="5", "5. Organizacionales", IF(LEFT(A80,1)="6", "6. Personas", IF(LEFT(A80,1)="7", "7. Físicos", "8. Tecnológicos")))</f>
        <v/>
      </c>
      <c r="D80" s="38">
        <f>IFERROR(VLOOKUP(A80, 'ANEXO A'!$A$2:$L$94, 11, FALSE), "")</f>
        <v/>
      </c>
      <c r="E80" s="38">
        <f>IFERROR(VLOOKUP(A80, 'ANEXO A'!$A$2:$L$94, 8, FALSE), "")</f>
        <v/>
      </c>
      <c r="F80" s="38">
        <f>IFERROR(VLOOKUP(A80, 'ANEXO A'!$A$2:$L$94, 9, FALSE), "")</f>
        <v/>
      </c>
      <c r="G80" s="38">
        <f>IFERROR(VLOOKUP(A80, 'ANEXO A'!$A$2:$L$94, 10, FALSE), "")</f>
        <v/>
      </c>
      <c r="H80" s="38">
        <f>IFERROR(VLOOKUP(A80, 'ANEXO A'!$A$2:$L$94, 12, FALSE), "")</f>
        <v/>
      </c>
      <c r="I80" s="38" t="inlineStr">
        <is>
          <t>6.11 Firewalls / Enrutadores: Administración de firewalls de borde, políticas de enrutamiento y reglas de filtrado perimetral (GSO-GSI-MP-GSI).</t>
        </is>
      </c>
      <c r="J80" s="112">
        <f>"• Establecer lineamientos para " &amp; IFERROR(VLOOKUP(A80, 'ANEXO A'!$A$2:$L$94, 2, FALSE), "Este Control") &amp; CHAR(10) &amp; "• Definir roles para el control " &amp; A80 &amp; CHAR(10) &amp; "• Revisar efectividad de " &amp; IFERROR(VLOOKUP(A80, 'ANEXO A'!$A$2:$L$94, 2, FALSE), "Este Control")</f>
        <v/>
      </c>
      <c r="K80" s="112" t="inlineStr">
        <is>
          <t>Asegurar el cumplimiento, control y resguardo continuo de los procesos de Seguridad de las redes a fin de mitigar riesgos y mantener la alineación a los principios de confidencialidad, integridad y disponibilidad aplicables a este dominio.</t>
        </is>
      </c>
      <c r="L80" s="112" t="inlineStr">
        <is>
          <t>La organización deberá implementar, registrar y monitorear operativamente todos los protocolos relacionados a Seguridad de las redes, estableciendo políticas técnicas correspondientes.</t>
        </is>
      </c>
    </row>
    <row r="81" ht="56.25" customHeight="1" s="106">
      <c r="A81" s="38">
        <f>'ANEXO A'!A81</f>
        <v/>
      </c>
      <c r="B81" s="38">
        <f>IFERROR(VLOOKUP(A81, 'ANEXO A'!$A$2:$L$94, 2, FALSE), "")</f>
        <v/>
      </c>
      <c r="C81" s="38">
        <f>IF(LEFT(A81,1)="5", "5. Organizacionales", IF(LEFT(A81,1)="6", "6. Personas", IF(LEFT(A81,1)="7", "7. Físicos", "8. Tecnológicos")))</f>
        <v/>
      </c>
      <c r="D81" s="38">
        <f>IFERROR(VLOOKUP(A81, 'ANEXO A'!$A$2:$L$94, 11, FALSE), "")</f>
        <v/>
      </c>
      <c r="E81" s="38">
        <f>IFERROR(VLOOKUP(A81, 'ANEXO A'!$A$2:$L$94, 8, FALSE), "")</f>
        <v/>
      </c>
      <c r="F81" s="38">
        <f>IFERROR(VLOOKUP(A81, 'ANEXO A'!$A$2:$L$94, 9, FALSE), "")</f>
        <v/>
      </c>
      <c r="G81" s="38">
        <f>IFERROR(VLOOKUP(A81, 'ANEXO A'!$A$2:$L$94, 10, FALSE), "")</f>
        <v/>
      </c>
      <c r="H81" s="38">
        <f>IFERROR(VLOOKUP(A81, 'ANEXO A'!$A$2:$L$94, 12, FALSE), "")</f>
        <v/>
      </c>
      <c r="I81" s="38" t="inlineStr">
        <is>
          <t>6.11 FiltraWeb / AntiSpam: Gestión de seguridad y niveles de servicio en DNS, navegación y correo electrónico (GSO-GSI-MP-GSI).</t>
        </is>
      </c>
      <c r="J81" s="112">
        <f>"• Establecer lineamientos para " &amp; IFERROR(VLOOKUP(A81, 'ANEXO A'!$A$2:$L$94, 2, FALSE), "Este Control") &amp; CHAR(10) &amp; "• Definir roles para el control " &amp; A81 &amp; CHAR(10) &amp; "• Revisar efectividad de " &amp; IFERROR(VLOOKUP(A81, 'ANEXO A'!$A$2:$L$94, 2, FALSE), "Este Control")</f>
        <v/>
      </c>
      <c r="K81" s="112" t="inlineStr">
        <is>
          <t>Asegurar el cumplimiento, control y resguardo continuo de los procesos de Seguridad de los servicios de red a fin de mitigar riesgos y mantener la alineación a los principios de confidencialidad, integridad y disponibilidad aplicables a este dominio.</t>
        </is>
      </c>
      <c r="L81" s="112" t="inlineStr">
        <is>
          <t>La organización deberá implementar, registrar y monitorear operativamente todos los protocolos relacionados a Seguridad de los servicios de red, estableciendo políticas técnicas correspondientes.</t>
        </is>
      </c>
    </row>
    <row r="82" ht="56.25" customHeight="1" s="106">
      <c r="A82" s="38">
        <f>'ANEXO A'!A82</f>
        <v/>
      </c>
      <c r="B82" s="38">
        <f>IFERROR(VLOOKUP(A82, 'ANEXO A'!$A$2:$L$94, 2, FALSE), "")</f>
        <v/>
      </c>
      <c r="C82" s="38">
        <f>IF(LEFT(A82,1)="5", "5. Organizacionales", IF(LEFT(A82,1)="6", "6. Personas", IF(LEFT(A82,1)="7", "7. Físicos", "8. Tecnológicos")))</f>
        <v/>
      </c>
      <c r="D82" s="38">
        <f>IFERROR(VLOOKUP(A82, 'ANEXO A'!$A$2:$L$94, 11, FALSE), "")</f>
        <v/>
      </c>
      <c r="E82" s="38">
        <f>IFERROR(VLOOKUP(A82, 'ANEXO A'!$A$2:$L$94, 8, FALSE), "")</f>
        <v/>
      </c>
      <c r="F82" s="38">
        <f>IFERROR(VLOOKUP(A82, 'ANEXO A'!$A$2:$L$94, 9, FALSE), "")</f>
        <v/>
      </c>
      <c r="G82" s="38">
        <f>IFERROR(VLOOKUP(A82, 'ANEXO A'!$A$2:$L$94, 10, FALSE), "")</f>
        <v/>
      </c>
      <c r="H82" s="38">
        <f>IFERROR(VLOOKUP(A82, 'ANEXO A'!$A$2:$L$94, 12, FALSE), "")</f>
        <v/>
      </c>
      <c r="I82" s="38" t="inlineStr">
        <is>
          <t>6.17 Ambiente PCI / 6.18 Wireless: Aislamiento de VLANs operativas, red de ambiente de tarjetas (PCI) y red Wi-Fi de clientes (GSO-GSI-MP-GSI).</t>
        </is>
      </c>
      <c r="J82" s="112">
        <f>"• Establecer lineamientos para " &amp; IFERROR(VLOOKUP(A82, 'ANEXO A'!$A$2:$L$94, 2, FALSE), "Este Control") &amp; CHAR(10) &amp; "• Definir roles para el control " &amp; A82 &amp; CHAR(10) &amp; "• Revisar efectividad de " &amp; IFERROR(VLOOKUP(A82, 'ANEXO A'!$A$2:$L$94, 2, FALSE), "Este Control")</f>
        <v/>
      </c>
      <c r="K82" s="112" t="inlineStr">
        <is>
          <t>Asegurar el cumplimiento, control y resguardo continuo de los procesos de Segregación de redes a fin de mitigar riesgos y mantener la alineación a los principios de confidencialidad, integridad y disponibilidad aplicables a este dominio.</t>
        </is>
      </c>
      <c r="L82" s="112" t="inlineStr">
        <is>
          <t>La organización deberá implementar, registrar y monitorear operativamente todos los protocolos relacionados a Segregación de redes, estableciendo políticas técnicas correspondientes.</t>
        </is>
      </c>
    </row>
    <row r="83" ht="56.25" customHeight="1" s="106">
      <c r="A83" s="38">
        <f>'ANEXO A'!A83</f>
        <v/>
      </c>
      <c r="B83" s="38">
        <f>IFERROR(VLOOKUP(A83, 'ANEXO A'!$A$2:$L$94, 2, FALSE), "")</f>
        <v/>
      </c>
      <c r="C83" s="38">
        <f>IF(LEFT(A83,1)="5", "5. Organizacionales", IF(LEFT(A83,1)="6", "6. Personas", IF(LEFT(A83,1)="7", "7. Físicos", "8. Tecnológicos")))</f>
        <v/>
      </c>
      <c r="D83" s="38">
        <f>IFERROR(VLOOKUP(A83, 'ANEXO A'!$A$2:$L$94, 11, FALSE), "")</f>
        <v/>
      </c>
      <c r="E83" s="38">
        <f>IFERROR(VLOOKUP(A83, 'ANEXO A'!$A$2:$L$94, 8, FALSE), "")</f>
        <v/>
      </c>
      <c r="F83" s="38">
        <f>IFERROR(VLOOKUP(A83, 'ANEXO A'!$A$2:$L$94, 9, FALSE), "")</f>
        <v/>
      </c>
      <c r="G83" s="38">
        <f>IFERROR(VLOOKUP(A83, 'ANEXO A'!$A$2:$L$94, 10, FALSE), "")</f>
        <v/>
      </c>
      <c r="H83" s="38">
        <f>IFERROR(VLOOKUP(A83, 'ANEXO A'!$A$2:$L$94, 12, FALSE), "")</f>
        <v/>
      </c>
      <c r="I83" s="38" t="inlineStr">
        <is>
          <t>6.11 Cuentas Críticas (FiltraWeb): Bloqueo de sitios web maliciosos, redes no laborales y categorías de riesgo (GSO-GSI-MP-GSI).</t>
        </is>
      </c>
      <c r="J83" s="112">
        <f>"• Establecer lineamientos para " &amp; IFERROR(VLOOKUP(A83, 'ANEXO A'!$A$2:$L$94, 2, FALSE), "Este Control") &amp; CHAR(10) &amp; "• Definir roles para el control " &amp; A83 &amp; CHAR(10) &amp; "• Revisar efectividad de " &amp; IFERROR(VLOOKUP(A83, 'ANEXO A'!$A$2:$L$94, 2, FALSE), "Este Control")</f>
        <v/>
      </c>
      <c r="K83" s="112" t="inlineStr">
        <is>
          <t>Asegurar el cumplimiento, control y resguardo continuo de los procesos de Filtrado web a fin de mitigar riesgos y mantener la alineación a los principios de confidencialidad, integridad y disponibilidad aplicables a este dominio.</t>
        </is>
      </c>
      <c r="L83" s="112" t="inlineStr">
        <is>
          <t>La organización deberá implementar, registrar y monitorear operativamente todos los protocolos relacionados a Filtrado web, estableciendo políticas técnicas correspondientes.</t>
        </is>
      </c>
    </row>
    <row r="84" ht="56.25" customHeight="1" s="106">
      <c r="A84" s="38">
        <f>'ANEXO A'!A84</f>
        <v/>
      </c>
      <c r="B84" s="38">
        <f>IFERROR(VLOOKUP(A84, 'ANEXO A'!$A$2:$L$94, 2, FALSE), "")</f>
        <v/>
      </c>
      <c r="C84" s="38">
        <f>IF(LEFT(A84,1)="5", "5. Organizacionales", IF(LEFT(A84,1)="6", "6. Personas", IF(LEFT(A84,1)="7", "7. Físicos", "8. Tecnológicos")))</f>
        <v/>
      </c>
      <c r="D84" s="38">
        <f>IFERROR(VLOOKUP(A84, 'ANEXO A'!$A$2:$L$94, 11, FALSE), "")</f>
        <v/>
      </c>
      <c r="E84" s="38">
        <f>IFERROR(VLOOKUP(A84, 'ANEXO A'!$A$2:$L$94, 8, FALSE), "")</f>
        <v/>
      </c>
      <c r="F84" s="38">
        <f>IFERROR(VLOOKUP(A84, 'ANEXO A'!$A$2:$L$94, 9, FALSE), "")</f>
        <v/>
      </c>
      <c r="G84" s="38">
        <f>IFERROR(VLOOKUP(A84, 'ANEXO A'!$A$2:$L$94, 10, FALSE), "")</f>
        <v/>
      </c>
      <c r="H84" s="38">
        <f>IFERROR(VLOOKUP(A84, 'ANEXO A'!$A$2:$L$94, 12, FALSE), "")</f>
        <v/>
      </c>
      <c r="I84" s="38" t="inlineStr">
        <is>
          <t>6.12. Creación, ingreso y custodia de llaves criptográficas - Cifrado (GSO-GSI-MP-GSI)</t>
        </is>
      </c>
      <c r="J84" s="112">
        <f>"• Establecer lineamientos para " &amp; IFERROR(VLOOKUP(A84, 'ANEXO A'!$A$2:$L$94, 2, FALSE), "Este Control") &amp; CHAR(10) &amp; "• Definir roles para el control " &amp; A84 &amp; CHAR(10) &amp; "• Revisar efectividad de " &amp; IFERROR(VLOOKUP(A84, 'ANEXO A'!$A$2:$L$94, 2, FALSE), "Este Control")</f>
        <v/>
      </c>
      <c r="K84" s="112" t="inlineStr">
        <is>
          <t>Asegurar el cumplimiento, control y resguardo continuo de los procesos de Uso de criptografía a fin de mitigar riesgos y mantener la alineación a los principios de confidencialidad, integridad y disponibilidad aplicables a este dominio.</t>
        </is>
      </c>
      <c r="L84" s="112" t="inlineStr">
        <is>
          <t>La organización deberá implementar, registrar y monitorear operativamente todos los protocolos relacionados a Uso de criptografía, estableciendo políticas técnicas correspondientes.</t>
        </is>
      </c>
    </row>
    <row r="85" ht="56.25" customHeight="1" s="106">
      <c r="A85" s="38">
        <f>'ANEXO A'!A85</f>
        <v/>
      </c>
      <c r="B85" s="38">
        <f>IFERROR(VLOOKUP(A85, 'ANEXO A'!$A$2:$L$94, 2, FALSE), "")</f>
        <v/>
      </c>
      <c r="C85" s="38">
        <f>IF(LEFT(A85,1)="5", "5. Organizacionales", IF(LEFT(A85,1)="6", "6. Personas", IF(LEFT(A85,1)="7", "7. Físicos", "8. Tecnológicos")))</f>
        <v/>
      </c>
      <c r="D85" s="38">
        <f>IFERROR(VLOOKUP(A85, 'ANEXO A'!$A$2:$L$94, 11, FALSE), "")</f>
        <v/>
      </c>
      <c r="E85" s="38">
        <f>IFERROR(VLOOKUP(A85, 'ANEXO A'!$A$2:$L$94, 8, FALSE), "")</f>
        <v/>
      </c>
      <c r="F85" s="38">
        <f>IFERROR(VLOOKUP(A85, 'ANEXO A'!$A$2:$L$94, 9, FALSE), "")</f>
        <v/>
      </c>
      <c r="G85" s="38">
        <f>IFERROR(VLOOKUP(A85, 'ANEXO A'!$A$2:$L$94, 10, FALSE), "")</f>
        <v/>
      </c>
      <c r="H85" s="38">
        <f>IFERROR(VLOOKUP(A85, 'ANEXO A'!$A$2:$L$94, 12, FALSE), "")</f>
        <v/>
      </c>
      <c r="I85" s="38" t="inlineStr">
        <is>
          <t>6.11 Cuentas Críticas (FiltraWeb): Bloqueo de sitios web maliciosos, redes no laborales y categorías de riesgo (GSO-GSI-MP-GSI).</t>
        </is>
      </c>
      <c r="J85" s="112">
        <f>"• Establecer lineamientos para " &amp; IFERROR(VLOOKUP(A85, 'ANEXO A'!$A$2:$L$94, 2, FALSE), "Este Control") &amp; CHAR(10) &amp; "• Definir roles para el control " &amp; A85 &amp; CHAR(10) &amp; "• Revisar efectividad de " &amp; IFERROR(VLOOKUP(A85, 'ANEXO A'!$A$2:$L$94, 2, FALSE), "Este Control")</f>
        <v/>
      </c>
      <c r="K85" s="112" t="inlineStr">
        <is>
          <t>Asegurar el cumplimiento, control y resguardo continuo de los procesos de Ciclo de vida del desarrollo seguro a fin de mitigar riesgos y mantener la alineación a los principios de confidencialidad, integridad y disponibilidad aplicables a este dominio.</t>
        </is>
      </c>
      <c r="L85" s="112" t="inlineStr">
        <is>
          <t>La organización deberá implementar, registrar y monitorear operativamente todos los protocolos relacionados a Ciclo de vida del desarrollo seguro, estableciendo políticas técnicas correspondientes.</t>
        </is>
      </c>
    </row>
    <row r="86" ht="67.5" customHeight="1" s="106">
      <c r="A86" s="38">
        <f>'ANEXO A'!A86</f>
        <v/>
      </c>
      <c r="B86" s="38">
        <f>IFERROR(VLOOKUP(A86, 'ANEXO A'!$A$2:$L$94, 2, FALSE), "")</f>
        <v/>
      </c>
      <c r="C86" s="38">
        <f>IF(LEFT(A86,1)="5", "5. Organizacionales", IF(LEFT(A86,1)="6", "6. Personas", IF(LEFT(A86,1)="7", "7. Físicos", "8. Tecnológicos")))</f>
        <v/>
      </c>
      <c r="D86" s="38">
        <f>IFERROR(VLOOKUP(A86, 'ANEXO A'!$A$2:$L$94, 11, FALSE), "")</f>
        <v/>
      </c>
      <c r="E86" s="38">
        <f>IFERROR(VLOOKUP(A86, 'ANEXO A'!$A$2:$L$94, 8, FALSE), "")</f>
        <v/>
      </c>
      <c r="F86" s="38">
        <f>IFERROR(VLOOKUP(A86, 'ANEXO A'!$A$2:$L$94, 9, FALSE), "")</f>
        <v/>
      </c>
      <c r="G86" s="38">
        <f>IFERROR(VLOOKUP(A86, 'ANEXO A'!$A$2:$L$94, 10, FALSE), "")</f>
        <v/>
      </c>
      <c r="H86" s="38">
        <f>IFERROR(VLOOKUP(A86, 'ANEXO A'!$A$2:$L$94, 12, FALSE), "")</f>
        <v/>
      </c>
      <c r="I86" s="38" t="inlineStr">
        <is>
          <t>Anexo 1 SEPS 002 (Gestión de software): Definición de requisitos de autenticación, transaccionalidad y cifrado en nuevas soluciones (SEPS-2022-002).</t>
        </is>
      </c>
      <c r="J86" s="112">
        <f>"• Establecer lineamientos para " &amp; IFERROR(VLOOKUP(A86, 'ANEXO A'!$A$2:$L$94, 2, FALSE), "Este Control") &amp; CHAR(10) &amp; "• Definir roles para el control " &amp; A86 &amp; CHAR(10) &amp; "• Revisar efectividad de " &amp; IFERROR(VLOOKUP(A86, 'ANEXO A'!$A$2:$L$94, 2, FALSE), "Este Control")</f>
        <v/>
      </c>
      <c r="K86" s="112" t="inlineStr">
        <is>
          <t>Asegurar el cumplimiento, control y resguardo continuo de los procesos de Requisitos de seguridad de las aplicaciones a fin de mitigar riesgos y mantener la alineación a los principios de confidencialidad, integridad y disponibilidad aplicables a este dominio.</t>
        </is>
      </c>
      <c r="L86" s="112" t="inlineStr">
        <is>
          <t>La organización deberá implementar, registrar y monitorear operativamente todos los protocolos relacionados a Requisitos de seguridad de las aplicaciones, estableciendo políticas técnicas correspondientes.</t>
        </is>
      </c>
    </row>
    <row r="87" ht="78.75" customHeight="1" s="106">
      <c r="A87" s="38">
        <f>'ANEXO A'!A87</f>
        <v/>
      </c>
      <c r="B87" s="38">
        <f>IFERROR(VLOOKUP(A87, 'ANEXO A'!$A$2:$L$94, 2, FALSE), "")</f>
        <v/>
      </c>
      <c r="C87" s="38">
        <f>IF(LEFT(A87,1)="5", "5. Organizacionales", IF(LEFT(A87,1)="6", "6. Personas", IF(LEFT(A87,1)="7", "7. Físicos", "8. Tecnológicos")))</f>
        <v/>
      </c>
      <c r="D87" s="38">
        <f>IFERROR(VLOOKUP(A87, 'ANEXO A'!$A$2:$L$94, 11, FALSE), "")</f>
        <v/>
      </c>
      <c r="E87" s="38">
        <f>IFERROR(VLOOKUP(A87, 'ANEXO A'!$A$2:$L$94, 8, FALSE), "")</f>
        <v/>
      </c>
      <c r="F87" s="38">
        <f>IFERROR(VLOOKUP(A87, 'ANEXO A'!$A$2:$L$94, 9, FALSE), "")</f>
        <v/>
      </c>
      <c r="G87" s="38">
        <f>IFERROR(VLOOKUP(A87, 'ANEXO A'!$A$2:$L$94, 10, FALSE), "")</f>
        <v/>
      </c>
      <c r="H87" s="38">
        <f>IFERROR(VLOOKUP(A87, 'ANEXO A'!$A$2:$L$94, 12, FALSE), "")</f>
        <v/>
      </c>
      <c r="I87" s="38" t="inlineStr">
        <is>
          <t>Anexo 1 SEPS 002 (Arquitectura Segura): Aplicación de principios de defensa en profundidad, zonas desmilitarizadas y segmentación (SEPS-2022-002).</t>
        </is>
      </c>
      <c r="J87" s="112">
        <f>"• Establecer lineamientos para " &amp; IFERROR(VLOOKUP(A87, 'ANEXO A'!$A$2:$L$94, 2, FALSE), "Este Control") &amp; CHAR(10) &amp; "• Definir roles para el control " &amp; A87 &amp; CHAR(10) &amp; "• Revisar efectividad de " &amp; IFERROR(VLOOKUP(A87, 'ANEXO A'!$A$2:$L$94, 2, FALSE), "Este Control")</f>
        <v/>
      </c>
      <c r="K87" s="112" t="inlineStr">
        <is>
          <t>Asegurar el cumplimiento, control y resguardo continuo de los procesos de Arquitectura de sistemas seguros y principios de ingeniería a fin de mitigar riesgos y mantener la alineación a los principios de confidencialidad, integridad y disponibilidad aplicables a este dominio.</t>
        </is>
      </c>
      <c r="L87" s="112" t="inlineStr">
        <is>
          <t>La organización deberá implementar, registrar y monitorear operativamente todos los protocolos relacionados a Arquitectura de sistemas seguros y principios de ingeniería, estableciendo políticas técnicas correspondientes.</t>
        </is>
      </c>
    </row>
    <row r="88" ht="56.25" customHeight="1" s="106">
      <c r="A88" s="38">
        <f>'ANEXO A'!A88</f>
        <v/>
      </c>
      <c r="B88" s="38">
        <f>IFERROR(VLOOKUP(A88, 'ANEXO A'!$A$2:$L$94, 2, FALSE), "")</f>
        <v/>
      </c>
      <c r="C88" s="38">
        <f>IF(LEFT(A88,1)="5", "5. Organizacionales", IF(LEFT(A88,1)="6", "6. Personas", IF(LEFT(A88,1)="7", "7. Físicos", "8. Tecnológicos")))</f>
        <v/>
      </c>
      <c r="D88" s="38">
        <f>IFERROR(VLOOKUP(A88, 'ANEXO A'!$A$2:$L$94, 11, FALSE), "")</f>
        <v/>
      </c>
      <c r="E88" s="38">
        <f>IFERROR(VLOOKUP(A88, 'ANEXO A'!$A$2:$L$94, 8, FALSE), "")</f>
        <v/>
      </c>
      <c r="F88" s="38">
        <f>IFERROR(VLOOKUP(A88, 'ANEXO A'!$A$2:$L$94, 9, FALSE), "")</f>
        <v/>
      </c>
      <c r="G88" s="38">
        <f>IFERROR(VLOOKUP(A88, 'ANEXO A'!$A$2:$L$94, 10, FALSE), "")</f>
        <v/>
      </c>
      <c r="H88" s="38">
        <f>IFERROR(VLOOKUP(A88, 'ANEXO A'!$A$2:$L$94, 12, FALSE), "")</f>
        <v/>
      </c>
      <c r="I88" s="38" t="inlineStr">
        <is>
          <t>Anexo 1 SEPS / OWASP: Implementación de buenas prácticas de programación para evitar inyecciones, XSS y fallos lógicos (SEPS-2022-002 / ISO 27002).</t>
        </is>
      </c>
      <c r="J88" s="112">
        <f>"• Establecer lineamientos para " &amp; IFERROR(VLOOKUP(A88, 'ANEXO A'!$A$2:$L$94, 2, FALSE), "Este Control") &amp; CHAR(10) &amp; "• Definir roles para el control " &amp; A88 &amp; CHAR(10) &amp; "• Revisar efectividad de " &amp; IFERROR(VLOOKUP(A88, 'ANEXO A'!$A$2:$L$94, 2, FALSE), "Este Control")</f>
        <v/>
      </c>
      <c r="K88" s="112" t="inlineStr">
        <is>
          <t>Asegurar el cumplimiento, control y resguardo continuo de los procesos de Codificación segura a fin de mitigar riesgos y mantener la alineación a los principios de confidencialidad, integridad y disponibilidad aplicables a este dominio.</t>
        </is>
      </c>
      <c r="L88" s="112" t="inlineStr">
        <is>
          <t>La organización deberá implementar, registrar y monitorear operativamente todos los protocolos relacionados a Codificación segura, estableciendo políticas técnicas correspondientes.</t>
        </is>
      </c>
    </row>
    <row r="89" ht="78.75" customHeight="1" s="106">
      <c r="A89" s="38">
        <f>'ANEXO A'!A89</f>
        <v/>
      </c>
      <c r="B89" s="38">
        <f>IFERROR(VLOOKUP(A89, 'ANEXO A'!$A$2:$L$94, 2, FALSE), "")</f>
        <v/>
      </c>
      <c r="C89" s="38">
        <f>IF(LEFT(A89,1)="5", "5. Organizacionales", IF(LEFT(A89,1)="6", "6. Personas", IF(LEFT(A89,1)="7", "7. Físicos", "8. Tecnológicos")))</f>
        <v/>
      </c>
      <c r="D89" s="38">
        <f>IFERROR(VLOOKUP(A89, 'ANEXO A'!$A$2:$L$94, 11, FALSE), "")</f>
        <v/>
      </c>
      <c r="E89" s="38">
        <f>IFERROR(VLOOKUP(A89, 'ANEXO A'!$A$2:$L$94, 8, FALSE), "")</f>
        <v/>
      </c>
      <c r="F89" s="38">
        <f>IFERROR(VLOOKUP(A89, 'ANEXO A'!$A$2:$L$94, 9, FALSE), "")</f>
        <v/>
      </c>
      <c r="G89" s="38">
        <f>IFERROR(VLOOKUP(A89, 'ANEXO A'!$A$2:$L$94, 10, FALSE), "")</f>
        <v/>
      </c>
      <c r="H89" s="38">
        <f>IFERROR(VLOOKUP(A89, 'ANEXO A'!$A$2:$L$94, 12, FALSE), "")</f>
        <v/>
      </c>
      <c r="I89" s="38" t="inlineStr">
        <is>
          <t>6.19 Escaneo / Anexo 1 SEPS: Ejecución de pruebas de vulnerabilidad, análisis estático y pruebas de aceptación previas a pase a producción (GSO-GSI-MP-GSI / SEPS-2022-002).</t>
        </is>
      </c>
      <c r="J89" s="112">
        <f>"• Establecer lineamientos para " &amp; IFERROR(VLOOKUP(A89, 'ANEXO A'!$A$2:$L$94, 2, FALSE), "Este Control") &amp; CHAR(10) &amp; "• Definir roles para el control " &amp; A89 &amp; CHAR(10) &amp; "• Revisar efectividad de " &amp; IFERROR(VLOOKUP(A89, 'ANEXO A'!$A$2:$L$94, 2, FALSE), "Este Control")</f>
        <v/>
      </c>
      <c r="K89" s="112" t="inlineStr">
        <is>
          <t>Asegurar el cumplimiento, control y resguardo continuo de los procesos de Pruebas de seguridad en el desarrollo y la aceptación a fin de mitigar riesgos y mantener la alineación a los principios de confidencialidad, integridad y disponibilidad aplicables a este dominio.</t>
        </is>
      </c>
      <c r="L89" s="112" t="inlineStr">
        <is>
          <t>La organización deberá implementar, registrar y monitorear operativamente todos los protocolos relacionados a Pruebas de seguridad en el desarrollo y la aceptación, estableciendo políticas técnicas correspondientes.</t>
        </is>
      </c>
    </row>
    <row r="90" ht="56.25" customHeight="1" s="106">
      <c r="A90" s="38">
        <f>'ANEXO A'!A90</f>
        <v/>
      </c>
      <c r="B90" s="38">
        <f>IFERROR(VLOOKUP(A90, 'ANEXO A'!$A$2:$L$94, 2, FALSE), "")</f>
        <v/>
      </c>
      <c r="C90" s="38">
        <f>IF(LEFT(A90,1)="5", "5. Organizacionales", IF(LEFT(A90,1)="6", "6. Personas", IF(LEFT(A90,1)="7", "7. Físicos", "8. Tecnológicos")))</f>
        <v/>
      </c>
      <c r="D90" s="38">
        <f>IFERROR(VLOOKUP(A90, 'ANEXO A'!$A$2:$L$94, 11, FALSE), "")</f>
        <v/>
      </c>
      <c r="E90" s="38">
        <f>IFERROR(VLOOKUP(A90, 'ANEXO A'!$A$2:$L$94, 8, FALSE), "")</f>
        <v/>
      </c>
      <c r="F90" s="38">
        <f>IFERROR(VLOOKUP(A90, 'ANEXO A'!$A$2:$L$94, 9, FALSE), "")</f>
        <v/>
      </c>
      <c r="G90" s="38">
        <f>IFERROR(VLOOKUP(A90, 'ANEXO A'!$A$2:$L$94, 10, FALSE), "")</f>
        <v/>
      </c>
      <c r="H90" s="38">
        <f>IFERROR(VLOOKUP(A90, 'ANEXO A'!$A$2:$L$94, 12, FALSE), "")</f>
        <v/>
      </c>
      <c r="I90" s="38" t="inlineStr">
        <is>
          <t>Anexo 1 SEPS / Disposición 2da: Exigir entrega de código probado, escaneos de seguridad y cumplimiento normativo a fábricas de software (SEPS-2022-002).</t>
        </is>
      </c>
      <c r="J90" s="112">
        <f>"• Establecer lineamientos para " &amp; IFERROR(VLOOKUP(A90, 'ANEXO A'!$A$2:$L$94, 2, FALSE), "Este Control") &amp; CHAR(10) &amp; "• Definir roles para el control " &amp; A90 &amp; CHAR(10) &amp; "• Revisar efectividad de " &amp; IFERROR(VLOOKUP(A90, 'ANEXO A'!$A$2:$L$94, 2, FALSE), "Este Control")</f>
        <v/>
      </c>
      <c r="K90" s="112" t="inlineStr">
        <is>
          <t>Asegurar el cumplimiento, control y resguardo continuo de los procesos de Desarrollo externalizado a fin de mitigar riesgos y mantener la alineación a los principios de confidencialidad, integridad y disponibilidad aplicables a este dominio.</t>
        </is>
      </c>
      <c r="L90" s="112" t="inlineStr">
        <is>
          <t>La organización deberá implementar, registrar y monitorear operativamente todos los protocolos relacionados a Desarrollo externalizado, estableciendo políticas técnicas correspondientes.</t>
        </is>
      </c>
    </row>
    <row r="91" ht="78.75" customHeight="1" s="106">
      <c r="A91" s="38">
        <f>'ANEXO A'!A91</f>
        <v/>
      </c>
      <c r="B91" s="38">
        <f>IFERROR(VLOOKUP(A91, 'ANEXO A'!$A$2:$L$94, 2, FALSE), "")</f>
        <v/>
      </c>
      <c r="C91" s="38">
        <f>IF(LEFT(A91,1)="5", "5. Organizacionales", IF(LEFT(A91,1)="6", "6. Personas", IF(LEFT(A91,1)="7", "7. Físicos", "8. Tecnológicos")))</f>
        <v/>
      </c>
      <c r="D91" s="38">
        <f>IFERROR(VLOOKUP(A91, 'ANEXO A'!$A$2:$L$94, 11, FALSE), "")</f>
        <v/>
      </c>
      <c r="E91" s="38">
        <f>IFERROR(VLOOKUP(A91, 'ANEXO A'!$A$2:$L$94, 8, FALSE), "")</f>
        <v/>
      </c>
      <c r="F91" s="38">
        <f>IFERROR(VLOOKUP(A91, 'ANEXO A'!$A$2:$L$94, 9, FALSE), "")</f>
        <v/>
      </c>
      <c r="G91" s="38">
        <f>IFERROR(VLOOKUP(A91, 'ANEXO A'!$A$2:$L$94, 10, FALSE), "")</f>
        <v/>
      </c>
      <c r="H91" s="38">
        <f>IFERROR(VLOOKUP(A91, 'ANEXO A'!$A$2:$L$94, 12, FALSE), "")</f>
        <v/>
      </c>
      <c r="I91" s="38" t="inlineStr">
        <is>
          <t>Anexo 1 SEPS (Desarrollo y Pruebas): Aislamiento estricto de ambientes de desarrollo, pruebas y producción sin uso de datos reales (SEPS-2022-002).</t>
        </is>
      </c>
      <c r="J91" s="112">
        <f>"• Establecer lineamientos para " &amp; IFERROR(VLOOKUP(A91, 'ANEXO A'!$A$2:$L$94, 2, FALSE), "Este Control") &amp; CHAR(10) &amp; "• Definir roles para el control " &amp; A91 &amp; CHAR(10) &amp; "• Revisar efectividad de " &amp; IFERROR(VLOOKUP(A91, 'ANEXO A'!$A$2:$L$94, 2, FALSE), "Este Control")</f>
        <v/>
      </c>
      <c r="K91" s="112" t="inlineStr">
        <is>
          <t>Asegurar el cumplimiento, control y resguardo continuo de los procesos de Separación de entornos de desarrollo, pruebas y producción a fin de mitigar riesgos y mantener la alineación a los principios de confidencialidad, integridad y disponibilidad aplicables a este dominio.</t>
        </is>
      </c>
      <c r="L91" s="112" t="inlineStr">
        <is>
          <t>La organización deberá implementar, registrar y monitorear operativamente todos los protocolos relacionados a Separación de entornos de desarrollo, pruebas y producción, estableciendo políticas técnicas correspondientes.</t>
        </is>
      </c>
    </row>
    <row r="92" ht="56.25" customHeight="1" s="106">
      <c r="A92" s="38">
        <f>'ANEXO A'!A92</f>
        <v/>
      </c>
      <c r="B92" s="38">
        <f>IFERROR(VLOOKUP(A92, 'ANEXO A'!$A$2:$L$94, 2, FALSE), "")</f>
        <v/>
      </c>
      <c r="C92" s="38">
        <f>IF(LEFT(A92,1)="5", "5. Organizacionales", IF(LEFT(A92,1)="6", "6. Personas", IF(LEFT(A92,1)="7", "7. Físicos", "8. Tecnológicos")))</f>
        <v/>
      </c>
      <c r="D92" s="38">
        <f>IFERROR(VLOOKUP(A92, 'ANEXO A'!$A$2:$L$94, 11, FALSE), "")</f>
        <v/>
      </c>
      <c r="E92" s="38">
        <f>IFERROR(VLOOKUP(A92, 'ANEXO A'!$A$2:$L$94, 8, FALSE), "")</f>
        <v/>
      </c>
      <c r="F92" s="38">
        <f>IFERROR(VLOOKUP(A92, 'ANEXO A'!$A$2:$L$94, 9, FALSE), "")</f>
        <v/>
      </c>
      <c r="G92" s="38">
        <f>IFERROR(VLOOKUP(A92, 'ANEXO A'!$A$2:$L$94, 10, FALSE), "")</f>
        <v/>
      </c>
      <c r="H92" s="38">
        <f>IFERROR(VLOOKUP(A92, 'ANEXO A'!$A$2:$L$94, 12, FALSE), "")</f>
        <v/>
      </c>
      <c r="I92" s="38" t="inlineStr">
        <is>
          <t>Anexo 1 SEPS (Gestión de Cambios): Procedimiento formal de solicitud, evaluación de impacto de seguridad, aprobación y rollback de cambios (SEPS-2022-002).</t>
        </is>
      </c>
      <c r="J92" s="112">
        <f>"• Establecer lineamientos para " &amp; IFERROR(VLOOKUP(A92, 'ANEXO A'!$A$2:$L$94, 2, FALSE), "Este Control") &amp; CHAR(10) &amp; "• Definir roles para el control " &amp; A92 &amp; CHAR(10) &amp; "• Revisar efectividad de " &amp; IFERROR(VLOOKUP(A92, 'ANEXO A'!$A$2:$L$94, 2, FALSE), "Este Control")</f>
        <v/>
      </c>
      <c r="K92" s="112" t="inlineStr">
        <is>
          <t>Asegurar el cumplimiento, control y resguardo continuo de los procesos de Gestión de cambios a fin de mitigar riesgos y mantener la alineación a los principios de confidencialidad, integridad y disponibilidad aplicables a este dominio.</t>
        </is>
      </c>
      <c r="L92" s="112" t="inlineStr">
        <is>
          <t>La organización deberá implementar, registrar y monitorear operativamente todos los protocolos relacionados a Gestión de cambios, estableciendo políticas técnicas correspondientes.</t>
        </is>
      </c>
    </row>
    <row r="93" ht="56.25" customHeight="1" s="106">
      <c r="A93" s="38">
        <f>'ANEXO A'!A93</f>
        <v/>
      </c>
      <c r="B93" s="38">
        <f>IFERROR(VLOOKUP(A93, 'ANEXO A'!$A$2:$L$94, 2, FALSE), "")</f>
        <v/>
      </c>
      <c r="C93" s="38">
        <f>IF(LEFT(A93,1)="5", "5. Organizacionales", IF(LEFT(A93,1)="6", "6. Personas", IF(LEFT(A93,1)="7", "7. Físicos", "8. Tecnológicos")))</f>
        <v/>
      </c>
      <c r="D93" s="38">
        <f>IFERROR(VLOOKUP(A93, 'ANEXO A'!$A$2:$L$94, 11, FALSE), "")</f>
        <v/>
      </c>
      <c r="E93" s="38">
        <f>IFERROR(VLOOKUP(A93, 'ANEXO A'!$A$2:$L$94, 8, FALSE), "")</f>
        <v/>
      </c>
      <c r="F93" s="38">
        <f>IFERROR(VLOOKUP(A93, 'ANEXO A'!$A$2:$L$94, 9, FALSE), "")</f>
        <v/>
      </c>
      <c r="G93" s="38">
        <f>IFERROR(VLOOKUP(A93, 'ANEXO A'!$A$2:$L$94, 10, FALSE), "")</f>
        <v/>
      </c>
      <c r="H93" s="38">
        <f>IFERROR(VLOOKUP(A93, 'ANEXO A'!$A$2:$L$94, 12, FALSE), "")</f>
        <v/>
      </c>
      <c r="I93" s="38" t="inlineStr">
        <is>
          <t>6.17 PCI DSS / Anexo 1 SEPS: Uso de datos ficticios, anonimizados u ofuscados para las pruebas de aplicaciones (GSO-GSI-MP-GSI / SEPS-2022-002).</t>
        </is>
      </c>
      <c r="J93" s="112">
        <f>"• Establecer lineamientos para " &amp; IFERROR(VLOOKUP(A93, 'ANEXO A'!$A$2:$L$94, 2, FALSE), "Este Control") &amp; CHAR(10) &amp; "• Definir roles para el control " &amp; A93 &amp; CHAR(10) &amp; "• Revisar efectividad de " &amp; IFERROR(VLOOKUP(A93, 'ANEXO A'!$A$2:$L$94, 2, FALSE), "Este Control")</f>
        <v/>
      </c>
      <c r="K93" s="112" t="inlineStr">
        <is>
          <t>Asegurar el cumplimiento, control y resguardo continuo de los procesos de Información de prueba a fin de mitigar riesgos y mantener la alineación a los principios de confidencialidad, integridad y disponibilidad aplicables a este dominio.</t>
        </is>
      </c>
      <c r="L93" s="112" t="inlineStr">
        <is>
          <t>La organización deberá implementar, registrar y monitorear operativamente todos los protocolos relacionados a Información de prueba, estableciendo políticas técnicas correspondientes.</t>
        </is>
      </c>
    </row>
    <row r="94" ht="90" customHeight="1" s="106">
      <c r="A94" s="38">
        <f>'ANEXO A'!A94</f>
        <v/>
      </c>
      <c r="B94" s="38">
        <f>IFERROR(VLOOKUP(A94, 'ANEXO A'!$A$2:$L$94, 2, FALSE), "")</f>
        <v/>
      </c>
      <c r="C94" s="38">
        <f>IF(LEFT(A94,1)="5", "5. Organizacionales", IF(LEFT(A94,1)="6", "6. Personas", IF(LEFT(A94,1)="7", "7. Físicos", "8. Tecnológicos")))</f>
        <v/>
      </c>
      <c r="D94" s="38">
        <f>IFERROR(VLOOKUP(A94, 'ANEXO A'!$A$2:$L$94, 11, FALSE), "")</f>
        <v/>
      </c>
      <c r="E94" s="38">
        <f>IFERROR(VLOOKUP(A94, 'ANEXO A'!$A$2:$L$94, 8, FALSE), "")</f>
        <v/>
      </c>
      <c r="F94" s="38">
        <f>IFERROR(VLOOKUP(A94, 'ANEXO A'!$A$2:$L$94, 9, FALSE), "")</f>
        <v/>
      </c>
      <c r="G94" s="38">
        <f>IFERROR(VLOOKUP(A94, 'ANEXO A'!$A$2:$L$94, 10, FALSE), "")</f>
        <v/>
      </c>
      <c r="H94" s="38">
        <f>IFERROR(VLOOKUP(A94, 'ANEXO A'!$A$2:$L$94, 12, FALSE), "")</f>
        <v/>
      </c>
      <c r="I94" s="38" t="inlineStr">
        <is>
          <t>6.19 Escaneo (Pol. 1): Realización de pruebas intrusivas y de auditoría en horarios no laborables y con autorización previa (GSO-GSI-MP-GSI).</t>
        </is>
      </c>
      <c r="J94" s="112">
        <f>"• Establecer lineamientos para " &amp; IFERROR(VLOOKUP(A94, 'ANEXO A'!$A$2:$L$94, 2, FALSE), "Este Control") &amp; CHAR(10) &amp; "• Definir roles para el control " &amp; A94 &amp; CHAR(10) &amp; "• Revisar efectividad de " &amp; IFERROR(VLOOKUP(A94, 'ANEXO A'!$A$2:$L$94, 2, FALSE), "Este Control")</f>
        <v/>
      </c>
      <c r="K94" s="112" t="inlineStr">
        <is>
          <t>Asegurar el cumplimiento, control y resguardo continuo de los procesos de Protección de los sistemas de información durante las pruebas de auditoría a fin de mitigar riesgos y mantener la alineación a los principios de confidencialidad, integridad y disponibilidad aplicables a este dominio.</t>
        </is>
      </c>
      <c r="L94" s="112" t="inlineStr">
        <is>
          <t>La organización deberá implementar, registrar y monitorear operativamente todos los protocolos relacionados a Protección de los sistemas de información durante las pruebas de auditoría, estableciendo políticas técnicas correspondientes.</t>
        </is>
      </c>
    </row>
  </sheetData>
  <autoFilter ref="A1:L94"/>
  <pageMargins left="0.75" right="0.75" top="1" bottom="1" header="0.5" footer="0.5"/>
</worksheet>
</file>

<file path=xl/worksheets/sheet14.xml><?xml version="1.0" encoding="utf-8"?>
<worksheet xmlns="http://schemas.openxmlformats.org/spreadsheetml/2006/main">
  <sheetPr>
    <outlinePr summaryBelow="1" summaryRight="1"/>
    <pageSetUpPr/>
  </sheetPr>
  <dimension ref="B2:F23"/>
  <sheetViews>
    <sheetView workbookViewId="0">
      <selection activeCell="E6" sqref="E6"/>
    </sheetView>
  </sheetViews>
  <sheetFormatPr baseColWidth="10" defaultColWidth="9.33203125" defaultRowHeight="11.25"/>
  <cols>
    <col width="23.83203125" customWidth="1" style="106" min="2" max="2"/>
    <col width="16.33203125" customWidth="1" style="106" min="3" max="3"/>
    <col width="26.33203125" customWidth="1" style="106" min="5" max="5"/>
  </cols>
  <sheetData>
    <row r="2" ht="18" customHeight="1" s="106">
      <c r="B2" s="96" t="inlineStr">
        <is>
          <t>RESUMEN EJECUTIVO DEL INVENTARIO DE ACTIVOS</t>
        </is>
      </c>
    </row>
    <row r="4" ht="45" customHeight="1" s="106">
      <c r="B4" s="95" t="inlineStr">
        <is>
          <t>Distribución por Criticidad</t>
        </is>
      </c>
      <c r="C4" s="95" t="inlineStr">
        <is>
          <t>Cantidad</t>
        </is>
      </c>
      <c r="E4" s="95" t="inlineStr">
        <is>
          <t>Distribución por Tipo de Activo</t>
        </is>
      </c>
      <c r="F4" s="95" t="inlineStr">
        <is>
          <t>Cantidad</t>
        </is>
      </c>
    </row>
    <row r="5" ht="22.5" customHeight="1" s="106">
      <c r="B5" s="38" t="inlineStr">
        <is>
          <t>ALTA</t>
        </is>
      </c>
      <c r="C5" s="38">
        <f>COUNTIF(INVENTARIO!$T$3:$T$2000, "*ALTA*")</f>
        <v/>
      </c>
      <c r="E5" s="38" t="inlineStr">
        <is>
          <t>PRIMARIOS</t>
        </is>
      </c>
      <c r="F5" s="38">
        <f>COUNTIF(INVENTARIO!$N$3:$N$2000, "PRIMARIOS")</f>
        <v/>
      </c>
    </row>
    <row r="6">
      <c r="B6" s="38" t="inlineStr">
        <is>
          <t>MEDIA</t>
        </is>
      </c>
      <c r="C6" s="38">
        <f>COUNTIF(INVENTARIO!$T$3:$T$2000, "*MEDIA*")</f>
        <v/>
      </c>
      <c r="E6" s="38" t="inlineStr">
        <is>
          <t>APOYO</t>
        </is>
      </c>
      <c r="F6" s="38">
        <f>COUNTIF(INVENTARIO!$N$3:$N$2000, "APOYO")</f>
        <v/>
      </c>
    </row>
    <row r="7">
      <c r="B7" s="38" t="inlineStr">
        <is>
          <t>BAJA</t>
        </is>
      </c>
      <c r="C7" s="38">
        <f>COUNTIF(INVENTARIO!$T$3:$T$2000, "*BAJA*")</f>
        <v/>
      </c>
    </row>
    <row r="8">
      <c r="B8" s="38" t="inlineStr">
        <is>
          <t>CRÍTICO</t>
        </is>
      </c>
      <c r="C8" s="38">
        <f>COUNTIF(INVENTARIO!$T$3:$T$2000, "*CRÍTICO*")</f>
        <v/>
      </c>
    </row>
    <row r="10" ht="22.5" customHeight="1" s="106">
      <c r="B10" s="95" t="inlineStr">
        <is>
          <t>Distribución por Categoría</t>
        </is>
      </c>
      <c r="C10" s="95" t="inlineStr">
        <is>
          <t>Cantidad</t>
        </is>
      </c>
      <c r="E10" s="109" t="inlineStr">
        <is>
          <t>Distribución por Acceso</t>
        </is>
      </c>
      <c r="F10" s="109" t="inlineStr">
        <is>
          <t>Cantidad</t>
        </is>
      </c>
    </row>
    <row r="11">
      <c r="B11" s="38" t="inlineStr">
        <is>
          <t>COMUNICACIÓN INTERNA</t>
        </is>
      </c>
      <c r="C11" s="38">
        <f>COUNTIF(INVENTARIO!$O$3:$O$2000, "COMUNICACIÓN INTERNA")</f>
        <v/>
      </c>
      <c r="E11" s="114" t="inlineStr">
        <is>
          <t>Con Acceso Externo (SI)</t>
        </is>
      </c>
      <c r="F11" s="114">
        <f>COUNTIF(INVENTARIO!$U$3:$U$2000, "SI")</f>
        <v/>
      </c>
    </row>
    <row r="12" ht="22.5" customHeight="1" s="106">
      <c r="B12" s="38" t="inlineStr">
        <is>
          <t>CONVENIOS Y CONTRATOS</t>
        </is>
      </c>
      <c r="C12" s="38">
        <f>COUNTIF(INVENTARIO!$O$3:$O$2000, "CONVENIOS Y CONTRATOS")</f>
        <v/>
      </c>
      <c r="E12" s="114" t="inlineStr">
        <is>
          <t>Acceso Interno (NO)</t>
        </is>
      </c>
      <c r="F12" s="114">
        <f>COUNTIF(INVENTARIO!$U$3:$U$2000, "NO")</f>
        <v/>
      </c>
    </row>
    <row r="13" ht="22.5" customHeight="1" s="106">
      <c r="B13" s="38" t="inlineStr">
        <is>
          <t>DOCUMENTOS HABILITANTES</t>
        </is>
      </c>
      <c r="C13" s="38">
        <f>COUNTIF(INVENTARIO!$O$3:$O$2000, "DOCUMENTOS HABILITANTES")</f>
        <v/>
      </c>
      <c r="E13" s="114" t="inlineStr">
        <is>
          <t>No Aplica (-)</t>
        </is>
      </c>
      <c r="F13" s="114">
        <f>COUNTIF(INVENTARIO!$U$3:$U$2000, "-")</f>
        <v/>
      </c>
    </row>
    <row r="14" ht="45" customHeight="1" s="106">
      <c r="B14" s="38" t="inlineStr">
        <is>
          <t>DOCUMENTOS TÉCNICOS</t>
        </is>
      </c>
      <c r="C14" s="38">
        <f>COUNTIF(INVENTARIO!$O$3:$O$2000, "DOCUMENTOS TÉCNICOS")</f>
        <v/>
      </c>
    </row>
    <row r="15" ht="22.5" customHeight="1" s="106">
      <c r="B15" s="38" t="inlineStr">
        <is>
          <t>HARDWARE</t>
        </is>
      </c>
      <c r="C15" s="38">
        <f>COUNTIF(INVENTARIO!$O$3:$O$2000, "HARDWARE")</f>
        <v/>
      </c>
    </row>
    <row r="16" ht="56.25" customHeight="1" s="106">
      <c r="B16" s="38" t="inlineStr">
        <is>
          <t>INFORMACIÓN DE SOCIOS Y CLIENTES</t>
        </is>
      </c>
      <c r="C16" s="38">
        <f>COUNTIF(INVENTARIO!$O$3:$O$2000, "INFORMACIÓN DE SOCIOS Y CLIENTES")</f>
        <v/>
      </c>
    </row>
    <row r="17" ht="45" customHeight="1" s="106">
      <c r="B17" s="38" t="inlineStr">
        <is>
          <t>INFORMACIÓN DE TERCEROS</t>
        </is>
      </c>
      <c r="C17" s="38">
        <f>COUNTIF(INVENTARIO!$O$3:$O$2000, "INFORMACIÓN DE TERCEROS")</f>
        <v/>
      </c>
    </row>
    <row r="18" ht="33.75" customHeight="1" s="106">
      <c r="B18" s="38" t="inlineStr">
        <is>
          <t>NORMATIVA INTERNA</t>
        </is>
      </c>
      <c r="C18" s="38">
        <f>COUNTIF(INVENTARIO!$O$3:$O$2000, "NORMATIVA INTERNA")</f>
        <v/>
      </c>
    </row>
    <row r="19">
      <c r="B19" s="38" t="inlineStr">
        <is>
          <t>OTROS</t>
        </is>
      </c>
      <c r="C19" s="38">
        <f>COUNTIF(INVENTARIO!$O$3:$O$2000, "OTROS")</f>
        <v/>
      </c>
    </row>
    <row r="20" ht="22.5" customHeight="1" s="106">
      <c r="B20" s="38" t="inlineStr">
        <is>
          <t>RECURSO HUMANO</t>
        </is>
      </c>
      <c r="C20" s="38">
        <f>COUNTIF(INVENTARIO!$O$3:$O$2000, "RECURSO HUMANO")</f>
        <v/>
      </c>
    </row>
    <row r="21">
      <c r="B21" s="38" t="inlineStr">
        <is>
          <t>REDES</t>
        </is>
      </c>
      <c r="C21" s="38">
        <f>COUNTIF(INVENTARIO!$O$3:$O$2000, "REDES")</f>
        <v/>
      </c>
    </row>
    <row r="22" ht="22.5" customHeight="1" s="106">
      <c r="B22" s="38" t="inlineStr">
        <is>
          <t>SERVICIOS</t>
        </is>
      </c>
      <c r="C22" s="38">
        <f>COUNTIF(INVENTARIO!$O$3:$O$2000, "SERVICIOS")</f>
        <v/>
      </c>
    </row>
    <row r="23" ht="22.5" customHeight="1" s="106">
      <c r="B23" s="38" t="inlineStr">
        <is>
          <t>SOFTWARE</t>
        </is>
      </c>
      <c r="C23" s="38">
        <f>COUNTIF(INVENTARIO!$O$3:$O$2000, "SOFTWARE")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2026-09-03T18:55:59Z</dcterms:modified>
  <cp:lastModifiedBy>SEGURIDAD DE LA INFORMACION</cp:lastModifiedBy>
  <cp:lastPrinted>2025-09-10T17:26:07Z</cp:lastPrinted>
</cp:coreProperties>
</file>